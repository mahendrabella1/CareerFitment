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ELCOME\Downloads\"/>
    </mc:Choice>
  </mc:AlternateContent>
  <xr:revisionPtr revIDLastSave="0" documentId="13_ncr:1_{F03ADD0C-4FFB-4CCB-836B-CAEEA96B6B14}" xr6:coauthVersionLast="47" xr6:coauthVersionMax="47" xr10:uidLastSave="{00000000-0000-0000-0000-000000000000}"/>
  <bookViews>
    <workbookView xWindow="-108" yWindow="-108" windowWidth="23256" windowHeight="12456" activeTab="3" xr2:uid="{00000000-000D-0000-FFFF-FFFF00000000}"/>
  </bookViews>
  <sheets>
    <sheet name="Start Here" sheetId="1" r:id="rId1"/>
    <sheet name="Answer Key" sheetId="2" r:id="rId2"/>
    <sheet name="Career Clusters &amp; Pathways" sheetId="3" r:id="rId3"/>
    <sheet name="6-8 Quiz" sheetId="4" r:id="rId4"/>
    <sheet name="9-10 Quiz" sheetId="5" r:id="rId5"/>
    <sheet name="11-12 Quiz" sheetId="6" r:id="rId6"/>
    <sheet name="Grad Quiz" sheetId="7" r:id="rId7"/>
    <sheet name="EarlyCar Quiz" sheetId="8" r:id="rId8"/>
    <sheet name="Prof Quiz" sheetId="9" r:id="rId9"/>
    <sheet name="All info" sheetId="10" r:id="rId10"/>
  </sheets>
  <definedNames>
    <definedName name="_xlnm._FilterDatabase" localSheetId="9" hidden="1">'All info'!$A$1:$Z$161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7" i="9" l="1"/>
  <c r="C166" i="9"/>
  <c r="C165" i="9"/>
  <c r="C164" i="9"/>
  <c r="C163" i="9"/>
  <c r="C162" i="9"/>
  <c r="C161" i="9"/>
  <c r="C160"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B161" i="9" s="1"/>
  <c r="D161" i="9" s="1"/>
  <c r="S8" i="9" s="1"/>
  <c r="C167" i="8"/>
  <c r="C166" i="8"/>
  <c r="C165" i="8"/>
  <c r="C164" i="8"/>
  <c r="C163" i="8"/>
  <c r="C162" i="8"/>
  <c r="C161" i="8"/>
  <c r="C160"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B164" i="8" s="1"/>
  <c r="D164" i="8" s="1"/>
  <c r="S11" i="8" s="1"/>
  <c r="C167" i="7"/>
  <c r="C166" i="7"/>
  <c r="C165" i="7"/>
  <c r="C164" i="7"/>
  <c r="C163" i="7"/>
  <c r="C162" i="7"/>
  <c r="C161" i="7"/>
  <c r="C160"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92" i="7"/>
  <c r="P91" i="7"/>
  <c r="P90" i="7"/>
  <c r="P89" i="7"/>
  <c r="P88" i="7"/>
  <c r="P87" i="7"/>
  <c r="P86" i="7"/>
  <c r="P8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B161" i="7" s="1"/>
  <c r="D161" i="7" s="1"/>
  <c r="S8" i="7" s="1"/>
  <c r="P15" i="7"/>
  <c r="P14" i="7"/>
  <c r="P13" i="7"/>
  <c r="P12" i="7"/>
  <c r="P11" i="7"/>
  <c r="P10" i="7"/>
  <c r="P9" i="7"/>
  <c r="P8" i="7"/>
  <c r="B162" i="7" s="1"/>
  <c r="D162" i="7" s="1"/>
  <c r="S9" i="7" s="1"/>
  <c r="P7" i="7"/>
  <c r="B167" i="7" s="1"/>
  <c r="D167" i="7" s="1"/>
  <c r="S14" i="7" s="1"/>
  <c r="C167" i="6"/>
  <c r="C166" i="6"/>
  <c r="C165" i="6"/>
  <c r="C164" i="6"/>
  <c r="C163" i="6"/>
  <c r="C162" i="6"/>
  <c r="C161" i="6"/>
  <c r="C160"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B167" i="6" s="1"/>
  <c r="D167" i="6" s="1"/>
  <c r="S14" i="6" s="1"/>
  <c r="P17" i="6"/>
  <c r="P16" i="6"/>
  <c r="P15" i="6"/>
  <c r="P14" i="6"/>
  <c r="P13" i="6"/>
  <c r="P12" i="6"/>
  <c r="P11" i="6"/>
  <c r="P10" i="6"/>
  <c r="P9" i="6"/>
  <c r="B160" i="6" s="1"/>
  <c r="D160" i="6" s="1"/>
  <c r="S7" i="6" s="1"/>
  <c r="P8" i="6"/>
  <c r="P7" i="6"/>
  <c r="B165" i="6" s="1"/>
  <c r="D165" i="6" s="1"/>
  <c r="S12" i="6" s="1"/>
  <c r="C167" i="5"/>
  <c r="C166" i="5"/>
  <c r="C165" i="5"/>
  <c r="C164" i="5"/>
  <c r="C163" i="5"/>
  <c r="C162" i="5"/>
  <c r="C161" i="5"/>
  <c r="C160" i="5"/>
  <c r="P156" i="5"/>
  <c r="P155" i="5"/>
  <c r="P154" i="5"/>
  <c r="P153" i="5"/>
  <c r="P152" i="5"/>
  <c r="P151" i="5"/>
  <c r="P150" i="5"/>
  <c r="P149" i="5"/>
  <c r="P148" i="5"/>
  <c r="P147" i="5"/>
  <c r="P146" i="5"/>
  <c r="P145"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B165" i="5" s="1"/>
  <c r="D165" i="5" s="1"/>
  <c r="S12" i="5" s="1"/>
  <c r="P19" i="5"/>
  <c r="P18" i="5"/>
  <c r="P17" i="5"/>
  <c r="P16" i="5"/>
  <c r="P15" i="5"/>
  <c r="P14" i="5"/>
  <c r="P13" i="5"/>
  <c r="P12" i="5"/>
  <c r="P11" i="5"/>
  <c r="P10" i="5"/>
  <c r="B160" i="5" s="1"/>
  <c r="D160" i="5" s="1"/>
  <c r="S7" i="5" s="1"/>
  <c r="P9" i="5"/>
  <c r="P8" i="5"/>
  <c r="P7" i="5"/>
  <c r="B166" i="5" s="1"/>
  <c r="D166" i="5" s="1"/>
  <c r="S13" i="5" s="1"/>
  <c r="C167" i="4"/>
  <c r="C166" i="4"/>
  <c r="C165" i="4"/>
  <c r="C164" i="4"/>
  <c r="C163" i="4"/>
  <c r="B163" i="4"/>
  <c r="D163" i="4" s="1"/>
  <c r="S10" i="4" s="1"/>
  <c r="C162" i="4"/>
  <c r="C161" i="4"/>
  <c r="C160"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B164" i="4" s="1"/>
  <c r="D164" i="4" s="1"/>
  <c r="S11" i="4" s="1"/>
  <c r="B167" i="4" l="1"/>
  <c r="D167" i="4" s="1"/>
  <c r="S14" i="4" s="1"/>
  <c r="B161" i="5"/>
  <c r="D161" i="5" s="1"/>
  <c r="S8" i="5" s="1"/>
  <c r="C171" i="5" s="1"/>
  <c r="B163" i="6"/>
  <c r="D163" i="6" s="1"/>
  <c r="S10" i="6" s="1"/>
  <c r="B167" i="8"/>
  <c r="D167" i="8" s="1"/>
  <c r="S14" i="8" s="1"/>
  <c r="B162" i="4"/>
  <c r="D162" i="4" s="1"/>
  <c r="S9" i="4" s="1"/>
  <c r="B164" i="5"/>
  <c r="D164" i="5" s="1"/>
  <c r="S11" i="5" s="1"/>
  <c r="B166" i="6"/>
  <c r="D166" i="6" s="1"/>
  <c r="S13" i="6" s="1"/>
  <c r="B160" i="7"/>
  <c r="D160" i="7" s="1"/>
  <c r="S7" i="7" s="1"/>
  <c r="B162" i="8"/>
  <c r="D162" i="8" s="1"/>
  <c r="S9" i="8" s="1"/>
  <c r="B164" i="9"/>
  <c r="D164" i="9" s="1"/>
  <c r="S11" i="9" s="1"/>
  <c r="B165" i="4"/>
  <c r="D165" i="4" s="1"/>
  <c r="S12" i="4" s="1"/>
  <c r="B167" i="5"/>
  <c r="D167" i="5" s="1"/>
  <c r="S14" i="5" s="1"/>
  <c r="C173" i="5" s="1"/>
  <c r="B161" i="6"/>
  <c r="D161" i="6" s="1"/>
  <c r="S8" i="6" s="1"/>
  <c r="U172" i="6" s="1"/>
  <c r="B163" i="7"/>
  <c r="D163" i="7" s="1"/>
  <c r="S10" i="7" s="1"/>
  <c r="B165" i="8"/>
  <c r="D165" i="8" s="1"/>
  <c r="S12" i="8" s="1"/>
  <c r="B167" i="9"/>
  <c r="D167" i="9" s="1"/>
  <c r="S14" i="9" s="1"/>
  <c r="B165" i="7"/>
  <c r="D165" i="7" s="1"/>
  <c r="S12" i="7" s="1"/>
  <c r="B160" i="4"/>
  <c r="D160" i="4" s="1"/>
  <c r="S7" i="4" s="1"/>
  <c r="B162" i="5"/>
  <c r="D162" i="5" s="1"/>
  <c r="S9" i="5" s="1"/>
  <c r="B164" i="6"/>
  <c r="D164" i="6" s="1"/>
  <c r="S11" i="6" s="1"/>
  <c r="B166" i="7"/>
  <c r="D166" i="7" s="1"/>
  <c r="S13" i="7" s="1"/>
  <c r="B160" i="8"/>
  <c r="D160" i="8" s="1"/>
  <c r="S7" i="8" s="1"/>
  <c r="B162" i="9"/>
  <c r="D162" i="9" s="1"/>
  <c r="S9" i="9" s="1"/>
  <c r="B163" i="8"/>
  <c r="D163" i="8" s="1"/>
  <c r="S10" i="8" s="1"/>
  <c r="B165" i="9"/>
  <c r="D165" i="9" s="1"/>
  <c r="S12" i="9" s="1"/>
  <c r="B160" i="9"/>
  <c r="D160" i="9" s="1"/>
  <c r="S7" i="9" s="1"/>
  <c r="B166" i="4"/>
  <c r="D166" i="4" s="1"/>
  <c r="S13" i="4" s="1"/>
  <c r="B166" i="8"/>
  <c r="D166" i="8" s="1"/>
  <c r="S13" i="8" s="1"/>
  <c r="B161" i="4"/>
  <c r="D161" i="4" s="1"/>
  <c r="S8" i="4" s="1"/>
  <c r="B163" i="5"/>
  <c r="D163" i="5" s="1"/>
  <c r="S10" i="5" s="1"/>
  <c r="C172" i="5" s="1"/>
  <c r="B161" i="8"/>
  <c r="D161" i="8" s="1"/>
  <c r="S8" i="8" s="1"/>
  <c r="B163" i="9"/>
  <c r="D163" i="9" s="1"/>
  <c r="S10" i="9" s="1"/>
  <c r="B162" i="6"/>
  <c r="D162" i="6" s="1"/>
  <c r="S9" i="6" s="1"/>
  <c r="C171" i="6" s="1"/>
  <c r="B164" i="7"/>
  <c r="D164" i="7" s="1"/>
  <c r="S11" i="7" s="1"/>
  <c r="B166" i="9"/>
  <c r="D166" i="9" s="1"/>
  <c r="S13" i="9" s="1"/>
  <c r="D172" i="6" l="1"/>
  <c r="B172" i="6"/>
  <c r="U172" i="5"/>
  <c r="U173" i="9"/>
  <c r="U171" i="9"/>
  <c r="C173" i="9"/>
  <c r="C171" i="9"/>
  <c r="U172" i="9"/>
  <c r="C172" i="9"/>
  <c r="U173" i="4"/>
  <c r="U171" i="4"/>
  <c r="C173" i="4"/>
  <c r="C171" i="4"/>
  <c r="U172" i="4"/>
  <c r="C172" i="4"/>
  <c r="C172" i="6"/>
  <c r="C172" i="7"/>
  <c r="U172" i="7"/>
  <c r="U173" i="7"/>
  <c r="U171" i="7"/>
  <c r="C173" i="7"/>
  <c r="C171" i="7"/>
  <c r="C173" i="6"/>
  <c r="U171" i="5"/>
  <c r="U171" i="6"/>
  <c r="U173" i="8"/>
  <c r="U171" i="8"/>
  <c r="C173" i="8"/>
  <c r="C171" i="8"/>
  <c r="U172" i="8"/>
  <c r="C172" i="8"/>
  <c r="U173" i="5"/>
  <c r="U173" i="6"/>
  <c r="D173" i="8" l="1"/>
  <c r="B173" i="8"/>
  <c r="B173" i="6"/>
  <c r="D173" i="6"/>
  <c r="D173" i="5"/>
  <c r="B173" i="5"/>
  <c r="D172" i="9"/>
  <c r="B172" i="9"/>
  <c r="D173" i="4"/>
  <c r="B173" i="4"/>
  <c r="B171" i="6"/>
  <c r="D171" i="6"/>
  <c r="D171" i="5"/>
  <c r="B171" i="5"/>
  <c r="B172" i="8"/>
  <c r="D172" i="8"/>
  <c r="B172" i="4"/>
  <c r="D172" i="4"/>
  <c r="D172" i="7"/>
  <c r="B172" i="7"/>
  <c r="D173" i="9"/>
  <c r="B173" i="9"/>
  <c r="D171" i="9"/>
  <c r="B171" i="9"/>
  <c r="D171" i="7"/>
  <c r="B171" i="7"/>
  <c r="D171" i="8"/>
  <c r="B171" i="8"/>
  <c r="D173" i="7"/>
  <c r="B173" i="7"/>
  <c r="D171" i="4"/>
  <c r="B171" i="4"/>
  <c r="D172" i="5"/>
  <c r="B172" i="5"/>
</calcChain>
</file>

<file path=xl/sharedStrings.xml><?xml version="1.0" encoding="utf-8"?>
<sst xmlns="http://schemas.openxmlformats.org/spreadsheetml/2006/main" count="14270" uniqueCount="1829">
  <si>
    <t>Career Interest Assessment — All Life Stages (Final)</t>
  </si>
  <si>
    <t>How this workbook works</t>
  </si>
  <si>
    <t>Each of the 6 life-stage tabs contains all 10 quiz sets stacked in ONE sheet (150 rows: 10 sets x 15 questions). Every question shows 5 of the 8 career-cluster options - which 5 rotates question to question, so all 8 clusters still get fair, tracked coverage across a 15-question set.</t>
  </si>
  <si>
    <t>How to take it</t>
  </si>
  <si>
    <t>1. Go to your life-stage tab. Pick ONE set number (1-10) in the blue selector cell near the top.</t>
  </si>
  <si>
    <t>2. For that set's 15 rows only, type the number (1-5) of your chosen option into the 'Your Answer' column.</t>
  </si>
  <si>
    <t>3. The Live Results and Top 3 Career Fields boxes below the selector update automatically.</t>
  </si>
  <si>
    <t>Why 10 sets?</t>
  </si>
  <si>
    <t>A single 15-question quiz gives a useful first read. For a more stable picture, try 2-3 different sets on different days and see which clusters keep showing up in the Top 3.</t>
  </si>
  <si>
    <t>Framework basis by group</t>
  </si>
  <si>
    <t>Group</t>
  </si>
  <si>
    <t>Framework Basis</t>
  </si>
  <si>
    <t>Class 6-8 (Ages 11-13)</t>
  </si>
  <si>
    <t>Junior RIASEC</t>
  </si>
  <si>
    <t>Class 9-10 (Ages 14-15)</t>
  </si>
  <si>
    <t>Holland's SDS (Self-Directed Search) style</t>
  </si>
  <si>
    <t>Class 11-12 (Ages 16-17)</t>
  </si>
  <si>
    <t>Holland's SDS / Strong Interest Inventory style</t>
  </si>
  <si>
    <t>Graduate (Ages 18-21)</t>
  </si>
  <si>
    <t>Early Career (Ages 21-25)</t>
  </si>
  <si>
    <t>Strong Interest Inventory / O*NET style</t>
  </si>
  <si>
    <t>Professionals (Ages 25-55)</t>
  </si>
  <si>
    <t>O*NET Interest Profiler style (for career pivots)</t>
  </si>
  <si>
    <t>A note on accuracy</t>
  </si>
  <si>
    <t>No short quiz can be 100% accurate at identifying a person's career interest - interests, especially at younger ages, are still forming. This assessment follows the same internal-consistency principles as real interest inventories (RIASEC, SDS, Strong Interest Inventory, O*NET Interest Profiler), so results are a meaningful, well-grounded starting point for exploration and conversation - not a final verdict.</t>
  </si>
  <si>
    <t>Answer Key — Option Letter to Career Cluster</t>
  </si>
  <si>
    <t>Option Letter</t>
  </si>
  <si>
    <t>Career Cluster</t>
  </si>
  <si>
    <t>A</t>
  </si>
  <si>
    <t>Engineering &amp; Construction</t>
  </si>
  <si>
    <t>B</t>
  </si>
  <si>
    <t>Information Technology</t>
  </si>
  <si>
    <t>C</t>
  </si>
  <si>
    <t>Health Science</t>
  </si>
  <si>
    <t>D</t>
  </si>
  <si>
    <t>Arts, Media &amp; Design</t>
  </si>
  <si>
    <t>E</t>
  </si>
  <si>
    <t>Business &amp; Marketing</t>
  </si>
  <si>
    <t>F</t>
  </si>
  <si>
    <t>Human &amp; Public Services</t>
  </si>
  <si>
    <t>G</t>
  </si>
  <si>
    <t>Science, Nature &amp; Agriculture</t>
  </si>
  <si>
    <t>H</t>
  </si>
  <si>
    <t>Sports, Hospitality &amp; Lifestyle</t>
  </si>
  <si>
    <t>The 8 Career Clusters and Sample Pathways</t>
  </si>
  <si>
    <t>Letter</t>
  </si>
  <si>
    <t>Cluster</t>
  </si>
  <si>
    <t>Maps to (detailed clusters in All info sheet)</t>
  </si>
  <si>
    <t>Sample Career Pathways</t>
  </si>
  <si>
    <t>Architecture &amp; Construction, Manufacturing, Energy, Transportation, Distribution &amp; Logistics</t>
  </si>
  <si>
    <t>Civil / Structural Engineer, Construction Manager, Industrial / Manufacturing Engineer, Renewable Energy Engineer, Supply Chain / Logistics Manager</t>
  </si>
  <si>
    <t>Software Developer, Data Scientist / Analyst, Cybersecurity Analyst, Cloud / DevOps Engineer, UI/UX Designer</t>
  </si>
  <si>
    <t>Doctor / Dentist, Nurse, Physiotherapist / Allied Health, Pharmacist / Biotech Researcher, Psychologist / Counselor</t>
  </si>
  <si>
    <t>Arts, Audio/Video Technology &amp; Communications, Media &amp; Entertainment, Fashion &amp; Design</t>
  </si>
  <si>
    <t>Graphic / UX Designer, Film &amp; Video Producer, Animator, Fashion Designer, Journalist / Content Creator</t>
  </si>
  <si>
    <t>Business Management &amp; Administration, Marketing, Sales &amp; Service, Finance</t>
  </si>
  <si>
    <t>Management Consultant, Digital Marketer, Sales / Business Development, Financial Analyst, Entrepreneur / Founder</t>
  </si>
  <si>
    <t>Education &amp; Training, Government &amp; Public Administration, Human Services, Law, Public Safety, Corrections &amp; Security</t>
  </si>
  <si>
    <t>Teacher, Social Worker / Counselor, Policy Analyst, Lawyer, Police / Public Safety Officer</t>
  </si>
  <si>
    <t>Science, Technology, Engineering &amp; Mathematics (STEM), Agriculture, Food &amp; Natural Resources</t>
  </si>
  <si>
    <t>Research Scientist, Agricultural Scientist, Environmental Engineer, Biotechnologist, Robotics / AI Researcher</t>
  </si>
  <si>
    <t>Hospitality &amp; Tourism, Sports &amp; Recreation</t>
  </si>
  <si>
    <t>Hotel / Events Manager, Sports Coach / Trainer, Travel Consultant, Sports Scientist / Physiotherapist, Chef / Culinary Professional</t>
  </si>
  <si>
    <t>Class 6-8 (Ages 11-13) — Career Interest Quiz (10 Sets x 15 Questions)</t>
  </si>
  <si>
    <t>Framework basis: Junior RIASEC</t>
  </si>
  <si>
    <t>Which set are you taking?</t>
  </si>
  <si>
    <t>Set 1</t>
  </si>
  <si>
    <t>(pick one set, then answer only that set's 15 rows below)</t>
  </si>
  <si>
    <t>Set</t>
  </si>
  <si>
    <t>Q#</t>
  </si>
  <si>
    <t>Theme</t>
  </si>
  <si>
    <t>Scenario</t>
  </si>
  <si>
    <t>Option 1</t>
  </si>
  <si>
    <t>Option 2</t>
  </si>
  <si>
    <t>Option 3</t>
  </si>
  <si>
    <t>Option 4</t>
  </si>
  <si>
    <t>Option 5</t>
  </si>
  <si>
    <t>t1</t>
  </si>
  <si>
    <t>t2</t>
  </si>
  <si>
    <t>t3</t>
  </si>
  <si>
    <t>t4</t>
  </si>
  <si>
    <t>t5</t>
  </si>
  <si>
    <t>Your Answer (1-5)</t>
  </si>
  <si>
    <t>Score</t>
  </si>
  <si>
    <t>Q1</t>
  </si>
  <si>
    <t>Free time choice</t>
  </si>
  <si>
    <t>If you had a free Saturday, what would you most want to do?</t>
  </si>
  <si>
    <t>1) Draw, paint, write, or make music</t>
  </si>
  <si>
    <t>2) Set up a little stall or sell something to friends</t>
  </si>
  <si>
    <t>3) Hang out and help organize things with friends</t>
  </si>
  <si>
    <t>4) Explore outside, collect bugs/rocks, or do a mini experiment</t>
  </si>
  <si>
    <t>5) Play or watch sports, or plan a fun outing</t>
  </si>
  <si>
    <t>Q2</t>
  </si>
  <si>
    <t>Favorite subject</t>
  </si>
  <si>
    <t>Which school subject sounds most exciting to you?</t>
  </si>
  <si>
    <t>1) Woodwork, shop class, or hands-on building projects</t>
  </si>
  <si>
    <t>2) Computer class or coding</t>
  </si>
  <si>
    <t>3) Biology or health class</t>
  </si>
  <si>
    <t>4) Science lab or experiments</t>
  </si>
  <si>
    <t>5) Physical Education or outdoor activities</t>
  </si>
  <si>
    <t>Q3</t>
  </si>
  <si>
    <t>Dream job for a day</t>
  </si>
  <si>
    <t>If you could have any superpower job for a day, which would you pick?</t>
  </si>
  <si>
    <t>1) Software Developer or Game Designer</t>
  </si>
  <si>
    <t>2) Doctor or Physiotherapist</t>
  </si>
  <si>
    <t>3) Animator or Musician</t>
  </si>
  <si>
    <t>4) CEO or Marketing Manager</t>
  </si>
  <si>
    <t>5) Teacher or Social Worker</t>
  </si>
  <si>
    <t>Q4</t>
  </si>
  <si>
    <t>Group project role</t>
  </si>
  <si>
    <t>In a group project, what role do you naturally take?</t>
  </si>
  <si>
    <t>1) The one who builds the physical model</t>
  </si>
  <si>
    <t>2) The one who leads the group and presents</t>
  </si>
  <si>
    <t>3) The one who makes sure everyone feels included</t>
  </si>
  <si>
    <t>4) The one who studies the facts and details carefully</t>
  </si>
  <si>
    <t>5) The one who keeps the energy up and organizes fun breaks</t>
  </si>
  <si>
    <t>Q5</t>
  </si>
  <si>
    <t>Dream camp or club</t>
  </si>
  <si>
    <t>Which of these sounds like the best summer camp?</t>
  </si>
  <si>
    <t>1) Robotics &amp; Engineering Camp</t>
  </si>
  <si>
    <t>2) Coding &amp; Game Development Camp</t>
  </si>
  <si>
    <t>3) Junior Doctor / Health Camp</t>
  </si>
  <si>
    <t>4) Music, Art &amp; Theatre Camp</t>
  </si>
  <si>
    <t>5) Sports Camp or Adventure Camp</t>
  </si>
  <si>
    <t>Q6</t>
  </si>
  <si>
    <t>Game or app style</t>
  </si>
  <si>
    <t>What kind of video games or apps do you enjoy most?</t>
  </si>
  <si>
    <t>1) Health or hospital simulation games</t>
  </si>
  <si>
    <t>2) Story-rich, creative games</t>
  </si>
  <si>
    <t>3) City-builder or tycoon/business games</t>
  </si>
  <si>
    <t>4) Games where you help or team up with others</t>
  </si>
  <si>
    <t>5) Nature, survival, or discovery games</t>
  </si>
  <si>
    <t>Q7</t>
  </si>
  <si>
    <t>Story or movie style</t>
  </si>
  <si>
    <t>What kind of stories/movies do you enjoy most?</t>
  </si>
  <si>
    <t>1) Action/adventure with cool inventions</t>
  </si>
  <si>
    <t>2) Sci-fi or tech-related stories</t>
  </si>
  <si>
    <t>3) Stories about friendship, community, or justice</t>
  </si>
  <si>
    <t>4) Stories about nature, space, or discovery</t>
  </si>
  <si>
    <t>5) Stories about sports or travel adventures</t>
  </si>
  <si>
    <t>Q8</t>
  </si>
  <si>
    <t>Career fair booth</t>
  </si>
  <si>
    <t>If your class did a mock 'career fair,' which booth excites you most?</t>
  </si>
  <si>
    <t>1) Engineering/robotics booth</t>
  </si>
  <si>
    <t>2) Software company booth</t>
  </si>
  <si>
    <t>3) Hospital/medical booth</t>
  </si>
  <si>
    <t>4) Art &amp; music school booth</t>
  </si>
  <si>
    <t>5) Startup/business booth</t>
  </si>
  <si>
    <t>Q9</t>
  </si>
  <si>
    <t>Helping someone</t>
  </si>
  <si>
    <t>How do you feel about helping someone who's hurt or unwell?</t>
  </si>
  <si>
    <t>1) I'd want to comfort them creatively, like drawing or writing for them</t>
  </si>
  <si>
    <t>2) I'd organize help or support from others</t>
  </si>
  <si>
    <t>3) I'd sit with them and make sure they're not alone</t>
  </si>
  <si>
    <t>4) I'd want to understand exactly what happened and why</t>
  </si>
  <si>
    <t>5) I'd try to cheer them up with a fun distraction</t>
  </si>
  <si>
    <t>Q10</t>
  </si>
  <si>
    <t>Making something</t>
  </si>
  <si>
    <t>Pick a weekend activity you'd enjoy making or building.</t>
  </si>
  <si>
    <t>1) Assembling a model kit or gadget</t>
  </si>
  <si>
    <t>2) Coding a small game or app</t>
  </si>
  <si>
    <t>3) Making a first-aid kit or health poster</t>
  </si>
  <si>
    <t>4) Doing a mini science experiment</t>
  </si>
  <si>
    <t>5) Planning a fun activity or game for others</t>
  </si>
  <si>
    <t>Q11</t>
  </si>
  <si>
    <t>Wanting to be known for</t>
  </si>
  <si>
    <t>What would you like to be known for when you grow up?</t>
  </si>
  <si>
    <t>1) "Created a cool app or game"</t>
  </si>
  <si>
    <t>2) "Helped save lives"</t>
  </si>
  <si>
    <t>3) "Made beautiful art or music"</t>
  </si>
  <si>
    <t>4) "Built a successful company"</t>
  </si>
  <si>
    <t>5) "Helped people or the community"</t>
  </si>
  <si>
    <t>Q12</t>
  </si>
  <si>
    <t>Problem you'd like to solve</t>
  </si>
  <si>
    <t>Which problem sounds most interesting to solve?</t>
  </si>
  <si>
    <t>1) How to build something stronger or faster</t>
  </si>
  <si>
    <t>2) How to make or grow money</t>
  </si>
  <si>
    <t>3) How to make life fairer or better for people</t>
  </si>
  <si>
    <t>4) How the natural world works</t>
  </si>
  <si>
    <t>5) How to make an experience more fun or exciting</t>
  </si>
  <si>
    <t>Q13</t>
  </si>
  <si>
    <t>A day in your life at 25</t>
  </si>
  <si>
    <t>Imagine yourself at age 25 — what does your workday look like?</t>
  </si>
  <si>
    <t>1) Working with machines, tools, or at a construction site</t>
  </si>
  <si>
    <t>2) Coding, building apps, or fixing tech systems</t>
  </si>
  <si>
    <t>3) Working in a hospital, clinic, or lab</t>
  </si>
  <si>
    <t>4) Creating art, music, films, or writing</t>
  </si>
  <si>
    <t>5) Coaching sports or working in hotels/travel</t>
  </si>
  <si>
    <t>Q14</t>
  </si>
  <si>
    <t>When something breaks</t>
  </si>
  <si>
    <t>Imagine something in your house stops working, what do you want to do?</t>
  </si>
  <si>
    <t>1) I check if anyone's safety was affected</t>
  </si>
  <si>
    <t>2) I turn it into an art project (upcycling)</t>
  </si>
  <si>
    <t>3) I figure out if it's worth repairing or replacing</t>
  </si>
  <si>
    <t>4) I ask who else needs to know or help</t>
  </si>
  <si>
    <t>5) I want to understand exactly why it broke</t>
  </si>
  <si>
    <t>Q15</t>
  </si>
  <si>
    <t>Role in a team activity</t>
  </si>
  <si>
    <t>In a class team activity, what part do you enjoy most?</t>
  </si>
  <si>
    <t>1) I like building or setting up the physical stuff</t>
  </si>
  <si>
    <t>2) I like handling the tech or digital tools</t>
  </si>
  <si>
    <t>3) I like making sure everyone feels welcome</t>
  </si>
  <si>
    <t>4) I like figuring out the facts or rules</t>
  </si>
  <si>
    <t>5) I like keeping the energy and fun going</t>
  </si>
  <si>
    <t>Set 2</t>
  </si>
  <si>
    <t>You have an unplanned afternoon after school. What sounds most fun?</t>
  </si>
  <si>
    <t>If you had to pick just one subject to study all day, which would it be?</t>
  </si>
  <si>
    <t>If you could shadow any professional for a day, who would you choose?</t>
  </si>
  <si>
    <t>When your class is split into teams, what job do you usually end up doing?</t>
  </si>
  <si>
    <t>If your school offered one special weekend workshop, which would you join?</t>
  </si>
  <si>
    <t>If you downloaded a new game right now, what type would it be?</t>
  </si>
  <si>
    <t>If you were picking a movie for movie night, what genre would you choose?</t>
  </si>
  <si>
    <t>At a career expo, which stall would you visit first?</t>
  </si>
  <si>
    <t>Your friend falls and scrapes their knee at school. What's your first instinct?</t>
  </si>
  <si>
    <t>If you had craft supplies and a free afternoon, what would you make?</t>
  </si>
  <si>
    <t>If people remembered you for one thing, what would you want it to be?</t>
  </si>
  <si>
    <t>If you could fix one kind of problem in the world, what would it be?</t>
  </si>
  <si>
    <t>Picture your future job at 25. What are you doing most of the day?</t>
  </si>
  <si>
    <t>The TV or gadget at home suddenly stops working. What's your first move?</t>
  </si>
  <si>
    <t>During a school event, which task would you volunteer for?</t>
  </si>
  <si>
    <t>Set 3</t>
  </si>
  <si>
    <t>Your parents say you can do anything you want this weekend. What do you pick?</t>
  </si>
  <si>
    <t>Which class do you look forward to the most?</t>
  </si>
  <si>
    <t>Which job would you want to try out at a 'bring your kid to work' day?</t>
  </si>
  <si>
    <t>During a group presentation, what part do you handle?</t>
  </si>
  <si>
    <t>Pick a camp you'd beg your parents to sign you up for.</t>
  </si>
  <si>
    <t>Which type of app do you spend the most time on?</t>
  </si>
  <si>
    <t>Which type of book do you gravitate toward at the library?</t>
  </si>
  <si>
    <t>If you had to work at one booth for a day, which would you choose?</t>
  </si>
  <si>
    <t>A classmate looks upset during recess. What do you do?</t>
  </si>
  <si>
    <t>Your school has a 'maker day.' What would you build?</t>
  </si>
  <si>
    <t>What headline would you want about yourself in the future?</t>
  </si>
  <si>
    <t>Which mystery or challenge would you want to investigate?</t>
  </si>
  <si>
    <t>If you fast-forward to being 25, what does your typical Tuesday look like?</t>
  </si>
  <si>
    <t>Your bike chain falls off during a ride. What do you do?</t>
  </si>
  <si>
    <t>If your team needed to divide up jobs for a fair, what would you pick?</t>
  </si>
  <si>
    <t>Set 4</t>
  </si>
  <si>
    <t>It's the first day of a school holiday. What's your ideal activity?</t>
  </si>
  <si>
    <t>If your school added one new elective, which would you want it to be?</t>
  </si>
  <si>
    <t>If you had to dress up as a professional for a day, who would you be?</t>
  </si>
  <si>
    <t>If your group needed to divide tasks, which task would you volunteer for?</t>
  </si>
  <si>
    <t>Which after-school club would you join without hesitation?</t>
  </si>
  <si>
    <t>If you were designing your own game, what kind would it be?</t>
  </si>
  <si>
    <t>If you wrote your own story, what kind would it be?</t>
  </si>
  <si>
    <t>Which career fair table would you linger at the longest?</t>
  </si>
  <si>
    <t>Someone in your family isn't feeling well. How do you want to help?</t>
  </si>
  <si>
    <t>If you got a box of random materials, what would you try to create?</t>
  </si>
  <si>
    <t>If you wrote your own future biography title, what would it say?</t>
  </si>
  <si>
    <t>If scientists needed kid helpers, which problem would you volunteer for?</t>
  </si>
  <si>
    <t>Imagine your grown-up self coming home from work — what did they do all day?</t>
  </si>
  <si>
    <t>The class computer freezes during a lesson. What's your instinct?</t>
  </si>
  <si>
    <t>In a community service activity, what role feels natural to you?</t>
  </si>
  <si>
    <t>Set 5</t>
  </si>
  <si>
    <t>You get to choose one activity for a class free period. What do you choose?</t>
  </si>
  <si>
    <t>Which subject do you find yourself thinking about even after school?</t>
  </si>
  <si>
    <t>Which career would you love to try just to see what it's like?</t>
  </si>
  <si>
    <t>When a project group is confused about what to do, what do you usually do?</t>
  </si>
  <si>
    <t>If you could attend any themed camp this summer, which would you pick?</t>
  </si>
  <si>
    <t>Which game genre do you always come back to?</t>
  </si>
  <si>
    <t>Which kind of show do you binge-watch the most?</t>
  </si>
  <si>
    <t>If your school invited professionals to visit, which one would you want to meet?</t>
  </si>
  <si>
    <t>Your pet seems unwell. What's your first move?</t>
  </si>
  <si>
    <t>Pick a DIY project you'd want to try this month.</t>
  </si>
  <si>
    <t>What do you hope your friends say about you when you're older?</t>
  </si>
  <si>
    <t>Which of these challenges would you enjoy working on the most?</t>
  </si>
  <si>
    <t>If a camera followed future-you around at 25, what would it capture?</t>
  </si>
  <si>
    <t>A toy or gadget breaks right before you wanted to use it. What do you do?</t>
  </si>
  <si>
    <t>If your class ran a mini-festival, what job would you want?</t>
  </si>
  <si>
    <t>Set 6</t>
  </si>
  <si>
    <t>If your friend asked 'what do you want to do today?', what would you say?</t>
  </si>
  <si>
    <t>If you could skip every subject except one, which would you keep?</t>
  </si>
  <si>
    <t>If you could swap places with any adult for a day, whose job would you want?</t>
  </si>
  <si>
    <t>In a team game, what role do you naturally fall into?</t>
  </si>
  <si>
    <t>Which workshop would you choose at a school activity fair?</t>
  </si>
  <si>
    <t>If your friend recommended a game, which type would you actually try?</t>
  </si>
  <si>
    <t>If a new series in this genre came out, would you watch it first?</t>
  </si>
  <si>
    <t>Which stand at a fair would you drag your friends over to see?</t>
  </si>
  <si>
    <t>A friend seems overwhelmed with homework and stress. How do you react?</t>
  </si>
  <si>
    <t>If you joined a maker's club, what would you want to build first?</t>
  </si>
  <si>
    <t>If you got an award one day, what would it be for?</t>
  </si>
  <si>
    <t>If you had a magic wand for one type of problem, which would you fix?</t>
  </si>
  <si>
    <t>Picture yourself getting ready for work at 25. What job are you heading to?</t>
  </si>
  <si>
    <t>The Wi-Fi goes down at home. What's your first reaction?</t>
  </si>
  <si>
    <t>During a group hike or trip, what role do you naturally take?</t>
  </si>
  <si>
    <t>Set 7</t>
  </si>
  <si>
    <t>You have two free hours before dinner. How do you spend them?</t>
  </si>
  <si>
    <t>Which class project excites you the most when it's announced?</t>
  </si>
  <si>
    <t>Which job looks the most exciting to you in movies or TV shows?</t>
  </si>
  <si>
    <t>If your group had to build something together, what would you focus on?</t>
  </si>
  <si>
    <t>If your best friend invited you to a camp, which type would excite you most?</t>
  </si>
  <si>
    <t>What kind of game would you play for hours without noticing the time?</t>
  </si>
  <si>
    <t>What kind of story keeps you reading past your bedtime?</t>
  </si>
  <si>
    <t>If you got a goodie bag from only one booth, which would you pick?</t>
  </si>
  <si>
    <t>You see someone struggling to carry something heavy. What do you do?</t>
  </si>
  <si>
    <t>You're given an hour and simple tools. What do you create?</t>
  </si>
  <si>
    <t>What's the one thing you'd want to be famous for?</t>
  </si>
  <si>
    <t>Which real-world puzzle would you want to spend a whole day solving?</t>
  </si>
  <si>
    <t>If your future self described their job to a kid, what would they say?</t>
  </si>
  <si>
    <t>Something you built falls apart. What do you do next?</t>
  </si>
  <si>
    <t>If your team is prepping for a competition, what's your job?</t>
  </si>
  <si>
    <t>Set 8</t>
  </si>
  <si>
    <t>Your teacher lets the class choose a fun Friday activity. What do you vote for?</t>
  </si>
  <si>
    <t>Which textbook would you actually enjoy reading for fun?</t>
  </si>
  <si>
    <t>If your parents let you pick any job to 'test drive' for a day, what would it be?</t>
  </si>
  <si>
    <t>When working with classmates on homework, what's your usual job?</t>
  </si>
  <si>
    <t>Which club poster on the noticeboard would make you stop and read it?</t>
  </si>
  <si>
    <t>Which type of app or game do you show your friends most excitedly?</t>
  </si>
  <si>
    <t>Which movie trailer would make you want to watch it immediately?</t>
  </si>
  <si>
    <t>Which career fair booth would you want to volunteer at?</t>
  </si>
  <si>
    <t>A younger student is lost and looking worried. What's your instinct?</t>
  </si>
  <si>
    <t>If your class had a build-off competition, what would you make?</t>
  </si>
  <si>
    <t>If a magazine interviewed you as an adult, what would the article be about?</t>
  </si>
  <si>
    <t>If your class started a 'problem-solving club,' which topic excites you?</t>
  </si>
  <si>
    <t>Imagine your 25-year-old self's office or workplace. What's happening there?</t>
  </si>
  <si>
    <t>A game console won't turn on before movie night. What's your move?</t>
  </si>
  <si>
    <t>In a class cleanup drive, what task would you choose?</t>
  </si>
  <si>
    <t>Set 9</t>
  </si>
  <si>
    <t>You're bored and want to do something exciting. What do you do?</t>
  </si>
  <si>
    <t>If a new student asked what your favorite subject is, what would you say?</t>
  </si>
  <si>
    <t>Which profession would you want to interview for a school project?</t>
  </si>
  <si>
    <t>In a school club activity, what role do you usually take?</t>
  </si>
  <si>
    <t>If you had to choose one club to join for the whole year, which would it be?</t>
  </si>
  <si>
    <t>If you could only keep one type of game on your device, which would it be?</t>
  </si>
  <si>
    <t>If you could live inside any type of story, which would it be?</t>
  </si>
  <si>
    <t>If you were handing out flyers for a booth, which one would you want?</t>
  </si>
  <si>
    <t>Your friend is sad because their plan got cancelled. How do you help?</t>
  </si>
  <si>
    <t>Pick something you'd want to make for a school exhibition.</t>
  </si>
  <si>
    <t>What would you want written on your future achievement plaque?</t>
  </si>
  <si>
    <t>Which type of challenge would you pick for a school competition?</t>
  </si>
  <si>
    <t>If you had to guess your future career from today's interests, what's the workday like?</t>
  </si>
  <si>
    <t>Your favorite gadget stops charging. What's your first thought?</t>
  </si>
  <si>
    <t>If you were organizing a surprise party with friends, what would you handle?</t>
  </si>
  <si>
    <t>Set 10</t>
  </si>
  <si>
    <t>If you could plan the perfect day off from school, what's the main activity?</t>
  </si>
  <si>
    <t>Which subject's homework doesn't feel like work to you?</t>
  </si>
  <si>
    <t>If you won a 'dream job for a day' contest, which job would you choose?</t>
  </si>
  <si>
    <t>If you were grouped with strangers for a task, what would you naturally do?</t>
  </si>
  <si>
    <t>Pick the camp that sounds the most fun from this list.</t>
  </si>
  <si>
    <t>What kind of game world do you enjoy exploring the most?</t>
  </si>
  <si>
    <t>What kind of tale do you enjoy telling your friends?</t>
  </si>
  <si>
    <t>Which booth's activity would you want to try hands-on?</t>
  </si>
  <si>
    <t>Someone trips and drops all their books. What do you do first?</t>
  </si>
  <si>
    <t>If you could make one thing to show your family, what would it be?</t>
  </si>
  <si>
    <t>If your future self gave a speech, what accomplishment would they talk about?</t>
  </si>
  <si>
    <t>If you had unlimited resources to solve one problem, which would you choose?</t>
  </si>
  <si>
    <t>Picture your proudest work moment at age 25. What were you doing?</t>
  </si>
  <si>
    <t>A machine at school (like a printer) jams. What do you want to do?</t>
  </si>
  <si>
    <t>During a school fair, which job would you sign up for?</t>
  </si>
  <si>
    <t>LIVE RESULTS FOR YOUR SELECTED SET</t>
  </si>
  <si>
    <t>Cluster (Letter)</t>
  </si>
  <si>
    <t>Times Chosen</t>
  </si>
  <si>
    <t>Times It Appeared</t>
  </si>
  <si>
    <t>Your Score %</t>
  </si>
  <si>
    <t>YOUR TOP 3 CAREER FIELD MATCHES</t>
  </si>
  <si>
    <t>Rank</t>
  </si>
  <si>
    <t>Career Field</t>
  </si>
  <si>
    <t>Match</t>
  </si>
  <si>
    <t>Sample Pathways</t>
  </si>
  <si>
    <t>Note: change the set selector above to try a different set. Clear the 'Your Answer' column for the previous set first so scores reflect only the set you're currently taking.</t>
  </si>
  <si>
    <t>Class 9-10 (Ages 14-15) — Career Interest Quiz (10 Sets x 15 Questions)</t>
  </si>
  <si>
    <t>Framework basis: Holland's SDS (Self-Directed Search) style</t>
  </si>
  <si>
    <t>You've got a free Saturday with no homework due. What pulls you in most?</t>
  </si>
  <si>
    <t>1) Sketch, write lyrics, or edit a short video</t>
  </si>
  <si>
    <t>2) Plan a small sale or fundraiser with friends</t>
  </si>
  <si>
    <t>3) Organise a hangout or help a junior with homework</t>
  </si>
  <si>
    <t>4) Watch a science documentary or try a home experiment</t>
  </si>
  <si>
    <t>5) Play a match, watch sport, or plan a weekend trip</t>
  </si>
  <si>
    <t>1) Workshop, hands-on lab, or technical drawing</t>
  </si>
  <si>
    <t>2) Computer Science or coding electives</t>
  </si>
  <si>
    <t>3) Biology or Health Science</t>
  </si>
  <si>
    <t>4) Physics/Chemistry lab or environmental science</t>
  </si>
  <si>
    <t>5) Physical Education or sports coaching sessions</t>
  </si>
  <si>
    <t>1) Mobile App Developer or Game Designer</t>
  </si>
  <si>
    <t>2) Doctor or Sports Physiotherapist</t>
  </si>
  <si>
    <t>3) Animator, Musician, or Content Creator</t>
  </si>
  <si>
    <t>4) Entrepreneur or Marketing Manager</t>
  </si>
  <si>
    <t>5) Teacher or Counselor</t>
  </si>
  <si>
    <t>1) The one who builds or assembles the physical model</t>
  </si>
  <si>
    <t>2) The one who leads, pitches, and presents</t>
  </si>
  <si>
    <t>3) The one who makes sure everyone is included and heard</t>
  </si>
  <si>
    <t>4) The one who researches facts and checks accuracy</t>
  </si>
  <si>
    <t>5) The one who organizes logistics and keeps energy up</t>
  </si>
  <si>
    <t>Dream club or program</t>
  </si>
  <si>
    <t>Which of these sounds like the club you'd want to join this year?</t>
  </si>
  <si>
    <t>1) Weekend Robotics or Automotive Workshop</t>
  </si>
  <si>
    <t>2) Coding Bootcamp or Game Development Club</t>
  </si>
  <si>
    <t>3) Junior Medical / First-Responder Program</t>
  </si>
  <si>
    <t>4) Music, Art, or Film-making Workshop</t>
  </si>
  <si>
    <t>5) Sports Academy Trial or Adventure Camp</t>
  </si>
  <si>
    <t>App or game style</t>
  </si>
  <si>
    <t>What kind of apps or games do you use the most?</t>
  </si>
  <si>
    <t>1) Fitness or health-tracking apps</t>
  </si>
  <si>
    <t>2) Story-driven or creative design apps</t>
  </si>
  <si>
    <t>3) Business simulation or trading apps</t>
  </si>
  <si>
    <t>4) Social or team-collaboration apps</t>
  </si>
  <si>
    <t>5) Nature, survival, or exploration games</t>
  </si>
  <si>
    <t>Story or show style</t>
  </si>
  <si>
    <t>What kind of shows or movies do you enjoy most?</t>
  </si>
  <si>
    <t>1) Action/adventure with cool inventions or vehicles</t>
  </si>
  <si>
    <t>2) Sci-fi, hacking, or tech-thriller stories</t>
  </si>
  <si>
    <t>3) Stories about justice, activism, or community</t>
  </si>
  <si>
    <t>4) Stories about space, nature, or discovery</t>
  </si>
  <si>
    <t>5) Sports dramas or travel adventure stories</t>
  </si>
  <si>
    <t>If your school ran a mock 'career fair,' which booth excites you most?</t>
  </si>
  <si>
    <t>1) Engineering &amp; robotics booth</t>
  </si>
  <si>
    <t>2) Software/tech company booth</t>
  </si>
  <si>
    <t>3) Hospital/medical college booth</t>
  </si>
  <si>
    <t>4) Art, music, or film school booth</t>
  </si>
  <si>
    <t>5) Startup or business-school booth</t>
  </si>
  <si>
    <t>A classmate gets hurt or falls sick at school. What's your instinct?</t>
  </si>
  <si>
    <t>1) I'd write, draw, or create something to comfort them</t>
  </si>
  <si>
    <t>2) I'd rally friends or resources to help quickly</t>
  </si>
  <si>
    <t>3) I'd stay with them so they don't feel alone</t>
  </si>
  <si>
    <t>4) I'd want to understand exactly what happened first</t>
  </si>
  <si>
    <t>5) I'd suggest something fun to take their mind off it</t>
  </si>
  <si>
    <t>Pick a weekend project you'd enjoy making or building.</t>
  </si>
  <si>
    <t>1) Building or repairing a gadget/model</t>
  </si>
  <si>
    <t>2) Coding a small app or game</t>
  </si>
  <si>
    <t>3) Making a health-awareness poster or first-aid kit</t>
  </si>
  <si>
    <t>4) Running a small experiment or data project</t>
  </si>
  <si>
    <t>5) Organising a fun event or activity for others</t>
  </si>
  <si>
    <t>1) "Created a widely-used app or game"</t>
  </si>
  <si>
    <t>2) "Helped people stay healthy or heal"</t>
  </si>
  <si>
    <t>3) "Made art or music that moved people"</t>
  </si>
  <si>
    <t>4) "Built a thriving business"</t>
  </si>
  <si>
    <t>5) "Made a real difference in my community"</t>
  </si>
  <si>
    <t>Which of these problems would you actually enjoy digging into?</t>
  </si>
  <si>
    <t>1) How to design something sturdier, faster, or more efficient</t>
  </si>
  <si>
    <t>2) How to turn an idea into money</t>
  </si>
  <si>
    <t>3) How to make something fairer for a group of people</t>
  </si>
  <si>
    <t>4) How something in nature or science actually works</t>
  </si>
  <si>
    <t>5) How to make an event or experience more exciting</t>
  </si>
  <si>
    <t>1) Working on-site with machines, tools, or infrastructure</t>
  </si>
  <si>
    <t>2) Coding, building products, or managing tech systems</t>
  </si>
  <si>
    <t>3) Working in a hospital, clinic, or health-tech company</t>
  </si>
  <si>
    <t>4) Creating art, music, films, or content</t>
  </si>
  <si>
    <t>5) Coaching sports or managing hospitality/travel</t>
  </si>
  <si>
    <t>Imagine something at home stops working, what do you want to do?</t>
  </si>
  <si>
    <t>1) I make sure no one was put at risk</t>
  </si>
  <si>
    <t>2) I see if I can creatively repurpose or fix it up</t>
  </si>
  <si>
    <t>3) I weigh whether repairing or replacing makes more sense</t>
  </si>
  <si>
    <t>4) I let the right people know so it gets handled</t>
  </si>
  <si>
    <t>5) I want to understand the root cause before fixing it</t>
  </si>
  <si>
    <t>1) I like building, assembling, or setting things up</t>
  </si>
  <si>
    <t>2) I like managing the tech or digital side of things</t>
  </si>
  <si>
    <t>3) I like making sure everyone feels included</t>
  </si>
  <si>
    <t>4) I like nailing down the facts and rules</t>
  </si>
  <si>
    <t>5) I like keeping the group's energy and morale up</t>
  </si>
  <si>
    <t>You have an unplanned afternoon after school. What sounds most appealing?</t>
  </si>
  <si>
    <t>Which job would you want to try out for a school career-exposure day?</t>
  </si>
  <si>
    <t>If your school offered one special weekend workshop, which would you attend?</t>
  </si>
  <si>
    <t>If you downloaded a new app right now, what type would it be?</t>
  </si>
  <si>
    <t>If you were picking something for movie night, what genre would you choose?</t>
  </si>
  <si>
    <t>A friend twists their ankle during PE. What's your first instinct?</t>
  </si>
  <si>
    <t>If you had free materials and an afternoon, what would you make?</t>
  </si>
  <si>
    <t>If your school yearbook described you in one line, what would you want it to say?</t>
  </si>
  <si>
    <t>If you could fix one problem affecting your school or neighbourhood, what would it be?</t>
  </si>
  <si>
    <t>The Wi-Fi router or laptop suddenly stops working. What's your first move?</t>
  </si>
  <si>
    <t>Which class do you actually look forward to?</t>
  </si>
  <si>
    <t>If you had to dress up as a professional for career day, who would you be?</t>
  </si>
  <si>
    <t>Pick a program you'd actively ask your parents to enroll you in.</t>
  </si>
  <si>
    <t>Which type of show do you gravitate toward on streaming platforms?</t>
  </si>
  <si>
    <t>If you had to volunteer at one careers-fair stall for the day, which would you pick?</t>
  </si>
  <si>
    <t>A classmate looks visibly stressed before an exam. What do you do?</t>
  </si>
  <si>
    <t>What headline would you want about your future self?</t>
  </si>
  <si>
    <t>Which real-world mystery would you want to investigate given the chance?</t>
  </si>
  <si>
    <t>Your bike or scooter breaks down during a ride. What do you do?</t>
  </si>
  <si>
    <t>If you were designing your own app, what kind would it be?</t>
  </si>
  <si>
    <t>If you wrote a short story for a school magazine, what would it be about?</t>
  </si>
  <si>
    <t>A family member isn't feeling well at home. How do you want to help?</t>
  </si>
  <si>
    <t>If you got a box of craft supplies and a free evening, what would you try to make?</t>
  </si>
  <si>
    <t>If researchers needed student volunteers, which problem would you sign up for?</t>
  </si>
  <si>
    <t>Imagine your future self coming home from work — what did they do all day?</t>
  </si>
  <si>
    <t>The classroom projector freezes during a presentation. What's your instinct?</t>
  </si>
  <si>
    <t>You get to choose one activity for a free period. What do you choose?</t>
  </si>
  <si>
    <t>When a project group is confused about direction, what do you usually do?</t>
  </si>
  <si>
    <t>If you could attend any themed program this term, which would you pick?</t>
  </si>
  <si>
    <t>Which game or app genre do you always come back to?</t>
  </si>
  <si>
    <t>Which kind of show do you binge-watch the most with friends?</t>
  </si>
  <si>
    <t>Your pet or a neighbour's pet seems unwell. What's your first move?</t>
  </si>
  <si>
    <t>Pick a DIY or personal project you'd want to try this month.</t>
  </si>
  <si>
    <t>Which of these challenges would you enjoy working on with a team?</t>
  </si>
  <si>
    <t>A gadget breaks right before you need it. What do you do?</t>
  </si>
  <si>
    <t>Which profession looks the most exciting to you in shows or media?</t>
  </si>
  <si>
    <t>In a team competition, what role do you naturally fall into?</t>
  </si>
  <si>
    <t>If your friend recommended an app, which type would you actually try?</t>
  </si>
  <si>
    <t>If a new series in this genre came out, would you be first in line to watch it?</t>
  </si>
  <si>
    <t>A friend seems overwhelmed with schoolwork and stress. How do you react?</t>
  </si>
  <si>
    <t>If you had unlimited resources for one type of problem, which would you fix?</t>
  </si>
  <si>
    <t>The internet goes down at home during an assignment. What's your first reaction?</t>
  </si>
  <si>
    <t>During a group trip, what role do you naturally take?</t>
  </si>
  <si>
    <t>You have two free hours after tuition before dinner. How do you spend them?</t>
  </si>
  <si>
    <t>Which class project excites you most when it's announced?</t>
  </si>
  <si>
    <t>If your parents let you 'test drive' any job for a day, what would it be?</t>
  </si>
  <si>
    <t>If your group had to build or design something together, what would you focus on?</t>
  </si>
  <si>
    <t>If your best friend invited you to join a club, which type would excite you most?</t>
  </si>
  <si>
    <t>What kind of app would you use for hours without noticing the time?</t>
  </si>
  <si>
    <t>What kind of story keeps you up late watching 'one more episode'?</t>
  </si>
  <si>
    <t>If you got a goodie bag from only one stall at a careers fair, which would you pick?</t>
  </si>
  <si>
    <t>You see a classmate struggling to carry something heavy. What do you do?</t>
  </si>
  <si>
    <t>You're given an hour and some simple materials at a school fair. What do you create?</t>
  </si>
  <si>
    <t>What's the one thing you'd want to be recognized for?</t>
  </si>
  <si>
    <t>If your future self described their job to a younger student, what would they say?</t>
  </si>
  <si>
    <t>Something you built or set up falls apart. What do you do next?</t>
  </si>
  <si>
    <t>Your class gets to vote on a fun Friday activity. What do you vote for?</t>
  </si>
  <si>
    <t>When working with classmates on an assignment, what's your usual job?</t>
  </si>
  <si>
    <t>Which type of app do you recommend to your friends most excitedly?</t>
  </si>
  <si>
    <t>Which trailer would make you want to watch something immediately?</t>
  </si>
  <si>
    <t>A junior student looks lost and worried at school. What's your instinct?</t>
  </si>
  <si>
    <t>If your school started a 'problem-solving club,' which topic excites you?</t>
  </si>
  <si>
    <t>Imagine your 25-year-old self's workplace. What's happening there?</t>
  </si>
  <si>
    <t>A device won't turn on before an important use. What's your move?</t>
  </si>
  <si>
    <t>In a class cleanup or service drive, what task would you choose?</t>
  </si>
  <si>
    <t>You're bored and want to try something new. What do you do?</t>
  </si>
  <si>
    <t>If you had to choose one club for the whole year, which would it be?</t>
  </si>
  <si>
    <t>If you could only keep one type of app on your phone, which would it be?</t>
  </si>
  <si>
    <t>If you could live inside any type of story for a week, which would it be?</t>
  </si>
  <si>
    <t>Your friend is upset because their plans got cancelled. How do you help?</t>
  </si>
  <si>
    <t>Your phone stops charging. What's your first thought?</t>
  </si>
  <si>
    <t>If you were organizing an event with friends, what would you handle?</t>
  </si>
  <si>
    <t>If you could plan the perfect day off, what's the main activity?</t>
  </si>
  <si>
    <t>Which career would you want to explore during a school internship taster?</t>
  </si>
  <si>
    <t>If you were grouped with people you didn't know, what would you naturally do?</t>
  </si>
  <si>
    <t>Pick the program that sounds the most engaging from this list.</t>
  </si>
  <si>
    <t>What kind of digital world do you enjoy exploring the most?</t>
  </si>
  <si>
    <t>What kind of story do you enjoy discussing with your friends?</t>
  </si>
  <si>
    <t>Which booth's hands-on activity would you want to try at a school careers fair?</t>
  </si>
  <si>
    <t>If you could make one thing to show your family this weekend, what would it be?</t>
  </si>
  <si>
    <t>If you had to choose one issue to research deeply, which would it be?</t>
  </si>
  <si>
    <t>A school printer or machine jams. What do you want to do?</t>
  </si>
  <si>
    <t>Class 11-12 (Ages 16-17) — Career Interest Quiz (10 Sets x 15 Questions)</t>
  </si>
  <si>
    <t>Framework basis: Holland's SDS / Strong Interest Inventory style</t>
  </si>
  <si>
    <t>You have an unplanned free day before exams start. What do you gravitate toward?</t>
  </si>
  <si>
    <t>1) Work on a creative piece (art, music, writing, film)</t>
  </si>
  <si>
    <t>2) Test a small resale or business idea online</t>
  </si>
  <si>
    <t>3) Mentor a junior student or organise a community drive</t>
  </si>
  <si>
    <t>4) Read a science article or run a home experiment</t>
  </si>
  <si>
    <t>5) Train for a sport or plan a group trip</t>
  </si>
  <si>
    <t>Favorite subject or stream area</t>
  </si>
  <si>
    <t>Which subject area sounds most exciting to you?</t>
  </si>
  <si>
    <t>1) Engineering drawing, applied physics, or a technical elective</t>
  </si>
  <si>
    <t>2) Computer Science, programming, or a tech elective</t>
  </si>
  <si>
    <t>3) Biology, human physiology, or a pre-med elective</t>
  </si>
  <si>
    <t>4) Advanced chemistry, environmental science, or a research elective</t>
  </si>
  <si>
    <t>5) Sports science, physical education, or event-management elective</t>
  </si>
  <si>
    <t>1) App Developer or Game Designer</t>
  </si>
  <si>
    <t>2) Surgeon or Sports Physiotherapist</t>
  </si>
  <si>
    <t>3) Film Editor, Musician, or UX Designer</t>
  </si>
  <si>
    <t>4) Startup Founder or Brand Manager</t>
  </si>
  <si>
    <t>5) School Counselor or Policy Researcher</t>
  </si>
  <si>
    <t>1) The one who prototypes or physically builds the solution</t>
  </si>
  <si>
    <t>2) The one who pitches the idea and drives momentum</t>
  </si>
  <si>
    <t>3) The one who makes sure quieter voices get heard</t>
  </si>
  <si>
    <t>4) The one who fact-checks and validates the research</t>
  </si>
  <si>
    <t>5) The one who runs logistics and keeps morale up</t>
  </si>
  <si>
    <t>1) Pre-college Engineering Bootcamp or Maker Workshop</t>
  </si>
  <si>
    <t>2) App Development Bootcamp or Hackathon Prep</t>
  </si>
  <si>
    <t>3) Hospital Shadowing or Pre-Med Summer Program</t>
  </si>
  <si>
    <t>4) Portfolio-building Workshop (art/film/design)</t>
  </si>
  <si>
    <t>5) Sports Talent Camp or Event Management Workshop</t>
  </si>
  <si>
    <t>App or tool style</t>
  </si>
  <si>
    <t>What kind of apps or tools do you use the most?</t>
  </si>
  <si>
    <t>1) Health/fitness tracking or telemedicine apps</t>
  </si>
  <si>
    <t>2) Design, video-editing, or music-production apps</t>
  </si>
  <si>
    <t>3) Stock market or budgeting/investing apps</t>
  </si>
  <si>
    <t>4) Volunteering or community-organising apps</t>
  </si>
  <si>
    <t>5) Research, data, or citizen-science apps</t>
  </si>
  <si>
    <t>1) Engineering feats, heist, or survival-build stories</t>
  </si>
  <si>
    <t>2) Tech-thriller, hacking, or AI-focused stories</t>
  </si>
  <si>
    <t>3) Social-justice documentaries or activism stories</t>
  </si>
  <si>
    <t>4) Space exploration or nature documentaries</t>
  </si>
  <si>
    <t>5) Sports biopics or travel/adventure docuseries</t>
  </si>
  <si>
    <t>If your school ran a career fair, which booth excites you most?</t>
  </si>
  <si>
    <t>1) Engineering college or infrastructure-firm booth</t>
  </si>
  <si>
    <t>2) Tech company or coding-bootcamp booth</t>
  </si>
  <si>
    <t>3) Medical/nursing college booth</t>
  </si>
  <si>
    <t>4) Design or film school booth</t>
  </si>
  <si>
    <t>5) Business school or startup-incubator booth</t>
  </si>
  <si>
    <t>A friend is struggling and clearly not okay. What's your instinct?</t>
  </si>
  <si>
    <t>1) I'd express support through something creative</t>
  </si>
  <si>
    <t>2) I'd coordinate others to help solve it faster</t>
  </si>
  <si>
    <t>3) I'd focus on making sure they feel heard and supported</t>
  </si>
  <si>
    <t>4) I'd want to understand the root cause before responding</t>
  </si>
  <si>
    <t>5) I'd try to lighten the mood while helping</t>
  </si>
  <si>
    <t>1) Building or prototyping a working model</t>
  </si>
  <si>
    <t>2) Coding an app, script, or small tool</t>
  </si>
  <si>
    <t>3) Creating health-awareness content or a first-aid guide</t>
  </si>
  <si>
    <t>4) Running an experiment or independent research project</t>
  </si>
  <si>
    <t>5) Organising an event, tournament, or trip</t>
  </si>
  <si>
    <t>What would you like to be known for as an adult?</t>
  </si>
  <si>
    <t>1) "Built technology that people rely on"</t>
  </si>
  <si>
    <t>2) "Helped people live healthier lives"</t>
  </si>
  <si>
    <t>3) "Created work that moved or inspired people"</t>
  </si>
  <si>
    <t>4) "Built something entrepreneurial from scratch"</t>
  </si>
  <si>
    <t>5) "Made a lasting difference in people's lives"</t>
  </si>
  <si>
    <t>If you had to pick a research topic purely on interest, which problem would you choose?</t>
  </si>
  <si>
    <t>1) How to make a structure or system stronger and more efficient</t>
  </si>
  <si>
    <t>2) How to make a product or idea financially viable</t>
  </si>
  <si>
    <t>3) How to fix an unfair system or policy</t>
  </si>
  <si>
    <t>4) How a natural or scientific phenomenon actually works</t>
  </si>
  <si>
    <t>5) How to design a more memorable event or experience</t>
  </si>
  <si>
    <t>A day in your life at 28</t>
  </si>
  <si>
    <t>Imagine yourself at age 28 — what does your workday look like?</t>
  </si>
  <si>
    <t>1) Leading engineering or infrastructure projects on-site</t>
  </si>
  <si>
    <t>2) Building or scaling software products</t>
  </si>
  <si>
    <t>3) Practicing medicine or working in health-tech</t>
  </si>
  <si>
    <t>4) Working as a creative professional (design, film, writing)</t>
  </si>
  <si>
    <t>5) Managing sports programs or hospitality operations</t>
  </si>
  <si>
    <t>1) I check whether anyone's safety or wellbeing was affected</t>
  </si>
  <si>
    <t>2) I look for a creative workaround or redesign</t>
  </si>
  <si>
    <t>3) I weigh the cost of repair versus replacement</t>
  </si>
  <si>
    <t>4) I flag it to the right people so it gets resolved</t>
  </si>
  <si>
    <t>5) I want a clear root-cause explanation before acting</t>
  </si>
  <si>
    <t>1) I like building, prototyping, or physically setting things up</t>
  </si>
  <si>
    <t>2) I like owning the tech or digital execution</t>
  </si>
  <si>
    <t>3) I like making sure everyone's voice is heard</t>
  </si>
  <si>
    <t>4) I like verifying facts and keeping things accurate</t>
  </si>
  <si>
    <t>5) I like keeping morale and energy high</t>
  </si>
  <si>
    <t>You have an unplanned afternoon between coaching classes. What sounds most appealing?</t>
  </si>
  <si>
    <t>Which job would you want to try during a school career-exposure program?</t>
  </si>
  <si>
    <t>At a college/career expo, which stall would you visit first?</t>
  </si>
  <si>
    <t>A friend twists their ankle during sports practice. What's your first instinct?</t>
  </si>
  <si>
    <t>If a college recommendation letter described your best quality, what would it highlight?</t>
  </si>
  <si>
    <t>If you could fix one problem affecting your city, what would it be?</t>
  </si>
  <si>
    <t>Picture your future job at 28. What are you doing most of the day?</t>
  </si>
  <si>
    <t>If you had to run one booth at a college careers fair for a day, which would it be?</t>
  </si>
  <si>
    <t>A classmate looks visibly stressed before a big exam. What do you do?</t>
  </si>
  <si>
    <t>If a professor invited you to help with a research project, which topic would excite you most?</t>
  </si>
  <si>
    <t>If you fast-forward to being 28, what does your typical Tuesday look like?</t>
  </si>
  <si>
    <t>Your bike or scooter breaks down. What do you do?</t>
  </si>
  <si>
    <t>If you had to pitch an idea for a short film, what genre would it be?</t>
  </si>
  <si>
    <t>A close friend confides they're struggling. How do you want to help?</t>
  </si>
  <si>
    <t>If you had a free weekend and basic tools, what would you try to build or create?</t>
  </si>
  <si>
    <t>When a project group is unsure of direction, what do you usually do?</t>
  </si>
  <si>
    <t>Which app genre do you always come back to?</t>
  </si>
  <si>
    <t>Which kind of show do you recommend most to your classmates?</t>
  </si>
  <si>
    <t>A junior at school comes to you confused about something important. What's your first move?</t>
  </si>
  <si>
    <t>Which of these challenges would you pick for an inter-school competition?</t>
  </si>
  <si>
    <t>If a camera followed future-you around at 28, what would it capture?</t>
  </si>
  <si>
    <t>If you could focus deeply on only one subject, which would you keep?</t>
  </si>
  <si>
    <t>If a new series in this genre dropped the week before exams, would you still make time for it?</t>
  </si>
  <si>
    <t>A friend seems overwhelmed with exam pressure. How do you react?</t>
  </si>
  <si>
    <t>Picture yourself getting ready for work at 28. What job are you heading to?</t>
  </si>
  <si>
    <t>You have two free hours between coaching classes. How do you spend them?</t>
  </si>
  <si>
    <t>If your group had to design something together, what would you focus on?</t>
  </si>
  <si>
    <t>If you got a free workshop pass from only one booth at a college fair, which would you pick?</t>
  </si>
  <si>
    <t>You see someone in your class struggling with a heavy workload before deadlines. What do you do?</t>
  </si>
  <si>
    <t>You're given an hour and basic materials for a design challenge. What do you create?</t>
  </si>
  <si>
    <t>Which subject's textbook would you actually enjoy reading for fun?</t>
  </si>
  <si>
    <t>Imagine your 28-year-old self's workplace. What's happening there?</t>
  </si>
  <si>
    <t>If a junior asked what your favorite subject is, what would you say?</t>
  </si>
  <si>
    <t>If a college club adapted a story genre into a short film, which would you want it to be?</t>
  </si>
  <si>
    <t>Which career would you want to explore during a school-arranged internship taster?</t>
  </si>
  <si>
    <t>What kind of digital tool do you enjoy exploring the most?</t>
  </si>
  <si>
    <t>Which booth's hands-on demo would you want to try at a college fair?</t>
  </si>
  <si>
    <t>If you could make one thing to add to a college application portfolio, what would it be?</t>
  </si>
  <si>
    <t>Picture your proudest work moment at age 28. What were you doing?</t>
  </si>
  <si>
    <t>Graduate (Ages 18-21) — Career Interest Quiz (10 Sets x 15 Questions)</t>
  </si>
  <si>
    <t>You have a free Saturday with no assignments due. What do you spend it on?</t>
  </si>
  <si>
    <t>1) Work on a creative portfolio piece (design, music, writing, film)</t>
  </si>
  <si>
    <t>2) Test a small business, resale, or freelance gig idea</t>
  </si>
  <si>
    <t>3) Volunteer, tutor, or help organise a student event</t>
  </si>
  <si>
    <t>4) Read a research paper or run a small experiment/analysis</t>
  </si>
  <si>
    <t>5) Train for a sport, plan a trip, or explore a new city</t>
  </si>
  <si>
    <t>Favorite subject or coursework</t>
  </si>
  <si>
    <t>1) A hands-on engineering lab or workshop course</t>
  </si>
  <si>
    <t>2) A programming, data structures, or software course</t>
  </si>
  <si>
    <t>3) A human biology, anatomy, or public-health course</t>
  </si>
  <si>
    <t>4) A core science, research-methods, or environmental course</t>
  </si>
  <si>
    <t>5) A sports-management or hospitality-focused course</t>
  </si>
  <si>
    <t>1) Full-Stack Developer or Data Scientist</t>
  </si>
  <si>
    <t>2) Junior Doctor or Clinical Researcher</t>
  </si>
  <si>
    <t>3) Creative Director or Independent Filmmaker</t>
  </si>
  <si>
    <t>4) Startup Co-Founder or Brand Strategist</t>
  </si>
  <si>
    <t>5) NGO Program Officer or Policy Analyst</t>
  </si>
  <si>
    <t>1) The one who builds the working prototype</t>
  </si>
  <si>
    <t>2) The one who pitches to stakeholders and drives direction</t>
  </si>
  <si>
    <t>3) The one who resolves conflicts and keeps the team aligned</t>
  </si>
  <si>
    <t>4) The one who validates data and checks assumptions</t>
  </si>
  <si>
    <t>5) The one who manages timelines and keeps energy up</t>
  </si>
  <si>
    <t>Which of these sounds like the society you'd want to join this year?</t>
  </si>
  <si>
    <t>1) Manufacturing/Robotics Internship or Maker-space Residency</t>
  </si>
  <si>
    <t>2) Software Development Bootcamp or Open-Source Sprint</t>
  </si>
  <si>
    <t>3) Clinical Shadowing Program or Public Health Fellowship</t>
  </si>
  <si>
    <t>4) Design/Film Residency or Creative Portfolio Bootcamp</t>
  </si>
  <si>
    <t>5) Sports Management Internship or Hospitality Trainee Program</t>
  </si>
  <si>
    <t>1) Health/fitness apps or telemedicine platforms</t>
  </si>
  <si>
    <t>2) Design, video-editing, or music-production software</t>
  </si>
  <si>
    <t>3) Investing, budgeting, or startup-pitch tools</t>
  </si>
  <si>
    <t>4) Volunteering platforms or community-organising apps</t>
  </si>
  <si>
    <t>5) Data analysis or research/citation tools</t>
  </si>
  <si>
    <t>1) Engineering marvels or survival/build documentaries</t>
  </si>
  <si>
    <t>2) Tech-industry dramas or hacking thrillers</t>
  </si>
  <si>
    <t>3) Social-impact documentaries or activism stories</t>
  </si>
  <si>
    <t>4) Space, climate, or nature documentaries</t>
  </si>
  <si>
    <t>5) Sports documentaries or travel/adventure series</t>
  </si>
  <si>
    <t>If your college ran a placement or career fair, which booth excites you most?</t>
  </si>
  <si>
    <t>1) Infrastructure/manufacturing recruiter booth</t>
  </si>
  <si>
    <t>2) Tech company or product-company booth</t>
  </si>
  <si>
    <t>3) Hospital network or health-tech recruiter booth</t>
  </si>
  <si>
    <t>4) Media/design agency or studio booth</t>
  </si>
  <si>
    <t>5) Consulting firm or startup recruiter booth</t>
  </si>
  <si>
    <t>A coursemate is going through a rough patch. What's your instinct?</t>
  </si>
  <si>
    <t>1) I'd offer support through a thoughtful, creative gesture</t>
  </si>
  <si>
    <t>2) I'd mobilise friends or resources to help quickly</t>
  </si>
  <si>
    <t>3) I'd make sure they have someone to talk to</t>
  </si>
  <si>
    <t>4) I'd want a clear, evidence-based understanding of what happened</t>
  </si>
  <si>
    <t>5) I'd try to keep their spirits up with humour or distraction</t>
  </si>
  <si>
    <t>1) Building or prototyping a functional product</t>
  </si>
  <si>
    <t>2) Coding a personal project, script, or tool</t>
  </si>
  <si>
    <t>3) Creating health/wellness content or a support resource</t>
  </si>
  <si>
    <t>4) Running an independent research or data project</t>
  </si>
  <si>
    <t>5) Organising an event, trip, or competition</t>
  </si>
  <si>
    <t>What would you like to be known for in your career?</t>
  </si>
  <si>
    <t>1) "Built technology that solved a real problem"</t>
  </si>
  <si>
    <t>2) "Improved people's health or wellbeing at scale"</t>
  </si>
  <si>
    <t>3) "Created work that resonated deeply with people"</t>
  </si>
  <si>
    <t>4) "Built a venture from the ground up"</t>
  </si>
  <si>
    <t>5) "Made a lasting difference in my community"</t>
  </si>
  <si>
    <t>If you had to pick a capstone project topic, which problem would you choose?</t>
  </si>
  <si>
    <t>1) How to make a system or structure more efficient</t>
  </si>
  <si>
    <t>2) How to make a business model financially sustainable</t>
  </si>
  <si>
    <t>3) How to fix an unfair or broken system</t>
  </si>
  <si>
    <t>4) How an unexplained scientific phenomenon actually works</t>
  </si>
  <si>
    <t>5) How to design a more memorable experience or event</t>
  </si>
  <si>
    <t>A day in your life at 30</t>
  </si>
  <si>
    <t>Imagine yourself at age 30 — what does your workday look like?</t>
  </si>
  <si>
    <t>1) Leading engineering, construction, or manufacturing projects</t>
  </si>
  <si>
    <t>2) Building and scaling software products</t>
  </si>
  <si>
    <t>3) Practicing medicine, research, or working in health-tech</t>
  </si>
  <si>
    <t>4) Working as an established creative professional</t>
  </si>
  <si>
    <t>5) Managing sports, hospitality, or event operations at scale</t>
  </si>
  <si>
    <t>Imagine something at your place stops working, what do you want to do?</t>
  </si>
  <si>
    <t>1) I first check whether anyone's safety was put at risk</t>
  </si>
  <si>
    <t>2) I look for a creative or redesigned solution</t>
  </si>
  <si>
    <t>3) I weigh whether it's worth fixing, replacing, or outsourcing</t>
  </si>
  <si>
    <t>4) I escalate it to the right people so it's handled properly</t>
  </si>
  <si>
    <t>5) I want to understand the root cause before acting</t>
  </si>
  <si>
    <t>1) I like building or physically executing the plan</t>
  </si>
  <si>
    <t>2) I like owning the technical execution</t>
  </si>
  <si>
    <t>3) I like making sure quieter voices are heard</t>
  </si>
  <si>
    <t>4) I like verifying facts and validating the approach</t>
  </si>
  <si>
    <t>5) I like keeping team morale and momentum high</t>
  </si>
  <si>
    <t>You have an unplanned afternoon between classes. What sounds most appealing?</t>
  </si>
  <si>
    <t>Which job would you want to try during a college career-exposure program?</t>
  </si>
  <si>
    <t>If your college offered one special weekend workshop, which would you attend?</t>
  </si>
  <si>
    <t>A friend twists their ankle during a sports session. What's your first instinct?</t>
  </si>
  <si>
    <t>If your first performance review described your strength, what would you want it to say?</t>
  </si>
  <si>
    <t>If you could fix one problem affecting your industry, what would it be?</t>
  </si>
  <si>
    <t>Picture your future job at 30. What are you doing most of the day?</t>
  </si>
  <si>
    <t>During a college event, which task would you volunteer for?</t>
  </si>
  <si>
    <t>You can do anything you want this weekend. What do you pick?</t>
  </si>
  <si>
    <t>If you had to dress up as a professional for a college event, who would you be?</t>
  </si>
  <si>
    <t>Pick a program you'd actively seek out to join.</t>
  </si>
  <si>
    <t>If you had to represent your college at one company's booth for a day, which would it be?</t>
  </si>
  <si>
    <t>Your college has a 'maker day.' What would you build?</t>
  </si>
  <si>
    <t>If a professor invited you onto a funded research project, which topic would you choose?</t>
  </si>
  <si>
    <t>If you fast-forward to being 30, what does your typical Tuesday look like?</t>
  </si>
  <si>
    <t>If your team needed to divide up jobs for a fest, what would you pick?</t>
  </si>
  <si>
    <t>It's the first day of a college break. What's your ideal activity?</t>
  </si>
  <si>
    <t>If your college offered one new elective, which would you want it to be?</t>
  </si>
  <si>
    <t>Which student society would you join without hesitation?</t>
  </si>
  <si>
    <t>If you had to pitch a screenplay idea, what genre would it be?</t>
  </si>
  <si>
    <t>A friend back home is going through a tough time. How do you want to help?</t>
  </si>
  <si>
    <t>If you had a free weekend and access to a maker-space, what would you build or create?</t>
  </si>
  <si>
    <t>You get to choose one activity for a free slot in your schedule. What do you choose?</t>
  </si>
  <si>
    <t>Which subject do you find yourself thinking about even outside class?</t>
  </si>
  <si>
    <t>If you could swap places with any professional for a day, whose job would you want?</t>
  </si>
  <si>
    <t>If you could attend any themed program this semester, which would you pick?</t>
  </si>
  <si>
    <t>Which kind of show do you and your coursemates binge together?</t>
  </si>
  <si>
    <t>If your college invited professionals to visit, which one would you want to meet?</t>
  </si>
  <si>
    <t>A junior student asks you for guidance on something important. What's your first move?</t>
  </si>
  <si>
    <t>What do you hope your friends say about you in ten years?</t>
  </si>
  <si>
    <t>Which of these challenges would you pick for a hackathon or case competition?</t>
  </si>
  <si>
    <t>If a camera followed future-you around at 30, what would it capture?</t>
  </si>
  <si>
    <t>If your college ran a mini-festival, what job would you want?</t>
  </si>
  <si>
    <t>If your roommate asked 'what do you want to do today?', what would you say?</t>
  </si>
  <si>
    <t>In a team competition or hackathon, what role do you naturally fall into?</t>
  </si>
  <si>
    <t>Which workshop would you choose at a college activity fair?</t>
  </si>
  <si>
    <t>If a new series in this genre dropped during finals week, would you still make time for it?</t>
  </si>
  <si>
    <t>A friend seems overwhelmed with coursework and stress. How do you react?</t>
  </si>
  <si>
    <t>Picture yourself getting ready for work at 30. What job are you heading to?</t>
  </si>
  <si>
    <t>The internet goes down during an assignment. What's your first reaction?</t>
  </si>
  <si>
    <t>You have two free hours between lectures. How do you spend them?</t>
  </si>
  <si>
    <t>If your college let you 'test drive' any job for a day, what would it be?</t>
  </si>
  <si>
    <t>If your best friend invited you to join a society, which type would excite you most?</t>
  </si>
  <si>
    <t>If you got a free trial internship from only one company at placements, which would you pick?</t>
  </si>
  <si>
    <t>You see a coursemate struggling to carry equipment for a project. What do you do?</t>
  </si>
  <si>
    <t>You're given an hour and a small budget for a rapid prototyping challenge. What do you create?</t>
  </si>
  <si>
    <t>If your future self described their job to a student, what would they say?</t>
  </si>
  <si>
    <t>Your friend group votes on a fun Friday plan. What do you vote for?</t>
  </si>
  <si>
    <t>Which subject's reading would you actually enjoy for fun?</t>
  </si>
  <si>
    <t>Which profession would you want to interview for a college project?</t>
  </si>
  <si>
    <t>Which society poster on the noticeboard would make you stop and read it?</t>
  </si>
  <si>
    <t>A junior student looks lost and worried on campus. What's your instinct?</t>
  </si>
  <si>
    <t>If a magazine interviewed you as a professional, what would the article be about?</t>
  </si>
  <si>
    <t>If your college started a 'problem-solving society,' which topic excites you?</t>
  </si>
  <si>
    <t>Imagine your 30-year-old self's workplace. What's happening there?</t>
  </si>
  <si>
    <t>In a campus cleanup or service drive, what task would you choose?</t>
  </si>
  <si>
    <t>If a junior student asked what your favorite subject is, what would you say?</t>
  </si>
  <si>
    <t>In a college society activity, what role do you usually take?</t>
  </si>
  <si>
    <t>If you had to choose one society for the whole year, which would it be?</t>
  </si>
  <si>
    <t>If you could intern on the set of any type of production, which genre would you choose?</t>
  </si>
  <si>
    <t>Pick something you'd want to make for a college exhibition.</t>
  </si>
  <si>
    <t>Which type of challenge would you pick for a college competition?</t>
  </si>
  <si>
    <t>Which subject's assignments don't feel like work to you?</t>
  </si>
  <si>
    <t>Which career would you want to explore during an internship taster?</t>
  </si>
  <si>
    <t>Which recruiter's hands-on case study would you want to try at placements?</t>
  </si>
  <si>
    <t>If you could make one thing to add to your professional portfolio, what would it be?</t>
  </si>
  <si>
    <t>Picture your proudest work moment at age 30. What were you doing?</t>
  </si>
  <si>
    <t>A shared printer or machine jams. What do you want to do?</t>
  </si>
  <si>
    <t>During a college fest, which job would you sign up for?</t>
  </si>
  <si>
    <t>Early Career (Ages 21-25) — Career Interest Quiz (10 Sets x 15 Questions)</t>
  </si>
  <si>
    <t>Framework basis: Strong Interest Inventory / O*NET style</t>
  </si>
  <si>
    <t>You have a free Saturday with no pending work tasks. What do you spend it on?</t>
  </si>
  <si>
    <t>1) Work on a creative side project (design, music, writing, film)</t>
  </si>
  <si>
    <t>2) Work on a side hustle, freelance gig, or small investment</t>
  </si>
  <si>
    <t>3) Volunteer, mentor a new joinee, or help organise a community event</t>
  </si>
  <si>
    <t>4) Read a research article or run a small personal experiment</t>
  </si>
  <si>
    <t>5) Train for a sport, plan a trip, or try a new hobby</t>
  </si>
  <si>
    <t>Favorite type of work task</t>
  </si>
  <si>
    <t>Which kind of work task sounds most exciting to you?</t>
  </si>
  <si>
    <t>1) Hands-on technical or equipment-based tasks</t>
  </si>
  <si>
    <t>2) Coding, building tools, or working with data/software</t>
  </si>
  <si>
    <t>3) Tasks involving people's health, safety, or wellbeing</t>
  </si>
  <si>
    <t>4) Research, analysis, or lab/field-based tasks</t>
  </si>
  <si>
    <t>5) Event planning, hospitality, or fitness/wellness tasks</t>
  </si>
  <si>
    <t>Dream role for a day</t>
  </si>
  <si>
    <t>1) Software Engineer or Product Analyst</t>
  </si>
  <si>
    <t>2) Clinical Specialist or Health-Tech Product Manager</t>
  </si>
  <si>
    <t>3) Creative Lead or Content Strategist</t>
  </si>
  <si>
    <t>4) Business Development Manager or Growth Marketer</t>
  </si>
  <si>
    <t>5) HR Business Partner or Public-Policy Associate</t>
  </si>
  <si>
    <t>Team project role</t>
  </si>
  <si>
    <t>In a team project, what role do you naturally take?</t>
  </si>
  <si>
    <t>1) The one who owns the technical build or implementation</t>
  </si>
  <si>
    <t>2) The one who owns stakeholder buy-in and the business case</t>
  </si>
  <si>
    <t>3) The one who mentors newer team members and resolves conflict</t>
  </si>
  <si>
    <t>4) The one who owns research, analysis, or quality validation</t>
  </si>
  <si>
    <t>5) The one who owns logistics, timelines, and team morale</t>
  </si>
  <si>
    <t>Dream training or program</t>
  </si>
  <si>
    <t>Which of these programs would you want to enroll in this year?</t>
  </si>
  <si>
    <t>1) On-the-job Engineering Certification or Equipment Training</t>
  </si>
  <si>
    <t>2) Advanced Coding Bootcamp or Cloud Certification</t>
  </si>
  <si>
    <t>3) Public Health Certificate or Clinical Upskilling Program</t>
  </si>
  <si>
    <t>4) Design Systems Workshop or Content Strategy Certification</t>
  </si>
  <si>
    <t>5) Event Management Certification or Hospitality Leadership Program</t>
  </si>
  <si>
    <t>What kind of apps or tools do you use the most at work?</t>
  </si>
  <si>
    <t>1) Health/wellness apps or workplace-safety tools</t>
  </si>
  <si>
    <t>2) Design, content, or creative-production software</t>
  </si>
  <si>
    <t>3) CRM, sales, or business-analytics tools</t>
  </si>
  <si>
    <t>4) HR/people-ops tools or community platforms</t>
  </si>
  <si>
    <t>5) Data-analysis or research/BI tools</t>
  </si>
  <si>
    <t>1) Engineering/infrastructure documentaries</t>
  </si>
  <si>
    <t>2) Tech-industry dramas or startup-tech thrillers</t>
  </si>
  <si>
    <t>3) Social-impact or workplace-culture documentaries</t>
  </si>
  <si>
    <t>4) Science, climate, or space documentaries</t>
  </si>
  <si>
    <t>5) Sports-business documentaries or travel series</t>
  </si>
  <si>
    <t>Industry event booth</t>
  </si>
  <si>
    <t>If you attended an industry conference, which booth excites you most?</t>
  </si>
  <si>
    <t>1) Engineering/operations firm booth</t>
  </si>
  <si>
    <t>2) Product or tech company booth</t>
  </si>
  <si>
    <t>3) Healthcare or health-tech company booth</t>
  </si>
  <si>
    <t>4) Creative agency or media-company booth</t>
  </si>
  <si>
    <t>5) Consulting or business-strategy firm booth</t>
  </si>
  <si>
    <t>A colleague is visibly struggling with something. What's your instinct?</t>
  </si>
  <si>
    <t>1) I'd offer support in a thoughtful, personal way</t>
  </si>
  <si>
    <t>2) I'd pull in the right people or resources quickly</t>
  </si>
  <si>
    <t>3) I'd make time to listen and offer steady support</t>
  </si>
  <si>
    <t>4) I'd want to fully understand the situation before acting</t>
  </si>
  <si>
    <t>5) I'd try to lighten the mood and keep morale up</t>
  </si>
  <si>
    <t>1) Building or prototyping a functional product or tool</t>
  </si>
  <si>
    <t>2) Building a personal coding project or automation script</t>
  </si>
  <si>
    <t>3) Creating a wellness resource or health-awareness content</t>
  </si>
  <si>
    <t>4) Running a personal research or data-analysis project</t>
  </si>
  <si>
    <t>5) Organising a trip, event, or team activity</t>
  </si>
  <si>
    <t>1) "Shipped technology that genuinely helped people"</t>
  </si>
  <si>
    <t>2) "Improved people's health or wellbeing"</t>
  </si>
  <si>
    <t>3) "Created work that resonated with people"</t>
  </si>
  <si>
    <t>4) "Grew something from an idea into a real business"</t>
  </si>
  <si>
    <t>5) "Made a meaningful difference for people or a cause"</t>
  </si>
  <si>
    <t>If your company let you pick a passion project, which problem would you tackle?</t>
  </si>
  <si>
    <t>1) How to make a process, system, or product more efficient</t>
  </si>
  <si>
    <t>2) How to make a business or product more profitable</t>
  </si>
  <si>
    <t>3) How to fix a broken process or unfair policy</t>
  </si>
  <si>
    <t>4) How an unresolved technical or scientific question works</t>
  </si>
  <si>
    <t>5) How to design a better customer or team experience</t>
  </si>
  <si>
    <t>1) Leading engineering or operations projects</t>
  </si>
  <si>
    <t>2) Building and scaling software or technical products</t>
  </si>
  <si>
    <t>3) Working in clinical practice or health-tech leadership</t>
  </si>
  <si>
    <t>4) Working as an established creative or media professional</t>
  </si>
  <si>
    <t>5) Managing sports, hospitality, or event operations</t>
  </si>
  <si>
    <t>1) I check whether anyone's safety or the team's wellbeing was affected</t>
  </si>
  <si>
    <t>2) I look for a creative fix or redesign</t>
  </si>
  <si>
    <t>3) I weigh the cost/benefit of fixing versus replacing</t>
  </si>
  <si>
    <t>4) I escalate it through the right channels so it's resolved</t>
  </si>
  <si>
    <t>5) I want a thorough root-cause explanation before acting</t>
  </si>
  <si>
    <t>In a team activity, what part do you enjoy most?</t>
  </si>
  <si>
    <t>1) I like owning the hands-on execution</t>
  </si>
  <si>
    <t>2) I like owning the technical or systems side</t>
  </si>
  <si>
    <t>3) I like mentoring others and resolving friction</t>
  </si>
  <si>
    <t>4) I like validating the approach with data or evidence</t>
  </si>
  <si>
    <t>5) I like keeping morale and momentum high</t>
  </si>
  <si>
    <t>You have an unplanned evening after work. What sounds most appealing?</t>
  </si>
  <si>
    <t>If you had to pick just one type of task to do all day, which would it be?</t>
  </si>
  <si>
    <t>Which role would you want to try during a company job-shadow day?</t>
  </si>
  <si>
    <t>When your team is split into work streams, what job do you usually end up doing?</t>
  </si>
  <si>
    <t>If your company offered one special training program, which would you attend?</t>
  </si>
  <si>
    <t>If you tried a new work tool right now, what type would it be?</t>
  </si>
  <si>
    <t>A colleague twists their ankle at a company sports event. What's your first instinct?</t>
  </si>
  <si>
    <t>If your manager described your reputation on the team, what would you want it to be?</t>
  </si>
  <si>
    <t>If you could fix one systemic problem at your workplace, what would it be?</t>
  </si>
  <si>
    <t>Picture your future role at 30. What are you doing most of the day?</t>
  </si>
  <si>
    <t>During a company event, which task would you volunteer for?</t>
  </si>
  <si>
    <t>Which task at work do you actually look forward to?</t>
  </si>
  <si>
    <t>If you had to swap jobs with a colleague for a day, whose role would you want?</t>
  </si>
  <si>
    <t>During a team presentation, what part do you handle?</t>
  </si>
  <si>
    <t>If you had to work your company's booth at an industry expo for a day, which team would you represent?</t>
  </si>
  <si>
    <t>A colleague looks visibly stressed before a big deadline. What do you do?</t>
  </si>
  <si>
    <t>Your workplace has a 'hack day.' What would you build?</t>
  </si>
  <si>
    <t>If your company launched an innovation challenge, which problem would you enter?</t>
  </si>
  <si>
    <t>Your bike or car breaks down. What do you do?</t>
  </si>
  <si>
    <t>If your team needed to divide up jobs for an offsite, what would you pick?</t>
  </si>
  <si>
    <t>It's the first day of your annual leave. What's your ideal activity?</t>
  </si>
  <si>
    <t>If your role added one new responsibility, which would you want it to be?</t>
  </si>
  <si>
    <t>If your team needed to divide tasks, which task would you volunteer for?</t>
  </si>
  <si>
    <t>Which professional community would you join without hesitation?</t>
  </si>
  <si>
    <t>If you were designing your own tool, what kind would it be?</t>
  </si>
  <si>
    <t>If you had to recommend a documentary series to a colleague, what genre would it be?</t>
  </si>
  <si>
    <t>Which conference table would you linger at the longest?</t>
  </si>
  <si>
    <t>A friend going through a career setback reaches out. How do you want to help?</t>
  </si>
  <si>
    <t>If you had a free weekend and a small budget, what side project would you start?</t>
  </si>
  <si>
    <t>If your company needed volunteers for a new initiative, which problem would you sign up for?</t>
  </si>
  <si>
    <t>The conference room projector freezes during a presentation. What's your instinct?</t>
  </si>
  <si>
    <t>In a volunteering activity, what role feels natural to you?</t>
  </si>
  <si>
    <t>You get to choose one activity for a rare free afternoon. What do you choose?</t>
  </si>
  <si>
    <t>Which type of task do you find yourself thinking about even after work?</t>
  </si>
  <si>
    <t>When a project team is unsure of direction, what do you usually do?</t>
  </si>
  <si>
    <t>If you could attend any themed program this year, which would you pick?</t>
  </si>
  <si>
    <t>Which kind of show do you unwind with after work?</t>
  </si>
  <si>
    <t>If your company invited professionals to visit, which one would you want to meet?</t>
  </si>
  <si>
    <t>A new joinee on your team looks lost and overwhelmed. What's your first move?</t>
  </si>
  <si>
    <t>What do you hope your colleagues say about you in ten years?</t>
  </si>
  <si>
    <t>Which of these challenges would you volunteer for in an internal hackathon?</t>
  </si>
  <si>
    <t>If your team ran a mini-event, what job would you want?</t>
  </si>
  <si>
    <t>If you could focus deeply on only one kind of task, which would you keep?</t>
  </si>
  <si>
    <t>In a cross-functional project, what role do you naturally fall into?</t>
  </si>
  <si>
    <t>Which workshop would you choose at an industry event?</t>
  </si>
  <si>
    <t>If a colleague recommended an app, which type would you actually try?</t>
  </si>
  <si>
    <t>If a new series in this genre dropped, would you binge it over a weekend?</t>
  </si>
  <si>
    <t>Which stand at an expo would you drag your colleagues over to see?</t>
  </si>
  <si>
    <t>A friend seems overwhelmed with work stress. How do you react?</t>
  </si>
  <si>
    <t>If you joined a maker's community, what would you want to build first?</t>
  </si>
  <si>
    <t>The internet goes down during a deadline. What's your first reaction?</t>
  </si>
  <si>
    <t>During a team trip, what role do you naturally take?</t>
  </si>
  <si>
    <t>You have two free hours after work before dinner. How do you spend them?</t>
  </si>
  <si>
    <t>Which work project excites you most when it's announced?</t>
  </si>
  <si>
    <t>If your company let you 'test drive' any role for a day, what would it be?</t>
  </si>
  <si>
    <t>If your team had to design something together, what would you focus on?</t>
  </si>
  <si>
    <t>If a colleague invited you to join a program, which type would excite you most?</t>
  </si>
  <si>
    <t>If you got a free training slot from only one booth at an industry expo, which would you pick?</t>
  </si>
  <si>
    <t>You see a colleague visibly overloaded with work. What do you do?</t>
  </si>
  <si>
    <t>You're given an hour and simple office supplies for a team challenge. What do you create?</t>
  </si>
  <si>
    <t>If your future self described their job to a new graduate, what would they say?</t>
  </si>
  <si>
    <t>If your team is prepping for a big pitch, what's your job?</t>
  </si>
  <si>
    <t>Your friend group votes on a fun weekend plan. What do you vote for?</t>
  </si>
  <si>
    <t>Which type of task doesn't feel like work to you?</t>
  </si>
  <si>
    <t>Which profession would you want to interview for an internal newsletter?</t>
  </si>
  <si>
    <t>When working with colleagues on a deliverable, what's your usual job?</t>
  </si>
  <si>
    <t>Which training announcement would make you stop and read it?</t>
  </si>
  <si>
    <t>Which type of app do you recommend to colleagues most excitedly?</t>
  </si>
  <si>
    <t>Which industry event booth would you want to volunteer at?</t>
  </si>
  <si>
    <t>A new colleague looks lost and worried on their first day. What's your instinct?</t>
  </si>
  <si>
    <t>If your team had a build-off competition, what would you make?</t>
  </si>
  <si>
    <t>If your workplace started a 'problem-solving task force,' which topic excites you?</t>
  </si>
  <si>
    <t>In a team cleanup or CSR drive, what task would you choose?</t>
  </si>
  <si>
    <t>If a new hire asked what your favorite part of the job is, what would you say?</t>
  </si>
  <si>
    <t>In a workplace committee or initiative, what role do you usually take?</t>
  </si>
  <si>
    <t>If you had to choose one program for the whole year, which would it be?</t>
  </si>
  <si>
    <t>If your company sponsored a content series, which genre would you want it to be?</t>
  </si>
  <si>
    <t>Pick something you'd want to make for a company showcase.</t>
  </si>
  <si>
    <t>Which type of challenge would you pick for an internal hackathon?</t>
  </si>
  <si>
    <t>If you had to guess your future role from today's interests, what's the workday like?</t>
  </si>
  <si>
    <t>If you were organizing an event with colleagues, what would you handle?</t>
  </si>
  <si>
    <t>Which task would you volunteer for even if it wasn't assigned to you?</t>
  </si>
  <si>
    <t>Which career would you want to explore in a possible future pivot?</t>
  </si>
  <si>
    <t>If you were grouped with colleagues you didn't know well, what would you naturally do?</t>
  </si>
  <si>
    <t>Which booth's hands-on demo would you want to try at an industry expo?</t>
  </si>
  <si>
    <t>Someone trips and drops all their files. What do you do first?</t>
  </si>
  <si>
    <t>If you could build one side project to showcase at work, what would it be?</t>
  </si>
  <si>
    <t>A shared office printer or machine jams. What do you want to do?</t>
  </si>
  <si>
    <t>During a company fair, which job would you sign up for?</t>
  </si>
  <si>
    <t>Professionals (Ages 25-55) — Career Interest Quiz (10 Sets x 15 Questions)</t>
  </si>
  <si>
    <t>Framework basis: O*NET Interest Profiler style (for career pivots)</t>
  </si>
  <si>
    <t>You have a rare fully free Saturday. What do you find yourself doing?</t>
  </si>
  <si>
    <t>1) Pursue a creative side project (design, music, writing, or film)</t>
  </si>
  <si>
    <t>2) Work on a side venture, investment, or consulting gig</t>
  </si>
  <si>
    <t>3) Volunteer, mentor someone earlier in their career, or lead a community initiative</t>
  </si>
  <si>
    <t>4) Read an industry/research report or explore a personal research question</t>
  </si>
  <si>
    <t>5) Train for a sport, plan a trip, or pursue a long-held hobby</t>
  </si>
  <si>
    <t>Which kind of work task sounds most energizing to you?</t>
  </si>
  <si>
    <t>1) Hands-on technical, engineering, or infrastructure tasks</t>
  </si>
  <si>
    <t>2) Coding, systems work, or working with data/software</t>
  </si>
  <si>
    <t>3) Tasks focused on people's health, safety, or long-term wellbeing</t>
  </si>
  <si>
    <t>4) Research, analysis, or innovation-focused tasks</t>
  </si>
  <si>
    <t>5) Event, hospitality, or wellness-program tasks</t>
  </si>
  <si>
    <t>Dream role for a day (a pivot)</t>
  </si>
  <si>
    <t>If you could pivot into any professional's role for a day, who would you choose?</t>
  </si>
  <si>
    <t>1) CTO-track Engineer or Data Science Lead</t>
  </si>
  <si>
    <t>2) Healthcare Administrator or Health-Tech Founder</t>
  </si>
  <si>
    <t>3) Creative Director or Media Executive</t>
  </si>
  <si>
    <t>4) General Manager or Business Strategy Consultant</t>
  </si>
  <si>
    <t>5) Policy Advisor or Organisational Development Lead</t>
  </si>
  <si>
    <t>1) The one who owns technical delivery or infrastructure decisions</t>
  </si>
  <si>
    <t>2) The one who owns the business case and executive buy-in</t>
  </si>
  <si>
    <t>3) The one who develops people and manages team dynamics</t>
  </si>
  <si>
    <t>4) The one who owns strategy research and risk analysis</t>
  </si>
  <si>
    <t>5) The one who owns program logistics and team culture</t>
  </si>
  <si>
    <t>Dream program or credential</t>
  </si>
  <si>
    <t>1) Executive Engineering/Operations Certification</t>
  </si>
  <si>
    <t>2) Advanced Data/AI Certification or Executive Tech Program</t>
  </si>
  <si>
    <t>3) Healthcare Leadership Program or Public Health Executive Course</t>
  </si>
  <si>
    <t>4) Creative Leadership Program or Brand Strategy Certification</t>
  </si>
  <si>
    <t>5) Hospitality/Sports Business Executive Program</t>
  </si>
  <si>
    <t>1) Workplace wellness or healthcare-management systems</t>
  </si>
  <si>
    <t>2) Brand/content management or creative-direction tools</t>
  </si>
  <si>
    <t>3) CRM, strategy, or business-intelligence tools</t>
  </si>
  <si>
    <t>4) People-management or organisational-culture platforms</t>
  </si>
  <si>
    <t>5) Data/BI or innovation-management tools</t>
  </si>
  <si>
    <t>1) Infrastructure/engineering history documentaries</t>
  </si>
  <si>
    <t>2) Tech-industry biographies or AI-focused documentaries</t>
  </si>
  <si>
    <t>3) Social-impact or organisational-change documentaries</t>
  </si>
  <si>
    <t>4) Science/innovation or climate documentaries</t>
  </si>
  <si>
    <t>5) Sports-business or travel/lifestyle documentaries</t>
  </si>
  <si>
    <t>1) Infrastructure/engineering leadership track booth</t>
  </si>
  <si>
    <t>2) Tech leadership or CTO-track booth</t>
  </si>
  <si>
    <t>3) Healthcare leadership or health-policy booth</t>
  </si>
  <si>
    <t>4) Creative/media leadership booth</t>
  </si>
  <si>
    <t>5) Executive consulting or general-management booth</t>
  </si>
  <si>
    <t>Someone on your team is going through a difficult time. What's your instinct?</t>
  </si>
  <si>
    <t>1) I'd offer support in a considered, personal way</t>
  </si>
  <si>
    <t>2) I'd coordinate the right people and resources</t>
  </si>
  <si>
    <t>3) I'd make space to listen without rushing to fix it</t>
  </si>
  <si>
    <t>4) I'd want a clear-eyed, evidence-based read on the situation</t>
  </si>
  <si>
    <t>5) I'd try to keep morale and perspective steady</t>
  </si>
  <si>
    <t>Pick a personal project you'd enjoy making or building.</t>
  </si>
  <si>
    <t>1) Building or improving a functional product, tool, or process</t>
  </si>
  <si>
    <t>2) Building a personal coding project or automation tool</t>
  </si>
  <si>
    <t>3) Creating a wellness resource or health initiative</t>
  </si>
  <si>
    <t>4) Running a personal research project or deep-dive analysis</t>
  </si>
  <si>
    <t>5) Organising a trip, event, or team-building activity</t>
  </si>
  <si>
    <t>What would you like to be known for by the end of your career?</t>
  </si>
  <si>
    <t>1) "Built technology that changed how people work"</t>
  </si>
  <si>
    <t>2) "Improved health or wellbeing at a meaningful scale"</t>
  </si>
  <si>
    <t>3) "Created work that shaped culture or inspired others"</t>
  </si>
  <si>
    <t>4) "Built or led something that grew into lasting success"</t>
  </si>
  <si>
    <t>5) "Made a lasting difference in people's lives or my field"</t>
  </si>
  <si>
    <t>If you had a sabbatical to work on one problem, which would you choose?</t>
  </si>
  <si>
    <t>1) How to make a process, system, or organisation more efficient</t>
  </si>
  <si>
    <t>2) How to make an organisation or venture more profitable or sustainable</t>
  </si>
  <si>
    <t>3) How to fix a systemic or organisational unfairness</t>
  </si>
  <si>
    <t>4) How an unresolved strategic or scientific question works</t>
  </si>
  <si>
    <t>5) How to design a better long-term customer or employee experience</t>
  </si>
  <si>
    <t>A day in your life if you pivoted</t>
  </si>
  <si>
    <t>Imagine you pivoted into a new career — what does your workday look like?</t>
  </si>
  <si>
    <t>1) Leading engineering, infrastructure, or operations at a senior level</t>
  </si>
  <si>
    <t>2) Leading technology strategy or a technical product organisation</t>
  </si>
  <si>
    <t>3) Leading healthcare delivery or a health-tech organisation</t>
  </si>
  <si>
    <t>4) Leading creative or brand strategy at a senior level</t>
  </si>
  <si>
    <t>5) Leading a hospitality, sports, or lifestyle business</t>
  </si>
  <si>
    <t>1) I assess whether anyone's safety or wellbeing was compromised</t>
  </si>
  <si>
    <t>2) I look for a creative or strategic redesign</t>
  </si>
  <si>
    <t>3) I weigh the cost/benefit of fixing, replacing, or outsourcing</t>
  </si>
  <si>
    <t>4) I escalate through the right channels and ensure accountability</t>
  </si>
  <si>
    <t>5) I want a rigorous root-cause analysis before acting</t>
  </si>
  <si>
    <t>1) I like owning execution and operational delivery</t>
  </si>
  <si>
    <t>2) I like owning the technical or systems strategy</t>
  </si>
  <si>
    <t>3) I like developing people and resolving team friction</t>
  </si>
  <si>
    <t>4) I like validating strategy with data and evidence</t>
  </si>
  <si>
    <t>5) I like owning culture, morale, and long-term momentum</t>
  </si>
  <si>
    <t>Which role would you want to try if you completely changed careers?</t>
  </si>
  <si>
    <t>If your organization offered one special leadership program, which would you attend?</t>
  </si>
  <si>
    <t>If your professional obituary summed up your career, what would you want it to say?</t>
  </si>
  <si>
    <t>If you could fix one long-standing problem in your industry, what would it be?</t>
  </si>
  <si>
    <t>Picture your post-pivot role. What are you doing most of the day?</t>
  </si>
  <si>
    <t>If you had to swap careers with someone for a month, whose role would you want?</t>
  </si>
  <si>
    <t>Which type of tool do you spend the most time using?</t>
  </si>
  <si>
    <t>If you had to lead your company's presence at an industry conference for a day, which area would you showcase?</t>
  </si>
  <si>
    <t>Your workplace has an 'innovation day.' What would you build?</t>
  </si>
  <si>
    <t>What headline would you want about your career legacy?</t>
  </si>
  <si>
    <t>If you were asked to consult on any industry's toughest problem, which would you pick?</t>
  </si>
  <si>
    <t>If you switched careers next year, what would a typical Tuesday look like?</t>
  </si>
  <si>
    <t>Your car breaks down. What do you do?</t>
  </si>
  <si>
    <t>It's the first day of a vacation. What's your ideal activity?</t>
  </si>
  <si>
    <t>If you had to recommend a biography or documentary to a mentee, what genre would it be?</t>
  </si>
  <si>
    <t>A former colleague reaches out during a difficult career transition. How do you want to help?</t>
  </si>
  <si>
    <t>If you had a free weekend and no obligations, what would you choose to build or create?</t>
  </si>
  <si>
    <t>If you wrote your own biography title, what would it say?</t>
  </si>
  <si>
    <t>If your organization needed volunteers for a new initiative, which problem would you sign up for?</t>
  </si>
  <si>
    <t>Imagine your pivoted self coming home from work — what did they do all day?</t>
  </si>
  <si>
    <t>The conference room system freezes during a presentation. What's your instinct?</t>
  </si>
  <si>
    <t>In a volunteering or CSR activity, what role feels natural to you?</t>
  </si>
  <si>
    <t>If you could restart your career in any field, which role would you want?</t>
  </si>
  <si>
    <t>Which kind of show or podcast do you turn to for genuine relaxation?</t>
  </si>
  <si>
    <t>If your organization invited professionals to visit, which one would you want to meet?</t>
  </si>
  <si>
    <t>Someone you're mentoring reaches out feeling stuck. What's your first move?</t>
  </si>
  <si>
    <t>Pick a DIY or personal project you'd want to try this year.</t>
  </si>
  <si>
    <t>What do you hope your colleagues say about you when you retire?</t>
  </si>
  <si>
    <t>Which of these challenges would you want your team to tackle this year?</t>
  </si>
  <si>
    <t>If a camera followed you around in your new career, what would it capture?</t>
  </si>
  <si>
    <t>If a friend asked 'what do you want to do today?', what would you say?</t>
  </si>
  <si>
    <t>Which profession looks the most appealing to you when you imagine a change?</t>
  </si>
  <si>
    <t>In a cross-functional initiative, what role do you naturally fall into?</t>
  </si>
  <si>
    <t>Which workshop would you choose at an industry conference?</t>
  </si>
  <si>
    <t>If a colleague recommended a tool, which type would you actually try?</t>
  </si>
  <si>
    <t>If a new series in this genre dropped, would you carve out time for it despite a busy week?</t>
  </si>
  <si>
    <t>If you got a lifetime achievement award, what would it be for?</t>
  </si>
  <si>
    <t>Picture yourself getting ready for work in your pivoted role. What job is it?</t>
  </si>
  <si>
    <t>You have an unexpected two free hours in your evening. How do you spend them?</t>
  </si>
  <si>
    <t>Which work initiative excites you most when it's announced?</t>
  </si>
  <si>
    <t>If your company let you 'test drive' a completely different role, what would it be?</t>
  </si>
  <si>
    <t>If your team had to design a new offering together, what would you focus on?</t>
  </si>
  <si>
    <t>If a peer invited you to join a program, which type would excite you most?</t>
  </si>
  <si>
    <t>What kind of tool would you use for hours without noticing the time?</t>
  </si>
  <si>
    <t>If you got a free executive-education seat from only one booth at a conference, which would you pick?</t>
  </si>
  <si>
    <t>You see someone on another team clearly overwhelmed. What do you do?</t>
  </si>
  <si>
    <t>You're given an hour and a whiteboard to sketch an idea for your team. What do you create?</t>
  </si>
  <si>
    <t>Which real-world puzzle would you want to spend real time solving?</t>
  </si>
  <si>
    <t>If you described your new career to a former colleague, what would you say?</t>
  </si>
  <si>
    <t>If your team is prepping for a major pitch, what's your job?</t>
  </si>
  <si>
    <t>Which profession would you want to explore for an encore career?</t>
  </si>
  <si>
    <t>Which type of app do you recommend to colleagues most confidently?</t>
  </si>
  <si>
    <t>A new team member looks lost and worried on their first day. What's your instinct?</t>
  </si>
  <si>
    <t>If a magazine interviewed you about your career, what would the article be about?</t>
  </si>
  <si>
    <t>Imagine your workplace after a career pivot. What's happening there?</t>
  </si>
  <si>
    <t>You're looking to unwind and try something new. What do you do?</t>
  </si>
  <si>
    <t>If a new team member asked what your favorite part of the job is, what would you say?</t>
  </si>
  <si>
    <t>If you won a 'dream role for a year' opportunity, which would you choose?</t>
  </si>
  <si>
    <t>If you were advising on a documentary series, which genre would you choose to focus on?</t>
  </si>
  <si>
    <t>If you were handing out material for a booth, which one would you want?</t>
  </si>
  <si>
    <t>What would you want written on your career achievement plaque?</t>
  </si>
  <si>
    <t>Which type of challenge would you pick for a strategic initiative?</t>
  </si>
  <si>
    <t>If you had to guess your ideal next chapter from today's interests, what's the workday like?</t>
  </si>
  <si>
    <t>Which career would you seriously consider if you were starting over today?</t>
  </si>
  <si>
    <t>If you were leading a team of people you didn't know well, what would you naturally do?</t>
  </si>
  <si>
    <t>What kind of story do you enjoy discussing with friends?</t>
  </si>
  <si>
    <t>Which booth's hands-on workshop would you want to try at an industry conference?</t>
  </si>
  <si>
    <t>If you could create one thing to leave as your professional legacy, what would it be?</t>
  </si>
  <si>
    <t>If you gave a farewell speech, what accomplishment would you talk about?</t>
  </si>
  <si>
    <t>If you had to choose one issue to dedicate the next phase of your career to, which would it be?</t>
  </si>
  <si>
    <t>Picture your proudest moment in a new career direction. What were you doing?</t>
  </si>
  <si>
    <t>A shared office system or machine fails. What do you want to do?</t>
  </si>
  <si>
    <t>Career Pathway</t>
  </si>
  <si>
    <t>Example Jobs (3)</t>
  </si>
  <si>
    <t>Demand Outlook (2030)</t>
  </si>
  <si>
    <t>Core Skills</t>
  </si>
  <si>
    <t>Suggested Education/Certifications</t>
  </si>
  <si>
    <t>Salary (India)</t>
  </si>
  <si>
    <t>Salary (International)</t>
  </si>
  <si>
    <t>Agriculture, Food &amp; Natural Resources</t>
  </si>
  <si>
    <t>Agri Research &amp; Development</t>
  </si>
  <si>
    <t>Agricultural Scientist, Agronomist, Soil Scientist</t>
  </si>
  <si>
    <t>High</t>
  </si>
  <si>
    <t>Experimental design, GIS, Statistics</t>
  </si>
  <si>
    <t>BSc/MSc Agriculture, GIS Cert</t>
  </si>
  <si>
    <t>₹6–15 LPA (entry–mid)</t>
  </si>
  <si>
    <t>$50k–100k (entry–mid)</t>
  </si>
  <si>
    <t>Food Science &amp; Technology</t>
  </si>
  <si>
    <t>Food Technologist, Quality Assurance Specialist, R&amp;D Technologist</t>
  </si>
  <si>
    <t>QA/QC, HACCP, R&amp;D</t>
  </si>
  <si>
    <t>BTech Food Tech, HACCP/ISO 22000</t>
  </si>
  <si>
    <t>Environmental Management</t>
  </si>
  <si>
    <t>Environmental Engineer, Sustainability Analyst, EHS Officer</t>
  </si>
  <si>
    <t>EIA, LCA, Compliance</t>
  </si>
  <si>
    <t>BEng Env Engg, NEBOSH</t>
  </si>
  <si>
    <t>Agri-Business &amp; Supply</t>
  </si>
  <si>
    <t>Agri Supply Chain Manager, Commodity Trader, Procurement Analyst</t>
  </si>
  <si>
    <t>Moderate</t>
  </si>
  <si>
    <t>Logistics, Analytics, Negotiation</t>
  </si>
  <si>
    <t>MBA Agribusiness, APICS/CSCP</t>
  </si>
  <si>
    <t>₹4–12 LPA (entry–mid)</t>
  </si>
  <si>
    <t>$40k–85k (entry–mid)</t>
  </si>
  <si>
    <t>Precision Agriculture</t>
  </si>
  <si>
    <t>Agri IoT Specialist, Drone Mapping Tech, Crop Data Analyst</t>
  </si>
  <si>
    <t>IoT, Remote sensing, Data</t>
  </si>
  <si>
    <t>BSc Agri + IoT Cert, UAV/Drone Cert</t>
  </si>
  <si>
    <t>Forestry &amp; Wildlife</t>
  </si>
  <si>
    <t>Forester, Wildlife Biologist, Conservation Officer</t>
  </si>
  <si>
    <t>Ecology, Fieldwork, Policy</t>
  </si>
  <si>
    <t>BSc Forestry, Wildlife Mgmt Cert</t>
  </si>
  <si>
    <t>Fisheries &amp; Aquaculture</t>
  </si>
  <si>
    <t>Fisheries Officer, Aquaculture Manager, Marine Biologist</t>
  </si>
  <si>
    <t>Aquaculture, Water quality, Operations</t>
  </si>
  <si>
    <t>BSc Fisheries, Aquaculture Cert</t>
  </si>
  <si>
    <t>Agri Extension &amp; Policy</t>
  </si>
  <si>
    <t>Agri Extension Officer, Rural Development Specialist, Policy Analyst</t>
  </si>
  <si>
    <t>Community outreach, Program design, Policy</t>
  </si>
  <si>
    <t>BSc Agri, Rural Dev PG Dip</t>
  </si>
  <si>
    <t>Architecture &amp; Construction</t>
  </si>
  <si>
    <t>Architecture &amp; Urban Design</t>
  </si>
  <si>
    <t>Architect, Urban Designer, Urban Planner</t>
  </si>
  <si>
    <t>CAD/BIM, Design thinking, Codes</t>
  </si>
  <si>
    <t>BArch/MArch, Revit/BIM Cert</t>
  </si>
  <si>
    <t>Civil &amp; Structural</t>
  </si>
  <si>
    <t>Civil Engineer, Structural Engineer, Site Engineer</t>
  </si>
  <si>
    <t>Structural analysis, AutoCAD, PM</t>
  </si>
  <si>
    <t>BE Civil, PE/Chartered Engr</t>
  </si>
  <si>
    <t>Construction Management</t>
  </si>
  <si>
    <t>Construction Manager, Estimator, Scheduler</t>
  </si>
  <si>
    <t>Costing, Contracts, MS Project</t>
  </si>
  <si>
    <t>BE/BTech + PMP, RICS</t>
  </si>
  <si>
    <t>Building Services (MEP)</t>
  </si>
  <si>
    <t>HVAC Engineer, Electrical Engineer, Plumbing Designer</t>
  </si>
  <si>
    <t>MEP design, Revit MEP, Codes</t>
  </si>
  <si>
    <t>BE Mech/EE, MEP Cert</t>
  </si>
  <si>
    <t>Interior &amp; Landscape</t>
  </si>
  <si>
    <t>Interior Designer, Landscape Architect, Lighting Designer</t>
  </si>
  <si>
    <t>3D/Rendering, Materials, Ergonomics</t>
  </si>
  <si>
    <t>BDes/MLA, Autodesk/SketchUp</t>
  </si>
  <si>
    <t>Sustainability &amp; Green</t>
  </si>
  <si>
    <t>Green Building Consultant, Energy Modeler, LEED Specialist</t>
  </si>
  <si>
    <t>Energy modeling, LCA, LEED/BREEAM</t>
  </si>
  <si>
    <t>BE/Arch, LEED GA/AP</t>
  </si>
  <si>
    <t>Quantity Surveying</t>
  </si>
  <si>
    <t>Quantity Surveyor, Cost Engineer, Contracts Manager</t>
  </si>
  <si>
    <t>BOQ, Contracts, Claims</t>
  </si>
  <si>
    <t>BE/QS, RICS/CIOB</t>
  </si>
  <si>
    <t>Health &amp; Safety (Construction)</t>
  </si>
  <si>
    <t>HSE Manager, Safety Officer, Compliance Auditor</t>
  </si>
  <si>
    <t>Risk assessment, Audits, Training</t>
  </si>
  <si>
    <t>NEBOSH/IOSH, BE preferred</t>
  </si>
  <si>
    <t>Arts, A/V Tech &amp; Communications</t>
  </si>
  <si>
    <t>Graphic &amp; UX Design</t>
  </si>
  <si>
    <t>Graphic Designer, UI/UX Designer, Product Designer</t>
  </si>
  <si>
    <t>Figma, Adobe CC, User research</t>
  </si>
  <si>
    <t>BDes/Cert UX, HCI courses</t>
  </si>
  <si>
    <t>Content &amp; Copy</t>
  </si>
  <si>
    <t>Content Writer, Copywriter, Content Strategist</t>
  </si>
  <si>
    <t>Storytelling, SEO, Editing</t>
  </si>
  <si>
    <t>BA/MA + SEO Cert, Content Strategy</t>
  </si>
  <si>
    <t>Film &amp; Video</t>
  </si>
  <si>
    <t>Video Editor, Cinematographer, Producer</t>
  </si>
  <si>
    <t>Editing, Cinematography, Production</t>
  </si>
  <si>
    <t>Film School/Cert, DaVinci/Premiere</t>
  </si>
  <si>
    <t>Animation &amp; Motion</t>
  </si>
  <si>
    <t>Animator, Motion Graphics Artist, VFX Compositor</t>
  </si>
  <si>
    <t>2D/3D, After Effects, Maya/Blender</t>
  </si>
  <si>
    <t>Animation Degree, VFX Cert</t>
  </si>
  <si>
    <t>Journalism &amp; Media</t>
  </si>
  <si>
    <t>Journalist, Broadcast Reporter, Editor</t>
  </si>
  <si>
    <t>Reporting, Research, AP style</t>
  </si>
  <si>
    <t>BJMC/MA Journo, Media Law</t>
  </si>
  <si>
    <t>PR &amp; Corporate Comms</t>
  </si>
  <si>
    <t>PR Executive, Communications Manager, Media Relations</t>
  </si>
  <si>
    <t>Messaging, Stakeholder mgmt, Crisis comms</t>
  </si>
  <si>
    <t>MBA/PGDM Comms, PR Cert</t>
  </si>
  <si>
    <t>Audio Tech</t>
  </si>
  <si>
    <t>Sound Engineer, Music Producer, Audio Technician</t>
  </si>
  <si>
    <t>DAWs, Mixing/Mastering, Acoustics</t>
  </si>
  <si>
    <t>Audio Engg Diploma, Pro Tools Cert</t>
  </si>
  <si>
    <t>Digital Marketing Creative</t>
  </si>
  <si>
    <t>Social Media Designer, Brand Designer, Campaign Creative</t>
  </si>
  <si>
    <t>Branding, Creatives, Campaigns</t>
  </si>
  <si>
    <t>Design/Marketing Certs, Meta/Google</t>
  </si>
  <si>
    <t>Business Management &amp; Administration</t>
  </si>
  <si>
    <t>Strategy &amp; Consulting</t>
  </si>
  <si>
    <t>Management Consultant, Strategy Analyst, Biz Ops Manager</t>
  </si>
  <si>
    <t>Problem solving, Modeling, Storylining</t>
  </si>
  <si>
    <t>MBA/PGDM, PowerPoint/Excel advanced</t>
  </si>
  <si>
    <t>Project &amp; Program Mgmt</t>
  </si>
  <si>
    <t>Project Manager, Program Manager, PMO Analyst</t>
  </si>
  <si>
    <t>PMP, Agile, Stakeholders</t>
  </si>
  <si>
    <t>PMP/PRINCE2, ScrumMaster</t>
  </si>
  <si>
    <t>Operations &amp; Process</t>
  </si>
  <si>
    <t>Operations Manager, Process Analyst, Quality Manager</t>
  </si>
  <si>
    <t>Lean, Six Sigma, Automation</t>
  </si>
  <si>
    <t>Lean Six Sigma, MBA Ops</t>
  </si>
  <si>
    <t>HR &amp; Talent</t>
  </si>
  <si>
    <t>HRBP, Talent Acquisition, L&amp;D Specialist</t>
  </si>
  <si>
    <t>Org design, Hiring, Coaching</t>
  </si>
  <si>
    <t>MBA HR, SHRM/ATD</t>
  </si>
  <si>
    <t>Supply Chain &amp; Procurement</t>
  </si>
  <si>
    <t>Supply Chain Analyst, Procurement Manager, S&amp;OP Planner</t>
  </si>
  <si>
    <t>Forecasting, Negotiation, APICS</t>
  </si>
  <si>
    <t>CSCP/CPSM, MBA SCM</t>
  </si>
  <si>
    <t>Business Analytics</t>
  </si>
  <si>
    <t>Business Analyst, BI Analyst, Data Product Owner</t>
  </si>
  <si>
    <t>SQL, BI tools, Requirements</t>
  </si>
  <si>
    <t>CBAP, Power BI/Tableau</t>
  </si>
  <si>
    <t>Customer Success &amp; Support</t>
  </si>
  <si>
    <t>Customer Success Manager, Support Lead, Service Ops</t>
  </si>
  <si>
    <t>SaaS, Onboarding, Retention</t>
  </si>
  <si>
    <t>CSM Cert, ITIL</t>
  </si>
  <si>
    <t>Entrepreneurship &amp; Ventures</t>
  </si>
  <si>
    <t>Founder, Growth Lead, Ops Lead</t>
  </si>
  <si>
    <t>Variable</t>
  </si>
  <si>
    <t>MVP, GTM, Fundraising</t>
  </si>
  <si>
    <t>Startup Accelerators, No-code certs</t>
  </si>
  <si>
    <t>₹4–10 LPA</t>
  </si>
  <si>
    <t>$40k–80k</t>
  </si>
  <si>
    <t>Education &amp; Training</t>
  </si>
  <si>
    <t>K-12 Teaching</t>
  </si>
  <si>
    <t>School Teacher, Subject Specialist, Head Teacher</t>
  </si>
  <si>
    <t>Pedagogy, Assessment, Classroom mgmt</t>
  </si>
  <si>
    <t>BEd/MEd, CTET/State TET</t>
  </si>
  <si>
    <t>Higher Education</t>
  </si>
  <si>
    <t>Lecturer, Academic Coordinator, Research Fellow</t>
  </si>
  <si>
    <t>Research, Curriculum, Mentoring</t>
  </si>
  <si>
    <t>Master’s/PhD, NET/SET</t>
  </si>
  <si>
    <t>EdTech &amp; Instructional Design</t>
  </si>
  <si>
    <t>Instructional Designer, Learning Designer, eLearning Developer</t>
  </si>
  <si>
    <t>ID models, Storyline, LMS</t>
  </si>
  <si>
    <t>ID Cert, ATD</t>
  </si>
  <si>
    <t>Corporate L&amp;D</t>
  </si>
  <si>
    <t>Corporate Trainer, Learning Partner, Enablement Lead</t>
  </si>
  <si>
    <t>Facilitation, Needs analysis, Metrics</t>
  </si>
  <si>
    <t>Train-the-Trainer, ATD CPTD</t>
  </si>
  <si>
    <t>Special Education</t>
  </si>
  <si>
    <t>Special Educator, Behavior Therapist, IEP Coordinator</t>
  </si>
  <si>
    <t>IEP, Differentiation, Assessment</t>
  </si>
  <si>
    <t>BEd Special Ed, RCI</t>
  </si>
  <si>
    <t>Education Administration</t>
  </si>
  <si>
    <t>School Administrator, Registrar, Admissions Head</t>
  </si>
  <si>
    <t>Ops, Compliance, Comms</t>
  </si>
  <si>
    <t>MBA/PG in Education Mgmt</t>
  </si>
  <si>
    <t>Test Prep &amp; Coaching</t>
  </si>
  <si>
    <t>Exam Coach, Content Creator, Center Manager</t>
  </si>
  <si>
    <t>Syllabus design, Analytics, Sales</t>
  </si>
  <si>
    <t>Subject Certs, EdTech tools</t>
  </si>
  <si>
    <t>Education Policy &amp; Research</t>
  </si>
  <si>
    <t>Policy Analyst, Program Manager, Education Researcher</t>
  </si>
  <si>
    <t>Impact eval, Field research, Policy</t>
  </si>
  <si>
    <t>MA Education, Policy Cert</t>
  </si>
  <si>
    <t>Finance</t>
  </si>
  <si>
    <t>Corporate Finance</t>
  </si>
  <si>
    <t>FP&amp;A Analyst, Treasury Analyst, Finance Manager</t>
  </si>
  <si>
    <t>Modeling, Budgeting, Excel</t>
  </si>
  <si>
    <t>MBA Finance, CMA/CPA</t>
  </si>
  <si>
    <t>Investment Banking</t>
  </si>
  <si>
    <t>Analyst, M&amp;A Associate, Equity Research Associate</t>
  </si>
  <si>
    <t>Valuation, Pitchbooks, Markets</t>
  </si>
  <si>
    <t>CFA, IB Prep</t>
  </si>
  <si>
    <t>Risk &amp; Compliance</t>
  </si>
  <si>
    <t>Risk Analyst, Compliance Officer, Internal Auditor</t>
  </si>
  <si>
    <t>FRM, Controls, SOX</t>
  </si>
  <si>
    <t>FRM/CISA, ISO 27001</t>
  </si>
  <si>
    <t>Wealth &amp; Asset Mgmt</t>
  </si>
  <si>
    <t>Wealth Manager, Portfolio Analyst, Fund Operations</t>
  </si>
  <si>
    <t>Advisory, Asset allocation, CRM</t>
  </si>
  <si>
    <t>CFA/CFP, NISM</t>
  </si>
  <si>
    <t>FinTech &amp; Payments</t>
  </si>
  <si>
    <t>FinTech Product Manager, Payments Analyst, Blockchain Analyst</t>
  </si>
  <si>
    <t>APIs, Data, RegTech</t>
  </si>
  <si>
    <t>FinTech Cert, AWS/Azure</t>
  </si>
  <si>
    <t>Accounting &amp; Audit</t>
  </si>
  <si>
    <t>Accountant, Auditor, Financial Controller</t>
  </si>
  <si>
    <t>IFRS/GAAP, Audit, ERP</t>
  </si>
  <si>
    <t>CPA/ACCA, SAP FICO</t>
  </si>
  <si>
    <t>Insurance &amp; Actuarial</t>
  </si>
  <si>
    <t>Actuarial Analyst, Underwriter, Claims Manager</t>
  </si>
  <si>
    <t>Statistics, Risk, Pricing</t>
  </si>
  <si>
    <t>Actuarial Exams, IRDAI</t>
  </si>
  <si>
    <t>Banking Operations</t>
  </si>
  <si>
    <t>Credit Analyst, Trade Finance Officer, Branch Ops</t>
  </si>
  <si>
    <t>Credit, KYC, Ops</t>
  </si>
  <si>
    <t>NISM/Banking Certs</t>
  </si>
  <si>
    <t>Government &amp; Public Administration</t>
  </si>
  <si>
    <t>Policy &amp; Governance</t>
  </si>
  <si>
    <t>Policy Analyst, Program Officer, Legislative Aide</t>
  </si>
  <si>
    <t>Policy analysis, Stakeholders, Writing</t>
  </si>
  <si>
    <t>MA Public Policy</t>
  </si>
  <si>
    <t>Foreign Service &amp; Diplomacy</t>
  </si>
  <si>
    <t>Diplomat, Consular Officer, Trade Officer</t>
  </si>
  <si>
    <t>Negotiation, Geo-politics, Languages</t>
  </si>
  <si>
    <t>International Relations</t>
  </si>
  <si>
    <t>Public Finance &amp; Budget</t>
  </si>
  <si>
    <t>Budget Analyst, Public Finance Manager, Grants Manager</t>
  </si>
  <si>
    <t>Budgeting, Compliance, Reporting</t>
  </si>
  <si>
    <t>MPA/MBA</t>
  </si>
  <si>
    <t>Regulatory Affairs</t>
  </si>
  <si>
    <t>Regulatory Analyst, Compliance Officer, Licensing Specialist</t>
  </si>
  <si>
    <t>Policy, Legal, Standards</t>
  </si>
  <si>
    <t>Law/Reg Affairs Cert</t>
  </si>
  <si>
    <t>Public Sector Consulting</t>
  </si>
  <si>
    <t>Govt Consultant, Change Manager, Digital Gov Specialist</t>
  </si>
  <si>
    <t>Transformation, Data, GovTech</t>
  </si>
  <si>
    <t>MBA/Policy + Agile</t>
  </si>
  <si>
    <t>Disaster Mgmt &amp; Resilience</t>
  </si>
  <si>
    <t>Disaster Manager, Relief Coordinator, Risk Planner</t>
  </si>
  <si>
    <t>Risk, Coordination, Logistics</t>
  </si>
  <si>
    <t>DM Cert, UN/INGO training</t>
  </si>
  <si>
    <t>Urban &amp; Rural Dev</t>
  </si>
  <si>
    <t>Urban Planner, Rural Dev Officer, Program Evaluator</t>
  </si>
  <si>
    <t>Planning, GIS, Community</t>
  </si>
  <si>
    <t>MURP/Dev Studies</t>
  </si>
  <si>
    <t>Intelligence &amp; Security Analysis</t>
  </si>
  <si>
    <t>Intelligence Analyst, OSINT Specialist, Security Planner</t>
  </si>
  <si>
    <t>Analysis, OSINT, Reporting</t>
  </si>
  <si>
    <t>Security/Intel Certs</t>
  </si>
  <si>
    <t>Clinical Practice</t>
  </si>
  <si>
    <t>Physician, Dentist, Physiotherapist</t>
  </si>
  <si>
    <t>Diagnosis, Patient care, EMR</t>
  </si>
  <si>
    <t>MBBS/BDS/BPT + License</t>
  </si>
  <si>
    <t>Nursing &amp; Midwifery</t>
  </si>
  <si>
    <t>Registered Nurse, Nurse Educator, Midwife</t>
  </si>
  <si>
    <t>Clinical care, Triage, Documentation</t>
  </si>
  <si>
    <t>BSc Nursing, State Registration</t>
  </si>
  <si>
    <t>Allied Health</t>
  </si>
  <si>
    <t>Radiology Technologist, Lab Technologist, OT Technician</t>
  </si>
  <si>
    <t>Imaging, Lab methods, Sterilization</t>
  </si>
  <si>
    <t>Allied Health Diplomas</t>
  </si>
  <si>
    <t>Public Health &amp; Epidemiology</t>
  </si>
  <si>
    <t>Epidemiologist, Public Health Analyst, Program Manager</t>
  </si>
  <si>
    <t>Biostats, Surveillance, Field ops</t>
  </si>
  <si>
    <t>MPH, Epi Cert</t>
  </si>
  <si>
    <t>Pharma &amp; Biotech</t>
  </si>
  <si>
    <t>Clinical Research Associate, Regulatory Affairs Exec, Pharmacovigilance</t>
  </si>
  <si>
    <t>Clinical trials, GCP, Docs</t>
  </si>
  <si>
    <t>BPharm/MPharm, ICH-GCP</t>
  </si>
  <si>
    <t>Health IT &amp; Informatics</t>
  </si>
  <si>
    <t>Health Informatics Analyst, EMR Specialist, HI Consultant</t>
  </si>
  <si>
    <t>Data, HL7/FHIR, Analytics</t>
  </si>
  <si>
    <t>Health Informatics PG Dip</t>
  </si>
  <si>
    <t>Mental Health</t>
  </si>
  <si>
    <t>Psychologist, Counselor, Behavior Therapist</t>
  </si>
  <si>
    <t>Assessment, Therapy, Documentation</t>
  </si>
  <si>
    <t>MA Psychology, Licensure</t>
  </si>
  <si>
    <t>Hospital Administration</t>
  </si>
  <si>
    <t>Hospital Admin, Operations Lead, Quality Coordinator</t>
  </si>
  <si>
    <t>Ops, NABH, Compliance</t>
  </si>
  <si>
    <t>MHA/MBA Healthcare</t>
  </si>
  <si>
    <t>Hospitality &amp; Tourism</t>
  </si>
  <si>
    <t>Hotel Operations</t>
  </si>
  <si>
    <t>Front Office Manager, Housekeeping Manager, F&amp;B Manager</t>
  </si>
  <si>
    <t>Ops, Guest relations, Rotas</t>
  </si>
  <si>
    <t>BHM, Hotel Ops Certs</t>
  </si>
  <si>
    <t>Travel &amp; Tours</t>
  </si>
  <si>
    <t>Travel Consultant, Tour Operator, Itinerary Planner</t>
  </si>
  <si>
    <t>Ticketing, GDS, Customer care</t>
  </si>
  <si>
    <t>IATA Certs</t>
  </si>
  <si>
    <t>Events &amp; MICE</t>
  </si>
  <si>
    <t>Event Planner, Venue Manager, Exhibition Coordinator</t>
  </si>
  <si>
    <t>Planning, Vendors, Budgets</t>
  </si>
  <si>
    <t>Event Mgmt Cert</t>
  </si>
  <si>
    <t>Culinary &amp; Bakery</t>
  </si>
  <si>
    <t>Chef, Pastry Chef, Kitchen Manager</t>
  </si>
  <si>
    <t>Culinary arts, Food safety, Menus</t>
  </si>
  <si>
    <t>Culinary School, HACCP</t>
  </si>
  <si>
    <t>Cruise &amp; Aviation Hospitality</t>
  </si>
  <si>
    <t>Cabin Crew, Cruise Staff, Lounge Manager</t>
  </si>
  <si>
    <t>Service, Safety, Etiquette</t>
  </si>
  <si>
    <t>Aviation/Cruise Cert</t>
  </si>
  <si>
    <t>Resorts &amp; Recreation</t>
  </si>
  <si>
    <t>Resort Manager, Recreation Coordinator, Spa Manager</t>
  </si>
  <si>
    <t>Ops, Memberships, Wellness</t>
  </si>
  <si>
    <t>Hospitality Dip</t>
  </si>
  <si>
    <t>Luxury &amp; Concierge</t>
  </si>
  <si>
    <t>Butler, Lifestyle Manager, Guest Relations Exec</t>
  </si>
  <si>
    <t>Protocol, Discretion, Service</t>
  </si>
  <si>
    <t>Luxury Service Training</t>
  </si>
  <si>
    <t>Sustainable Tourism</t>
  </si>
  <si>
    <t>Eco-tourism Planner, Sustainability Officer, Community Liaison</t>
  </si>
  <si>
    <t>Growing</t>
  </si>
  <si>
    <t>Sustainability, Community dev, Reporting</t>
  </si>
  <si>
    <t>Sustainability Cert</t>
  </si>
  <si>
    <t>Human Services</t>
  </si>
  <si>
    <t>Social Work</t>
  </si>
  <si>
    <t>Social Worker, Case Manager, Program Officer</t>
  </si>
  <si>
    <t>Casework, Safeguarding, Advocacy</t>
  </si>
  <si>
    <t>MSW, Fieldwork</t>
  </si>
  <si>
    <t>Counselling &amp; Therapy</t>
  </si>
  <si>
    <t>Counselor, Therapist, Life Coach</t>
  </si>
  <si>
    <t>Assessment, CBT, Ethics</t>
  </si>
  <si>
    <t>MA Counseling, Licenses</t>
  </si>
  <si>
    <t>Community Development</t>
  </si>
  <si>
    <t>Community Manager, NGO Program Lead, Outreach Coordinator</t>
  </si>
  <si>
    <t>Mobilization, Training, Monitoring</t>
  </si>
  <si>
    <t>Dev Studies, CSR Cert</t>
  </si>
  <si>
    <t>Elderly &amp; Disability Services</t>
  </si>
  <si>
    <t>Geriatric Care Coordinator, Rehabilitation Worker, Disability Advocate</t>
  </si>
  <si>
    <t>Care plans, Coordination, Empathy</t>
  </si>
  <si>
    <t>Rehab/OT Certs</t>
  </si>
  <si>
    <t>Child &amp; Family Services</t>
  </si>
  <si>
    <t>Child Protection Officer, Family Therapist, School Counselor</t>
  </si>
  <si>
    <t>Safeguarding, Assessment, Intervention</t>
  </si>
  <si>
    <t>Psych/Ed + RCI</t>
  </si>
  <si>
    <t>Diversity &amp; Inclusion</t>
  </si>
  <si>
    <t>DEI Specialist, Employee Wellbeing Lead, Mediation Specialist</t>
  </si>
  <si>
    <t>Policy, Training, Analytics</t>
  </si>
  <si>
    <t>HR/DEI Certs</t>
  </si>
  <si>
    <t>Career Services</t>
  </si>
  <si>
    <t>Career Coach, Employment Specialist, Vocational Trainer</t>
  </si>
  <si>
    <t>Assessment, Labor market, Placement</t>
  </si>
  <si>
    <t>Career Coaching Cert</t>
  </si>
  <si>
    <t>Consumer Services</t>
  </si>
  <si>
    <t>Customer Advocate, Community Support Specialist, Family Liaison</t>
  </si>
  <si>
    <t>Communication, Support, Documentation</t>
  </si>
  <si>
    <t>Relevant diplomas</t>
  </si>
  <si>
    <t>Software Engineering</t>
  </si>
  <si>
    <t>Backend Developer, Frontend Developer, Full-Stack Engineer</t>
  </si>
  <si>
    <t>Very High</t>
  </si>
  <si>
    <t>DSA, Frameworks, APIs</t>
  </si>
  <si>
    <t>BTech/Bootcamp, GitHub portfolio</t>
  </si>
  <si>
    <t>₹8–20 LPA (entry–mid)</t>
  </si>
  <si>
    <t>$60k–120k (entry–mid)</t>
  </si>
  <si>
    <t>Data Science &amp; Analytics</t>
  </si>
  <si>
    <t>Data Scientist, Data Analyst, ML Engineer</t>
  </si>
  <si>
    <t>Python, SQL, ML</t>
  </si>
  <si>
    <t>DS/ML Certs, MSc Data</t>
  </si>
  <si>
    <t>Cybersecurity</t>
  </si>
  <si>
    <t>Security Analyst, Pen Tester, SOC Analyst</t>
  </si>
  <si>
    <t>Network, Threats, SIEM</t>
  </si>
  <si>
    <t>Security+/CEH, CISSP (adv)</t>
  </si>
  <si>
    <t>Cloud &amp; DevOps</t>
  </si>
  <si>
    <t>Cloud Engineer, DevOps Engineer, SRE</t>
  </si>
  <si>
    <t>AWS/Azure, CI/CD, Containers</t>
  </si>
  <si>
    <t>AWS/Azure/GCP, CKA/Docker</t>
  </si>
  <si>
    <t>Product &amp; Business Analysis</t>
  </si>
  <si>
    <t>Product Manager, Business Analyst, Product Owner</t>
  </si>
  <si>
    <t>Discovery, Roadmaps, Agile</t>
  </si>
  <si>
    <t>CSM/PSPO, CBAP</t>
  </si>
  <si>
    <t>UI/UX &amp; Product Design</t>
  </si>
  <si>
    <t>UI Designer, UX Researcher, Design Systems Lead</t>
  </si>
  <si>
    <t>Figma, Research, Prototyping</t>
  </si>
  <si>
    <t>HCI/UX Certs</t>
  </si>
  <si>
    <t>ERP &amp; Enterprise Apps</t>
  </si>
  <si>
    <t>SAP FICO Consultant, Salesforce Admin, Oracle Functional Consultant</t>
  </si>
  <si>
    <t>ERP, Config, Integration</t>
  </si>
  <si>
    <t>SAP/SFDC/Oracle Certs</t>
  </si>
  <si>
    <t>IT Service &amp; Support</t>
  </si>
  <si>
    <t>ITSM Analyst, Systems Admin, Helpdesk Lead</t>
  </si>
  <si>
    <t>ITIL, Scripting, Networks</t>
  </si>
  <si>
    <t>ITIL 4, CompTIA A+/N+</t>
  </si>
  <si>
    <t>Law, Public Safety, Corrections &amp; Security</t>
  </si>
  <si>
    <t>Legal Practice</t>
  </si>
  <si>
    <t>Lawyer, Legal Associate, In-house Counsel</t>
  </si>
  <si>
    <t>Legal research, Drafting, Advisory</t>
  </si>
  <si>
    <t>LLB/LLM, Bar</t>
  </si>
  <si>
    <t>Forensics &amp; Investigation</t>
  </si>
  <si>
    <t>Forensic Scientist, Crime Scene Analyst, Digital Forensics</t>
  </si>
  <si>
    <t>Lab methods, Chain of custody, DFIR</t>
  </si>
  <si>
    <t>Forensics Degree, DFIR Certs</t>
  </si>
  <si>
    <t>Public Safety &amp; Policing</t>
  </si>
  <si>
    <t>Police Officer, Inspector, Community Safety Lead</t>
  </si>
  <si>
    <t>Law &amp; order, Community, Reporting</t>
  </si>
  <si>
    <t>Police Academy</t>
  </si>
  <si>
    <t>Corrections &amp; Rehabilitation</t>
  </si>
  <si>
    <t>Correctional Officer, Rehabilitation Counselor, Probation Officer</t>
  </si>
  <si>
    <t>Security, Counseling, Reporting</t>
  </si>
  <si>
    <t>Criminology/Psych</t>
  </si>
  <si>
    <t>Compliance &amp; Regulation</t>
  </si>
  <si>
    <t>Compliance Manager, AML/KYC Officer, Regulatory Specialist</t>
  </si>
  <si>
    <t>Policies, Audits, Reporting</t>
  </si>
  <si>
    <t>CAMS/AML Certs</t>
  </si>
  <si>
    <t>Security Management</t>
  </si>
  <si>
    <t>Security Manager, Risk Assessor, Security Consultant</t>
  </si>
  <si>
    <t>Risk, Planning, Surveillance</t>
  </si>
  <si>
    <t>Security Mgmt Certs</t>
  </si>
  <si>
    <t>Emergency Management</t>
  </si>
  <si>
    <t>Emergency Planner, Incident Manager, Resilience Officer</t>
  </si>
  <si>
    <t>ICS, Coordination, Comms</t>
  </si>
  <si>
    <t>Emergency Mgmt Cert</t>
  </si>
  <si>
    <t>Legal Tech &amp; Ops</t>
  </si>
  <si>
    <t>eDiscovery Specialist, Legal Ops Analyst, Contract Manager</t>
  </si>
  <si>
    <t>CLM, Analytics, Tools</t>
  </si>
  <si>
    <t>Legal Ops Certs</t>
  </si>
  <si>
    <t>Manufacturing</t>
  </si>
  <si>
    <t>Production &amp; Operations</t>
  </si>
  <si>
    <t>Production Manager, Shift Supervisor, Industrial Engineer</t>
  </si>
  <si>
    <t>Lean, OEE, Scheduling</t>
  </si>
  <si>
    <t>BE/IE, Lean Six Sigma</t>
  </si>
  <si>
    <t>Quality &amp; Reliability</t>
  </si>
  <si>
    <t>Quality Engineer, Reliability Engineer, QA Manager</t>
  </si>
  <si>
    <t>SPC, FMEA, Audits</t>
  </si>
  <si>
    <t>CQE/Black Belt</t>
  </si>
  <si>
    <t>Process &amp; Chemical</t>
  </si>
  <si>
    <t>Process Engineer, Process Safety Engineer, Plant Engineer</t>
  </si>
  <si>
    <t>PFD/P&amp;ID, HAZOP, Control</t>
  </si>
  <si>
    <t>Chem/Mech Engg + Certs</t>
  </si>
  <si>
    <t>Maintenance &amp; Asset Mgmt</t>
  </si>
  <si>
    <t>Maintenance Engineer, Planner, Asset Manager</t>
  </si>
  <si>
    <t>TPM, CMMS, RCM</t>
  </si>
  <si>
    <t>Maintenance Certs</t>
  </si>
  <si>
    <t>Industrial Automation</t>
  </si>
  <si>
    <t>Automation Engineer, PLC/SCADA Programmer, Robotics Tech</t>
  </si>
  <si>
    <t>PLC, SCADA, Robotics</t>
  </si>
  <si>
    <t>PLC/Robotics Certs</t>
  </si>
  <si>
    <t>Supply &amp; Materials</t>
  </si>
  <si>
    <t>Materials Planner, Production Planner, Inventory Analyst</t>
  </si>
  <si>
    <t>MRP, Forecasting, SAP</t>
  </si>
  <si>
    <t>APICS</t>
  </si>
  <si>
    <t>Additive &amp; Advanced Mfg</t>
  </si>
  <si>
    <t>3D Printing Engineer, AM Technician, Materials Scientist</t>
  </si>
  <si>
    <t>CAD, AM, Materials</t>
  </si>
  <si>
    <t>AM Certs</t>
  </si>
  <si>
    <t>EHS &amp; Compliance</t>
  </si>
  <si>
    <t>EHS Engineer, Compliance Specialist, Sustainability Officer</t>
  </si>
  <si>
    <t>EHS, Audits, ISO</t>
  </si>
  <si>
    <t>NEBOSH/ISO</t>
  </si>
  <si>
    <t>Marketing, Sales &amp; Service</t>
  </si>
  <si>
    <t>Brand &amp; Strategy</t>
  </si>
  <si>
    <t>Brand Manager, Strategy Planner, Account Manager</t>
  </si>
  <si>
    <t>Positioning, Segmentation, Story</t>
  </si>
  <si>
    <t>MBA/PGDM Marketing</t>
  </si>
  <si>
    <t>Digital Marketing</t>
  </si>
  <si>
    <t>Performance Marketer, SEO Specialist, Social Media Manager</t>
  </si>
  <si>
    <t>Ads, Analytics, Content</t>
  </si>
  <si>
    <t>Google/Meta Certs</t>
  </si>
  <si>
    <t>Sales &amp; Business Dev</t>
  </si>
  <si>
    <t>Sales Executive, Key Account Manager, Partnerships Lead</t>
  </si>
  <si>
    <t>Prospecting, Negotiation, CRM</t>
  </si>
  <si>
    <t>Sales Certs</t>
  </si>
  <si>
    <t>Customer Experience</t>
  </si>
  <si>
    <t>CX Analyst, Customer Success Manager, Support Lead</t>
  </si>
  <si>
    <t>NPS, Journey maps, Playbooks</t>
  </si>
  <si>
    <t>CSM/ITIL</t>
  </si>
  <si>
    <t>Product Marketing</t>
  </si>
  <si>
    <t>PMM, Go-to-Market Lead, Market Intelligence</t>
  </si>
  <si>
    <t>GTM, Research, Enablement</t>
  </si>
  <si>
    <t>PMM Certs</t>
  </si>
  <si>
    <t>Retail &amp; E‑commerce</t>
  </si>
  <si>
    <t>Category Manager, Merchandiser, Marketplace Manager</t>
  </si>
  <si>
    <t>P&amp;L, Pricing, Ops</t>
  </si>
  <si>
    <t>Retail/Ecom Certs</t>
  </si>
  <si>
    <t>Events &amp; Trade Marketing</t>
  </si>
  <si>
    <t>Event Marketer, B2B Exhibitions Lead, Field Marketing</t>
  </si>
  <si>
    <t>Planning, Leads, Vendors</t>
  </si>
  <si>
    <t>Event Mgmt</t>
  </si>
  <si>
    <t>Services &amp; After‑Sales</t>
  </si>
  <si>
    <t>Service Manager, Renewals Specialist, Retention Analyst</t>
  </si>
  <si>
    <t>Renewals, Playbooks, Churn</t>
  </si>
  <si>
    <t>CS Certifications</t>
  </si>
  <si>
    <t>STEM (Science, Technology, Engineering &amp; Mathematics)</t>
  </si>
  <si>
    <t>Research Science</t>
  </si>
  <si>
    <t>Research Scientist, Lab Scientist, Postdoc</t>
  </si>
  <si>
    <t>Experimental design, Data, Writing</t>
  </si>
  <si>
    <t>MSc/PhD</t>
  </si>
  <si>
    <t>Mechanical &amp; Mechatronics</t>
  </si>
  <si>
    <t>Mechanical Engineer, Mechatronics Engineer, CAE Analyst</t>
  </si>
  <si>
    <t>CAD, Simulation, Design</t>
  </si>
  <si>
    <t>BE/ME, CAE Cert</t>
  </si>
  <si>
    <t>Electrical &amp; Electronics</t>
  </si>
  <si>
    <t>Electronics Engineer, Embedded Engineer, PCB Designer</t>
  </si>
  <si>
    <t>Circuit design, MCUs, Signal</t>
  </si>
  <si>
    <t>BE/ME EEE, Embedded Certs</t>
  </si>
  <si>
    <t>Chemical &amp; Materials</t>
  </si>
  <si>
    <t>Chemical Engineer, Materials Engineer, Polymer Scientist</t>
  </si>
  <si>
    <t>Process, Materials, Safety</t>
  </si>
  <si>
    <t>BE Chem/Mat Sci</t>
  </si>
  <si>
    <t>Mathematics &amp; Statistics</t>
  </si>
  <si>
    <t>Statistician, Quant Analyst, Operations Research Analyst</t>
  </si>
  <si>
    <t>Modeling, Optimization, R/Python</t>
  </si>
  <si>
    <t>MSc Math/Stats</t>
  </si>
  <si>
    <t>Robotics &amp; AI</t>
  </si>
  <si>
    <t>Robotics Engineer, AI Researcher, Controls Engineer</t>
  </si>
  <si>
    <t>ML, Control, Perception</t>
  </si>
  <si>
    <t>MTech/PhD, AI Certs</t>
  </si>
  <si>
    <t>Space &amp; Aerospace</t>
  </si>
  <si>
    <t>Aerospace Engineer, Avionics Engineer, Flight Test Engineer</t>
  </si>
  <si>
    <t>Aerodynamics, Systems, CAD</t>
  </si>
  <si>
    <t>BE Aero, Aerospace Certs</t>
  </si>
  <si>
    <t>Biotech &amp; Life Sciences</t>
  </si>
  <si>
    <t>Biotechnologist, Bioinformatician, Clinical Scientist</t>
  </si>
  <si>
    <t>Wet lab, Genomics, Bioinformatics</t>
  </si>
  <si>
    <t>MSc/PhD Bio</t>
  </si>
  <si>
    <t>Transportation, Distribution &amp; Logistics</t>
  </si>
  <si>
    <t>Logistics &amp; Supply</t>
  </si>
  <si>
    <t>Logistics Analyst, Supply Planner, Warehouse Manager</t>
  </si>
  <si>
    <t>Routing, WMS, Analytics</t>
  </si>
  <si>
    <t>CSCP/CLTD</t>
  </si>
  <si>
    <t>Aviation</t>
  </si>
  <si>
    <t>Airline Pilot, Air Traffic Controller, Ground Ops Manager</t>
  </si>
  <si>
    <t>Navigation, Safety, Ops</t>
  </si>
  <si>
    <t>DGCA/FAA Licenses</t>
  </si>
  <si>
    <t>Maritime</t>
  </si>
  <si>
    <t>Deck Officer, Marine Engineer, Port Operations Manager</t>
  </si>
  <si>
    <t>Seamanship, Engine, ISM</t>
  </si>
  <si>
    <t>STCW/Maritime Engg</t>
  </si>
  <si>
    <t>Rail &amp; Public Transit</t>
  </si>
  <si>
    <t>Rail Ops Planner, Signalling Engineer, Transit Scheduler</t>
  </si>
  <si>
    <t>Scheduling, Signalling, Safety</t>
  </si>
  <si>
    <t>Rail Certs</t>
  </si>
  <si>
    <t>E‑commerce Logistics</t>
  </si>
  <si>
    <t>Last‑mile Manager, Fleet Manager, Fulfillment Lead</t>
  </si>
  <si>
    <t>Ops, Routing, KPIs</t>
  </si>
  <si>
    <t>Ops Certs</t>
  </si>
  <si>
    <t>Customs &amp; Trade</t>
  </si>
  <si>
    <t>Customs Broker, Trade Compliance Specialist, Freight Forwarder</t>
  </si>
  <si>
    <t>Regulations, Docs, Tariffs</t>
  </si>
  <si>
    <t>Customs Certs</t>
  </si>
  <si>
    <t>Procurement Logistics</t>
  </si>
  <si>
    <t>Procurement Analyst, Vendor Manager, Sourcing Specialist</t>
  </si>
  <si>
    <t>Costing, Contracts, Negotiation</t>
  </si>
  <si>
    <t>CIPS/CPSM</t>
  </si>
  <si>
    <t>Cold Chain &amp; Pharma Logistics</t>
  </si>
  <si>
    <t>Cold Chain Manager, Validation Specialist, QA Logistics</t>
  </si>
  <si>
    <t>GDP, Validation, Monitoring</t>
  </si>
  <si>
    <t>Pharma Logistics Certs</t>
  </si>
  <si>
    <t>Energy</t>
  </si>
  <si>
    <t>Renewables (Solar/Wind)</t>
  </si>
  <si>
    <t>Solar Engineer, Wind Turbine Tech, PV Designer</t>
  </si>
  <si>
    <t>PV design, O&amp;M, Safety</t>
  </si>
  <si>
    <t>Solar/Wind Certs</t>
  </si>
  <si>
    <t>Oil &amp; Gas</t>
  </si>
  <si>
    <t>Reservoir Engineer, Drilling Engineer, Process Engineer</t>
  </si>
  <si>
    <t>Reservoir, Drilling, Safety</t>
  </si>
  <si>
    <t>Petroleum Engg</t>
  </si>
  <si>
    <t>Power &amp; Utilities</t>
  </si>
  <si>
    <t>Power Systems Engineer, Grid Analyst, Substation Engineer</t>
  </si>
  <si>
    <t>Power flow, SCADA, Protection</t>
  </si>
  <si>
    <t>EEE + Power Systems</t>
  </si>
  <si>
    <t>Energy Storage &amp; Batteries</t>
  </si>
  <si>
    <t>Battery Engineer, BMS Specialist, R&amp;D Scientist</t>
  </si>
  <si>
    <t>Electrochem, BMS, Testing</t>
  </si>
  <si>
    <t>Materials/Energy Engg</t>
  </si>
  <si>
    <t>Energy Trading &amp; Analytics</t>
  </si>
  <si>
    <t>Energy Trader, Market Analyst, Risk Analyst</t>
  </si>
  <si>
    <t>Markets, Modeling, Python</t>
  </si>
  <si>
    <t>Finance/Energy Analytics</t>
  </si>
  <si>
    <t>HSE in Energy</t>
  </si>
  <si>
    <t>HSE Engineer, Safety Auditor, Compliance Lead</t>
  </si>
  <si>
    <t>Risk, PPE, Audits</t>
  </si>
  <si>
    <t>NEBOSH</t>
  </si>
  <si>
    <t>Carbon &amp; Sustainability</t>
  </si>
  <si>
    <t>Carbon Analyst, ESG Specialist, LCA Consultant</t>
  </si>
  <si>
    <t>GHG Protocol, LCA, Reporting</t>
  </si>
  <si>
    <t>Sustainability Certs</t>
  </si>
  <si>
    <t>Smart Grid &amp; EV</t>
  </si>
  <si>
    <t>EV Infrastructure Engineer, Smart Meter Specialist, Grid Modernization Engineer</t>
  </si>
  <si>
    <t>EVSE, IoT, Cyber</t>
  </si>
  <si>
    <t>EEE/IoT Certs</t>
  </si>
  <si>
    <t>Media &amp; Entertainment</t>
  </si>
  <si>
    <t>Film &amp; Production</t>
  </si>
  <si>
    <t>Producer, Assistant Director, Production Manager</t>
  </si>
  <si>
    <t>Budgeting, Scheduling, Leadership</t>
  </si>
  <si>
    <t>Film School/Cert</t>
  </si>
  <si>
    <t>Writing &amp; Screen</t>
  </si>
  <si>
    <t>Screenwriter, Script Editor, Story Developer</t>
  </si>
  <si>
    <t>Story, Structure, Dialogue</t>
  </si>
  <si>
    <t>Writing Workshops</t>
  </si>
  <si>
    <t>Music &amp; Performance</t>
  </si>
  <si>
    <t>Music Producer, Performer, Composer</t>
  </si>
  <si>
    <t>DAWs, Performance, Networking</t>
  </si>
  <si>
    <t>Music School</t>
  </si>
  <si>
    <t>Gaming</t>
  </si>
  <si>
    <t>Game Designer, Level Designer, Game Producer</t>
  </si>
  <si>
    <t>Unity/Unreal, Design, Playtesting</t>
  </si>
  <si>
    <t>Game Dev Certs</t>
  </si>
  <si>
    <t>Esports &amp; Streaming</t>
  </si>
  <si>
    <t>Esports Manager, Streamer, Tournament Ops</t>
  </si>
  <si>
    <t>Content, Community, Ops</t>
  </si>
  <si>
    <t>Creator/Gaming Certs</t>
  </si>
  <si>
    <t>Photography &amp; Visuals</t>
  </si>
  <si>
    <t>Photographer, Retoucher, Creative Producer</t>
  </si>
  <si>
    <t>Lighting, Editing, Client mgmt</t>
  </si>
  <si>
    <t>Photography Courses</t>
  </si>
  <si>
    <t>Broadcast &amp; OTT</t>
  </si>
  <si>
    <t>Broadcast Technician, OTT Ops, Content Scheduler</t>
  </si>
  <si>
    <t>Transmission, QC, Ops</t>
  </si>
  <si>
    <t>Broadcast Tech Certs</t>
  </si>
  <si>
    <t>Talent &amp; IP Mgmt</t>
  </si>
  <si>
    <t>Talent Agent, Rights Manager, Licensing Exec</t>
  </si>
  <si>
    <t>Negotiation, Contracts, IP</t>
  </si>
  <si>
    <t>IP/Media Law</t>
  </si>
  <si>
    <t>Fashion &amp; Design</t>
  </si>
  <si>
    <t>Apparel Design</t>
  </si>
  <si>
    <t>Fashion Designer, Pattern Maker, Sample Coordinator</t>
  </si>
  <si>
    <t>Sketching, Pattern, Draping</t>
  </si>
  <si>
    <t>Fashion Degree</t>
  </si>
  <si>
    <t>Textiles &amp; Materials</t>
  </si>
  <si>
    <t>Textile Technologist, Fabric R&amp;D, Dyeing Specialist</t>
  </si>
  <si>
    <t>Materials, Processing, QA</t>
  </si>
  <si>
    <t>Textile Engg</t>
  </si>
  <si>
    <t>Merchandising &amp; Buying</t>
  </si>
  <si>
    <t>Apparel Merchandiser, Buyer, Planner</t>
  </si>
  <si>
    <t>Range planning, Pricing, Vendors</t>
  </si>
  <si>
    <t>Merch Certs</t>
  </si>
  <si>
    <t>Styling &amp; Creative Direction</t>
  </si>
  <si>
    <t>Stylist, Creative Director, Wardrobe Supervisor</t>
  </si>
  <si>
    <t>Trends, Coordination, Aesthetics</t>
  </si>
  <si>
    <t>Styling Courses</t>
  </si>
  <si>
    <t>Footwear &amp; Accessories</t>
  </si>
  <si>
    <t>Footwear Designer, Accessory Designer, Product Developer</t>
  </si>
  <si>
    <t>Materials, CAD, Proto</t>
  </si>
  <si>
    <t>Design Courses</t>
  </si>
  <si>
    <t>Fashion Marketing &amp; E‑com</t>
  </si>
  <si>
    <t>Brand Manager, E‑com Manager, Content Lead</t>
  </si>
  <si>
    <t>Digital, Content, Analytics</t>
  </si>
  <si>
    <t>Marketing Certs</t>
  </si>
  <si>
    <t>Sourcing &amp; Production</t>
  </si>
  <si>
    <t>Production Manager, Compliance Lead, Factory QA</t>
  </si>
  <si>
    <t>Costing, Compliance, Ops</t>
  </si>
  <si>
    <t>Supply/Compliance Certs</t>
  </si>
  <si>
    <t>Sustainable Fashion</t>
  </si>
  <si>
    <t>Sustainability Officer, Certifications Manager, Circularity Lead</t>
  </si>
  <si>
    <t>LCA, Audits, Reporting</t>
  </si>
  <si>
    <t>Sports &amp; Recreation</t>
  </si>
  <si>
    <t>Coaching &amp; Training</t>
  </si>
  <si>
    <t>Sports Coach, Strength &amp; Conditioning Coach, Trainer</t>
  </si>
  <si>
    <t>Coaching, Physiology, Planning</t>
  </si>
  <si>
    <t>Coaching Licenses</t>
  </si>
  <si>
    <t>Sports Science &amp; Medicine</t>
  </si>
  <si>
    <t>Sports Scientist, Physio, Nutritionist</t>
  </si>
  <si>
    <t>Testing, Rehab, Dietetics</t>
  </si>
  <si>
    <t>MSc Sports Science</t>
  </si>
  <si>
    <t>Events &amp; Team Ops</t>
  </si>
  <si>
    <t>Team Manager, Event Ops, League Coordinator</t>
  </si>
  <si>
    <t>Scheduling, Vendors, Travel</t>
  </si>
  <si>
    <t>Sports Mgmt</t>
  </si>
  <si>
    <t>Facility &amp; Club Mgmt</t>
  </si>
  <si>
    <t>Club Manager, Facility Manager, Membership Lead</t>
  </si>
  <si>
    <t>Ops, Sales, Community</t>
  </si>
  <si>
    <t>Facility Mgmt</t>
  </si>
  <si>
    <t>Officiating &amp; Governance</t>
  </si>
  <si>
    <t>Referee, Umpire, Sports Administrator</t>
  </si>
  <si>
    <t>Rules, Fitness, Records</t>
  </si>
  <si>
    <t>Federation Licenses</t>
  </si>
  <si>
    <t>Outdoor &amp; Adventure</t>
  </si>
  <si>
    <t>Adventure Guide, Climbing Instructor, Diving Instructor</t>
  </si>
  <si>
    <t>Safety, First aid, Technical</t>
  </si>
  <si>
    <t>Adventure Certs</t>
  </si>
  <si>
    <t>Sports Media &amp; Analytics</t>
  </si>
  <si>
    <t>Sports Analyst, Content Creator, Statistician</t>
  </si>
  <si>
    <t>Analytics, Content, Visualization</t>
  </si>
  <si>
    <t>Analytics/Media Certs</t>
  </si>
  <si>
    <t>Esports &amp; Gaming Fitness</t>
  </si>
  <si>
    <t>Esports Coach, Performance Analyst, Community Lead</t>
  </si>
  <si>
    <t>Analytics, Coaching, Community</t>
  </si>
  <si>
    <t>Esports Certs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</si>
</sst>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11" x14ac:knownFonts="1">
    <font>
      <sz val="10"/>
      <color rgb="FF000000"/>
      <name val="Arial"/>
      <scheme val="minor"/>
    </font>
    <font>
      <b/>
      <sz val="11"/>
      <color rgb="FF000000"/>
      <name val="Calibri"/>
    </font>
    <font>
      <sz val="11"/>
      <color rgb="FF000000"/>
      <name val="Calibri"/>
    </font>
    <font>
      <b/>
      <sz val="16"/>
      <color rgb="FFFFFFFF"/>
      <name val="Calibri"/>
    </font>
    <font>
      <b/>
      <sz val="11"/>
      <color rgb="FFFFFFFF"/>
      <name val="Calibri"/>
    </font>
    <font>
      <sz val="10"/>
      <name val="Calibri"/>
    </font>
    <font>
      <b/>
      <sz val="10"/>
      <name val="Calibri"/>
    </font>
    <font>
      <i/>
      <sz val="9"/>
      <color rgb="FF595959"/>
      <name val="Calibri"/>
    </font>
    <font>
      <b/>
      <sz val="11"/>
      <name val="Calibri"/>
    </font>
    <font>
      <sz val="9"/>
      <color rgb="FFFFFFFF"/>
      <name val="Calibri"/>
    </font>
    <font>
      <sz val="8"/>
      <color rgb="FFFFFFFF"/>
      <name val="Arial"/>
    </font>
  </fonts>
  <fills count="7">
    <fill>
      <patternFill patternType="none"/>
    </fill>
    <fill>
      <patternFill patternType="gray125"/>
    </fill>
    <fill>
      <patternFill patternType="solid">
        <fgColor rgb="FF1F3864"/>
      </patternFill>
    </fill>
    <fill>
      <patternFill patternType="solid">
        <fgColor rgb="FF2F5597"/>
      </patternFill>
    </fill>
    <fill>
      <patternFill patternType="solid">
        <fgColor rgb="FFFFF2CC"/>
      </patternFill>
    </fill>
    <fill>
      <patternFill patternType="solid">
        <fgColor rgb="FFD9E2F3"/>
      </patternFill>
    </fill>
    <fill>
      <patternFill patternType="solid">
        <fgColor rgb="FFBF8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2" fillId="0" borderId="0" xfId="0" applyFont="1"/>
    <xf numFmtId="0" fontId="4" fillId="3" borderId="2" xfId="0" applyFont="1" applyFill="1" applyBorder="1" applyAlignment="1">
      <alignment horizontal="center" vertical="center"/>
    </xf>
    <xf numFmtId="0" fontId="5" fillId="0" borderId="2" xfId="0" applyFont="1" applyBorder="1" applyAlignment="1">
      <alignment vertical="center" wrapText="1"/>
    </xf>
    <xf numFmtId="0" fontId="5" fillId="0" borderId="2" xfId="0" applyFont="1" applyBorder="1" applyAlignment="1">
      <alignment horizontal="center" vertical="center"/>
    </xf>
    <xf numFmtId="0" fontId="5" fillId="0" borderId="2" xfId="0" applyFont="1" applyBorder="1"/>
    <xf numFmtId="0" fontId="5" fillId="0" borderId="2" xfId="0" applyFont="1" applyBorder="1" applyAlignment="1">
      <alignment vertical="top" wrapText="1"/>
    </xf>
    <xf numFmtId="0" fontId="6" fillId="0" borderId="0" xfId="0" applyFont="1"/>
    <xf numFmtId="0" fontId="8" fillId="4" borderId="2" xfId="0" applyFont="1" applyFill="1" applyBorder="1" applyAlignment="1">
      <alignment horizontal="center" vertical="center"/>
    </xf>
    <xf numFmtId="0" fontId="10" fillId="0" borderId="0" xfId="0" applyFont="1"/>
    <xf numFmtId="0" fontId="9" fillId="0" borderId="2" xfId="0" applyFont="1" applyBorder="1"/>
    <xf numFmtId="0" fontId="6" fillId="5" borderId="2" xfId="0" applyFont="1" applyFill="1" applyBorder="1" applyAlignment="1">
      <alignment horizontal="center" vertical="center"/>
    </xf>
    <xf numFmtId="0" fontId="0" fillId="0" borderId="2" xfId="0" applyBorder="1" applyAlignment="1">
      <alignment horizontal="center" vertical="center"/>
    </xf>
    <xf numFmtId="164" fontId="6" fillId="0" borderId="2" xfId="0" applyNumberFormat="1" applyFont="1" applyBorder="1" applyAlignment="1">
      <alignment horizontal="center" vertical="center"/>
    </xf>
    <xf numFmtId="0" fontId="6" fillId="4" borderId="2" xfId="0" applyFont="1" applyFill="1" applyBorder="1" applyAlignment="1">
      <alignment horizontal="center" vertical="center"/>
    </xf>
    <xf numFmtId="0" fontId="6" fillId="0" borderId="2" xfId="0" applyFont="1" applyBorder="1"/>
    <xf numFmtId="0" fontId="6" fillId="0" borderId="0" xfId="0" applyFont="1" applyAlignment="1">
      <alignment vertical="top" wrapText="1"/>
    </xf>
    <xf numFmtId="0" fontId="0" fillId="0" borderId="0" xfId="0"/>
    <xf numFmtId="0" fontId="5" fillId="0" borderId="0" xfId="0" applyFont="1" applyAlignment="1">
      <alignment vertical="top" wrapText="1"/>
    </xf>
    <xf numFmtId="0" fontId="3" fillId="2" borderId="0" xfId="0" applyFont="1" applyFill="1" applyAlignment="1">
      <alignment vertical="center" indent="1"/>
    </xf>
    <xf numFmtId="0" fontId="0" fillId="0" borderId="2" xfId="0" applyBorder="1" applyAlignment="1">
      <alignment vertical="top" wrapText="1"/>
    </xf>
    <xf numFmtId="0" fontId="0" fillId="0" borderId="2" xfId="0" applyBorder="1"/>
    <xf numFmtId="0" fontId="7" fillId="0" borderId="0" xfId="0" applyFont="1" applyAlignment="1">
      <alignment vertical="top" wrapText="1"/>
    </xf>
    <xf numFmtId="0" fontId="4" fillId="6" borderId="0" xfId="0" applyFont="1" applyFill="1" applyAlignment="1">
      <alignment vertical="center" indent="1"/>
    </xf>
    <xf numFmtId="0" fontId="7" fillId="0" borderId="0" xfId="0" applyFont="1"/>
    <xf numFmtId="0" fontId="6" fillId="4" borderId="2" xfId="0" applyFont="1" applyFill="1" applyBorder="1" applyAlignment="1">
      <alignment horizontal="center" vertical="center"/>
    </xf>
    <xf numFmtId="0" fontId="0" fillId="0" borderId="3" xfId="0" applyBorder="1"/>
    <xf numFmtId="0" fontId="0" fillId="0" borderId="4" xfId="0" applyBorder="1"/>
    <xf numFmtId="0" fontId="4" fillId="3" borderId="0" xfId="0" applyFont="1" applyFill="1" applyAlignment="1">
      <alignmen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sheetViews>
  <sheetFormatPr defaultRowHeight="13.2" x14ac:dyDescent="0.25"/>
  <cols>
    <col min="1" max="1" width="16" customWidth="1"/>
    <col min="2" max="6" width="18" customWidth="1"/>
  </cols>
  <sheetData>
    <row r="1" spans="1:6" ht="30" customHeight="1" x14ac:dyDescent="0.25">
      <c r="A1" s="20" t="s">
        <v>0</v>
      </c>
      <c r="B1" s="18"/>
      <c r="C1" s="18"/>
      <c r="D1" s="18"/>
      <c r="E1" s="18"/>
      <c r="F1" s="18"/>
    </row>
    <row r="3" spans="1:6" ht="18" customHeight="1" x14ac:dyDescent="0.25">
      <c r="A3" s="17" t="s">
        <v>1</v>
      </c>
      <c r="B3" s="18"/>
      <c r="C3" s="18"/>
      <c r="D3" s="18"/>
      <c r="E3" s="18"/>
      <c r="F3" s="18"/>
    </row>
    <row r="4" spans="1:6" ht="31.95" customHeight="1" x14ac:dyDescent="0.25">
      <c r="A4" s="19" t="s">
        <v>2</v>
      </c>
      <c r="B4" s="18"/>
      <c r="C4" s="18"/>
      <c r="D4" s="18"/>
      <c r="E4" s="18"/>
      <c r="F4" s="18"/>
    </row>
    <row r="5" spans="1:6" ht="18" customHeight="1" x14ac:dyDescent="0.25">
      <c r="A5" s="19"/>
      <c r="B5" s="18"/>
      <c r="C5" s="18"/>
      <c r="D5" s="18"/>
      <c r="E5" s="18"/>
      <c r="F5" s="18"/>
    </row>
    <row r="6" spans="1:6" ht="18" customHeight="1" x14ac:dyDescent="0.25">
      <c r="A6" s="17" t="s">
        <v>3</v>
      </c>
      <c r="B6" s="18"/>
      <c r="C6" s="18"/>
      <c r="D6" s="18"/>
      <c r="E6" s="18"/>
      <c r="F6" s="18"/>
    </row>
    <row r="7" spans="1:6" ht="31.95" customHeight="1" x14ac:dyDescent="0.25">
      <c r="A7" s="19" t="s">
        <v>4</v>
      </c>
      <c r="B7" s="18"/>
      <c r="C7" s="18"/>
      <c r="D7" s="18"/>
      <c r="E7" s="18"/>
      <c r="F7" s="18"/>
    </row>
    <row r="8" spans="1:6" ht="31.95" customHeight="1" x14ac:dyDescent="0.25">
      <c r="A8" s="19" t="s">
        <v>5</v>
      </c>
      <c r="B8" s="18"/>
      <c r="C8" s="18"/>
      <c r="D8" s="18"/>
      <c r="E8" s="18"/>
      <c r="F8" s="18"/>
    </row>
    <row r="9" spans="1:6" ht="31.95" customHeight="1" x14ac:dyDescent="0.25">
      <c r="A9" s="19" t="s">
        <v>6</v>
      </c>
      <c r="B9" s="18"/>
      <c r="C9" s="18"/>
      <c r="D9" s="18"/>
      <c r="E9" s="18"/>
      <c r="F9" s="18"/>
    </row>
    <row r="10" spans="1:6" ht="18" customHeight="1" x14ac:dyDescent="0.25">
      <c r="A10" s="19"/>
      <c r="B10" s="18"/>
      <c r="C10" s="18"/>
      <c r="D10" s="18"/>
      <c r="E10" s="18"/>
      <c r="F10" s="18"/>
    </row>
    <row r="11" spans="1:6" ht="18" customHeight="1" x14ac:dyDescent="0.25">
      <c r="A11" s="17" t="s">
        <v>7</v>
      </c>
      <c r="B11" s="18"/>
      <c r="C11" s="18"/>
      <c r="D11" s="18"/>
      <c r="E11" s="18"/>
      <c r="F11" s="18"/>
    </row>
    <row r="12" spans="1:6" ht="31.95" customHeight="1" x14ac:dyDescent="0.25">
      <c r="A12" s="19" t="s">
        <v>8</v>
      </c>
      <c r="B12" s="18"/>
      <c r="C12" s="18"/>
      <c r="D12" s="18"/>
      <c r="E12" s="18"/>
      <c r="F12" s="18"/>
    </row>
    <row r="13" spans="1:6" ht="18" customHeight="1" x14ac:dyDescent="0.25">
      <c r="A13" s="19"/>
      <c r="B13" s="18"/>
      <c r="C13" s="18"/>
      <c r="D13" s="18"/>
      <c r="E13" s="18"/>
      <c r="F13" s="18"/>
    </row>
    <row r="14" spans="1:6" ht="18" customHeight="1" x14ac:dyDescent="0.25">
      <c r="A14" s="17" t="s">
        <v>9</v>
      </c>
      <c r="B14" s="18"/>
      <c r="C14" s="18"/>
      <c r="D14" s="18"/>
      <c r="E14" s="18"/>
      <c r="F14" s="18"/>
    </row>
    <row r="16" spans="1:6" ht="14.4" x14ac:dyDescent="0.25">
      <c r="A16" s="3" t="s">
        <v>10</v>
      </c>
      <c r="B16" s="3" t="s">
        <v>11</v>
      </c>
    </row>
    <row r="17" spans="1:6" ht="27.6" x14ac:dyDescent="0.25">
      <c r="A17" s="4" t="s">
        <v>12</v>
      </c>
      <c r="B17" s="4" t="s">
        <v>13</v>
      </c>
    </row>
    <row r="18" spans="1:6" ht="27.6" x14ac:dyDescent="0.25">
      <c r="A18" s="4" t="s">
        <v>14</v>
      </c>
      <c r="B18" s="4" t="s">
        <v>15</v>
      </c>
    </row>
    <row r="19" spans="1:6" ht="41.4" x14ac:dyDescent="0.25">
      <c r="A19" s="4" t="s">
        <v>16</v>
      </c>
      <c r="B19" s="4" t="s">
        <v>17</v>
      </c>
    </row>
    <row r="20" spans="1:6" ht="41.4" x14ac:dyDescent="0.25">
      <c r="A20" s="4" t="s">
        <v>18</v>
      </c>
      <c r="B20" s="4" t="s">
        <v>17</v>
      </c>
    </row>
    <row r="21" spans="1:6" ht="41.4" x14ac:dyDescent="0.25">
      <c r="A21" s="4" t="s">
        <v>19</v>
      </c>
      <c r="B21" s="4" t="s">
        <v>20</v>
      </c>
    </row>
    <row r="22" spans="1:6" ht="41.4" x14ac:dyDescent="0.25">
      <c r="A22" s="4" t="s">
        <v>21</v>
      </c>
      <c r="B22" s="4" t="s">
        <v>22</v>
      </c>
    </row>
    <row r="24" spans="1:6" ht="18" customHeight="1" x14ac:dyDescent="0.25">
      <c r="A24" s="17" t="s">
        <v>23</v>
      </c>
      <c r="B24" s="18"/>
      <c r="C24" s="18"/>
      <c r="D24" s="18"/>
      <c r="E24" s="18"/>
      <c r="F24" s="18"/>
    </row>
    <row r="25" spans="1:6" ht="43.95" customHeight="1" x14ac:dyDescent="0.25">
      <c r="A25" s="19" t="s">
        <v>24</v>
      </c>
      <c r="B25" s="18"/>
      <c r="C25" s="18"/>
      <c r="D25" s="18"/>
      <c r="E25" s="18"/>
      <c r="F25" s="18"/>
    </row>
  </sheetData>
  <mergeCells count="15">
    <mergeCell ref="A25:F25"/>
    <mergeCell ref="A1:F1"/>
    <mergeCell ref="A5:F5"/>
    <mergeCell ref="A9:F9"/>
    <mergeCell ref="A8:F8"/>
    <mergeCell ref="A6:F6"/>
    <mergeCell ref="A4:F4"/>
    <mergeCell ref="A3:F3"/>
    <mergeCell ref="A7:F7"/>
    <mergeCell ref="A24:F24"/>
    <mergeCell ref="A11:F11"/>
    <mergeCell ref="A10:F10"/>
    <mergeCell ref="A13:F13"/>
    <mergeCell ref="A14:F14"/>
    <mergeCell ref="A12:F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showGridLines="0" workbookViewId="0"/>
  </sheetViews>
  <sheetFormatPr defaultRowHeight="13.2" x14ac:dyDescent="0.25"/>
  <cols>
    <col min="1" max="1" width="14" customWidth="1"/>
    <col min="2" max="2" width="32" customWidth="1"/>
  </cols>
  <sheetData>
    <row r="1" spans="1:2" ht="25.95" customHeight="1" x14ac:dyDescent="0.25">
      <c r="A1" s="20" t="s">
        <v>25</v>
      </c>
      <c r="B1" s="18"/>
    </row>
    <row r="3" spans="1:2" ht="14.4" x14ac:dyDescent="0.25">
      <c r="A3" s="3" t="s">
        <v>26</v>
      </c>
      <c r="B3" s="3" t="s">
        <v>27</v>
      </c>
    </row>
    <row r="4" spans="1:2" ht="13.8" x14ac:dyDescent="0.3">
      <c r="A4" s="5" t="s">
        <v>28</v>
      </c>
      <c r="B4" s="6" t="s">
        <v>29</v>
      </c>
    </row>
    <row r="5" spans="1:2" ht="13.8" x14ac:dyDescent="0.3">
      <c r="A5" s="5" t="s">
        <v>30</v>
      </c>
      <c r="B5" s="6" t="s">
        <v>31</v>
      </c>
    </row>
    <row r="6" spans="1:2" ht="13.8" x14ac:dyDescent="0.3">
      <c r="A6" s="5" t="s">
        <v>32</v>
      </c>
      <c r="B6" s="6" t="s">
        <v>33</v>
      </c>
    </row>
    <row r="7" spans="1:2" ht="13.8" x14ac:dyDescent="0.3">
      <c r="A7" s="5" t="s">
        <v>34</v>
      </c>
      <c r="B7" s="6" t="s">
        <v>35</v>
      </c>
    </row>
    <row r="8" spans="1:2" ht="13.8" x14ac:dyDescent="0.3">
      <c r="A8" s="5" t="s">
        <v>36</v>
      </c>
      <c r="B8" s="6" t="s">
        <v>37</v>
      </c>
    </row>
    <row r="9" spans="1:2" ht="13.8" x14ac:dyDescent="0.3">
      <c r="A9" s="5" t="s">
        <v>38</v>
      </c>
      <c r="B9" s="6" t="s">
        <v>39</v>
      </c>
    </row>
    <row r="10" spans="1:2" ht="13.8" x14ac:dyDescent="0.3">
      <c r="A10" s="5" t="s">
        <v>40</v>
      </c>
      <c r="B10" s="6" t="s">
        <v>41</v>
      </c>
    </row>
    <row r="11" spans="1:2" ht="13.8" x14ac:dyDescent="0.3">
      <c r="A11" s="5" t="s">
        <v>42</v>
      </c>
      <c r="B11" s="6" t="s">
        <v>43</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sheetViews>
  <sheetFormatPr defaultRowHeight="13.2" x14ac:dyDescent="0.25"/>
  <cols>
    <col min="1" max="1" width="8" customWidth="1"/>
    <col min="2" max="2" width="26" customWidth="1"/>
    <col min="3" max="3" width="45" customWidth="1"/>
    <col min="4" max="4" width="55" customWidth="1"/>
  </cols>
  <sheetData>
    <row r="1" spans="1:4" ht="25.95" customHeight="1" x14ac:dyDescent="0.25">
      <c r="A1" s="20" t="s">
        <v>44</v>
      </c>
      <c r="B1" s="18"/>
      <c r="C1" s="18"/>
      <c r="D1" s="18"/>
    </row>
    <row r="3" spans="1:4" ht="14.4" x14ac:dyDescent="0.25">
      <c r="A3" s="3" t="s">
        <v>45</v>
      </c>
      <c r="B3" s="3" t="s">
        <v>46</v>
      </c>
      <c r="C3" s="3" t="s">
        <v>47</v>
      </c>
      <c r="D3" s="3" t="s">
        <v>48</v>
      </c>
    </row>
    <row r="4" spans="1:4" ht="46.05" customHeight="1" x14ac:dyDescent="0.25">
      <c r="A4" s="4" t="s">
        <v>28</v>
      </c>
      <c r="B4" s="4" t="s">
        <v>29</v>
      </c>
      <c r="C4" s="7" t="s">
        <v>49</v>
      </c>
      <c r="D4" s="7" t="s">
        <v>50</v>
      </c>
    </row>
    <row r="5" spans="1:4" ht="46.05" customHeight="1" x14ac:dyDescent="0.25">
      <c r="A5" s="4" t="s">
        <v>30</v>
      </c>
      <c r="B5" s="4" t="s">
        <v>31</v>
      </c>
      <c r="C5" s="7" t="s">
        <v>31</v>
      </c>
      <c r="D5" s="7" t="s">
        <v>51</v>
      </c>
    </row>
    <row r="6" spans="1:4" ht="46.05" customHeight="1" x14ac:dyDescent="0.25">
      <c r="A6" s="4" t="s">
        <v>32</v>
      </c>
      <c r="B6" s="4" t="s">
        <v>33</v>
      </c>
      <c r="C6" s="7" t="s">
        <v>33</v>
      </c>
      <c r="D6" s="7" t="s">
        <v>52</v>
      </c>
    </row>
    <row r="7" spans="1:4" ht="46.05" customHeight="1" x14ac:dyDescent="0.25">
      <c r="A7" s="4" t="s">
        <v>34</v>
      </c>
      <c r="B7" s="4" t="s">
        <v>35</v>
      </c>
      <c r="C7" s="7" t="s">
        <v>53</v>
      </c>
      <c r="D7" s="7" t="s">
        <v>54</v>
      </c>
    </row>
    <row r="8" spans="1:4" ht="46.05" customHeight="1" x14ac:dyDescent="0.25">
      <c r="A8" s="4" t="s">
        <v>36</v>
      </c>
      <c r="B8" s="4" t="s">
        <v>37</v>
      </c>
      <c r="C8" s="7" t="s">
        <v>55</v>
      </c>
      <c r="D8" s="7" t="s">
        <v>56</v>
      </c>
    </row>
    <row r="9" spans="1:4" ht="46.05" customHeight="1" x14ac:dyDescent="0.25">
      <c r="A9" s="4" t="s">
        <v>38</v>
      </c>
      <c r="B9" s="4" t="s">
        <v>39</v>
      </c>
      <c r="C9" s="7" t="s">
        <v>57</v>
      </c>
      <c r="D9" s="7" t="s">
        <v>58</v>
      </c>
    </row>
    <row r="10" spans="1:4" ht="46.05" customHeight="1" x14ac:dyDescent="0.25">
      <c r="A10" s="4" t="s">
        <v>40</v>
      </c>
      <c r="B10" s="4" t="s">
        <v>41</v>
      </c>
      <c r="C10" s="7" t="s">
        <v>59</v>
      </c>
      <c r="D10" s="7" t="s">
        <v>60</v>
      </c>
    </row>
    <row r="11" spans="1:4" ht="46.05" customHeight="1" x14ac:dyDescent="0.25">
      <c r="A11" s="4" t="s">
        <v>42</v>
      </c>
      <c r="B11" s="4" t="s">
        <v>43</v>
      </c>
      <c r="C11" s="7" t="s">
        <v>61</v>
      </c>
      <c r="D11" s="7" t="s">
        <v>62</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75"/>
  <sheetViews>
    <sheetView showGridLines="0" tabSelected="1" workbookViewId="0">
      <pane xSplit="4" ySplit="6" topLeftCell="E78" activePane="bottomRight" state="frozen"/>
      <selection pane="topRight"/>
      <selection pane="bottomLeft"/>
      <selection pane="bottomRight" activeCell="I74" sqref="I74"/>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63</v>
      </c>
      <c r="B1" s="18"/>
      <c r="C1" s="18"/>
      <c r="D1" s="18"/>
      <c r="E1" s="18"/>
      <c r="F1" s="18"/>
      <c r="G1" s="18"/>
      <c r="H1" s="18"/>
      <c r="I1" s="18"/>
      <c r="J1" s="18"/>
      <c r="K1" s="18"/>
      <c r="L1" s="18"/>
      <c r="M1" s="18"/>
      <c r="N1" s="18"/>
    </row>
    <row r="2" spans="1:19" x14ac:dyDescent="0.25">
      <c r="A2" s="25" t="s">
        <v>64</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86</v>
      </c>
      <c r="E7" s="7" t="s">
        <v>87</v>
      </c>
      <c r="F7" s="7" t="s">
        <v>88</v>
      </c>
      <c r="G7" s="7" t="s">
        <v>89</v>
      </c>
      <c r="H7" s="7" t="s">
        <v>90</v>
      </c>
      <c r="I7" s="7" t="s">
        <v>91</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93</v>
      </c>
      <c r="D8" s="7" t="s">
        <v>94</v>
      </c>
      <c r="E8" s="7" t="s">
        <v>95</v>
      </c>
      <c r="F8" s="7" t="s">
        <v>96</v>
      </c>
      <c r="G8" s="7" t="s">
        <v>97</v>
      </c>
      <c r="H8" s="7" t="s">
        <v>98</v>
      </c>
      <c r="I8" s="7" t="s">
        <v>99</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101</v>
      </c>
      <c r="D9" s="7" t="s">
        <v>102</v>
      </c>
      <c r="E9" s="7" t="s">
        <v>103</v>
      </c>
      <c r="F9" s="7" t="s">
        <v>104</v>
      </c>
      <c r="G9" s="7" t="s">
        <v>105</v>
      </c>
      <c r="H9" s="7" t="s">
        <v>106</v>
      </c>
      <c r="I9" s="7" t="s">
        <v>107</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109</v>
      </c>
      <c r="D10" s="7" t="s">
        <v>110</v>
      </c>
      <c r="E10" s="7" t="s">
        <v>111</v>
      </c>
      <c r="F10" s="7" t="s">
        <v>112</v>
      </c>
      <c r="G10" s="7" t="s">
        <v>113</v>
      </c>
      <c r="H10" s="7" t="s">
        <v>114</v>
      </c>
      <c r="I10" s="7" t="s">
        <v>115</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117</v>
      </c>
      <c r="D11" s="7" t="s">
        <v>118</v>
      </c>
      <c r="E11" s="7" t="s">
        <v>119</v>
      </c>
      <c r="F11" s="7" t="s">
        <v>120</v>
      </c>
      <c r="G11" s="7" t="s">
        <v>121</v>
      </c>
      <c r="H11" s="7" t="s">
        <v>122</v>
      </c>
      <c r="I11" s="7" t="s">
        <v>123</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125</v>
      </c>
      <c r="D12" s="7" t="s">
        <v>126</v>
      </c>
      <c r="E12" s="7" t="s">
        <v>127</v>
      </c>
      <c r="F12" s="7" t="s">
        <v>128</v>
      </c>
      <c r="G12" s="7" t="s">
        <v>129</v>
      </c>
      <c r="H12" s="7" t="s">
        <v>130</v>
      </c>
      <c r="I12" s="7" t="s">
        <v>131</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133</v>
      </c>
      <c r="D13" s="7" t="s">
        <v>134</v>
      </c>
      <c r="E13" s="7" t="s">
        <v>135</v>
      </c>
      <c r="F13" s="7" t="s">
        <v>136</v>
      </c>
      <c r="G13" s="7" t="s">
        <v>137</v>
      </c>
      <c r="H13" s="7" t="s">
        <v>138</v>
      </c>
      <c r="I13" s="7" t="s">
        <v>139</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141</v>
      </c>
      <c r="D14" s="7" t="s">
        <v>142</v>
      </c>
      <c r="E14" s="7" t="s">
        <v>143</v>
      </c>
      <c r="F14" s="7" t="s">
        <v>144</v>
      </c>
      <c r="G14" s="7" t="s">
        <v>145</v>
      </c>
      <c r="H14" s="7" t="s">
        <v>146</v>
      </c>
      <c r="I14" s="7" t="s">
        <v>147</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150</v>
      </c>
      <c r="E15" s="7" t="s">
        <v>151</v>
      </c>
      <c r="F15" s="7" t="s">
        <v>152</v>
      </c>
      <c r="G15" s="7" t="s">
        <v>153</v>
      </c>
      <c r="H15" s="7" t="s">
        <v>154</v>
      </c>
      <c r="I15" s="7" t="s">
        <v>155</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158</v>
      </c>
      <c r="E16" s="7" t="s">
        <v>159</v>
      </c>
      <c r="F16" s="7" t="s">
        <v>160</v>
      </c>
      <c r="G16" s="7" t="s">
        <v>161</v>
      </c>
      <c r="H16" s="7" t="s">
        <v>162</v>
      </c>
      <c r="I16" s="7" t="s">
        <v>163</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166</v>
      </c>
      <c r="E17" s="7" t="s">
        <v>167</v>
      </c>
      <c r="F17" s="7" t="s">
        <v>168</v>
      </c>
      <c r="G17" s="7" t="s">
        <v>169</v>
      </c>
      <c r="H17" s="7" t="s">
        <v>170</v>
      </c>
      <c r="I17" s="7" t="s">
        <v>171</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174</v>
      </c>
      <c r="E18" s="7" t="s">
        <v>175</v>
      </c>
      <c r="F18" s="7" t="s">
        <v>176</v>
      </c>
      <c r="G18" s="7" t="s">
        <v>177</v>
      </c>
      <c r="H18" s="7" t="s">
        <v>178</v>
      </c>
      <c r="I18" s="7" t="s">
        <v>179</v>
      </c>
      <c r="J18" s="11" t="s">
        <v>28</v>
      </c>
      <c r="K18" s="11" t="s">
        <v>36</v>
      </c>
      <c r="L18" s="11" t="s">
        <v>38</v>
      </c>
      <c r="M18" s="11" t="s">
        <v>40</v>
      </c>
      <c r="N18" s="11" t="s">
        <v>42</v>
      </c>
      <c r="O18" s="9"/>
      <c r="P18" t="str">
        <f t="shared" si="0"/>
        <v/>
      </c>
    </row>
    <row r="19" spans="1:16" ht="34.049999999999997" customHeight="1" x14ac:dyDescent="0.25">
      <c r="A19" s="5" t="s">
        <v>66</v>
      </c>
      <c r="B19" s="5" t="s">
        <v>180</v>
      </c>
      <c r="C19" s="7" t="s">
        <v>181</v>
      </c>
      <c r="D19" s="7" t="s">
        <v>182</v>
      </c>
      <c r="E19" s="7" t="s">
        <v>183</v>
      </c>
      <c r="F19" s="7" t="s">
        <v>184</v>
      </c>
      <c r="G19" s="7" t="s">
        <v>185</v>
      </c>
      <c r="H19" s="7" t="s">
        <v>186</v>
      </c>
      <c r="I19" s="7" t="s">
        <v>187</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190</v>
      </c>
      <c r="E20" s="7" t="s">
        <v>191</v>
      </c>
      <c r="F20" s="7" t="s">
        <v>192</v>
      </c>
      <c r="G20" s="7" t="s">
        <v>193</v>
      </c>
      <c r="H20" s="7" t="s">
        <v>194</v>
      </c>
      <c r="I20" s="7" t="s">
        <v>195</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198</v>
      </c>
      <c r="E21" s="7" t="s">
        <v>199</v>
      </c>
      <c r="F21" s="7" t="s">
        <v>200</v>
      </c>
      <c r="G21" s="7" t="s">
        <v>201</v>
      </c>
      <c r="H21" s="7" t="s">
        <v>202</v>
      </c>
      <c r="I21" s="7" t="s">
        <v>203</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205</v>
      </c>
      <c r="E22" s="7" t="s">
        <v>87</v>
      </c>
      <c r="F22" s="7" t="s">
        <v>88</v>
      </c>
      <c r="G22" s="7" t="s">
        <v>89</v>
      </c>
      <c r="H22" s="7" t="s">
        <v>90</v>
      </c>
      <c r="I22" s="7" t="s">
        <v>91</v>
      </c>
      <c r="J22" s="11" t="s">
        <v>34</v>
      </c>
      <c r="K22" s="11" t="s">
        <v>36</v>
      </c>
      <c r="L22" s="11" t="s">
        <v>38</v>
      </c>
      <c r="M22" s="11" t="s">
        <v>40</v>
      </c>
      <c r="N22" s="11" t="s">
        <v>42</v>
      </c>
      <c r="O22" s="9"/>
      <c r="P22" t="str">
        <f t="shared" si="0"/>
        <v/>
      </c>
    </row>
    <row r="23" spans="1:16" ht="34.049999999999997" customHeight="1" x14ac:dyDescent="0.25">
      <c r="A23" s="5" t="s">
        <v>204</v>
      </c>
      <c r="B23" s="5" t="s">
        <v>92</v>
      </c>
      <c r="C23" s="7" t="s">
        <v>93</v>
      </c>
      <c r="D23" s="7" t="s">
        <v>206</v>
      </c>
      <c r="E23" s="7" t="s">
        <v>95</v>
      </c>
      <c r="F23" s="7" t="s">
        <v>96</v>
      </c>
      <c r="G23" s="7" t="s">
        <v>97</v>
      </c>
      <c r="H23" s="7" t="s">
        <v>98</v>
      </c>
      <c r="I23" s="7" t="s">
        <v>99</v>
      </c>
      <c r="J23" s="11" t="s">
        <v>28</v>
      </c>
      <c r="K23" s="11" t="s">
        <v>30</v>
      </c>
      <c r="L23" s="11" t="s">
        <v>32</v>
      </c>
      <c r="M23" s="11" t="s">
        <v>40</v>
      </c>
      <c r="N23" s="11" t="s">
        <v>42</v>
      </c>
      <c r="O23" s="9"/>
      <c r="P23" t="str">
        <f t="shared" si="0"/>
        <v/>
      </c>
    </row>
    <row r="24" spans="1:16" ht="34.049999999999997" customHeight="1" x14ac:dyDescent="0.25">
      <c r="A24" s="5" t="s">
        <v>204</v>
      </c>
      <c r="B24" s="5" t="s">
        <v>100</v>
      </c>
      <c r="C24" s="7" t="s">
        <v>101</v>
      </c>
      <c r="D24" s="7" t="s">
        <v>207</v>
      </c>
      <c r="E24" s="7" t="s">
        <v>103</v>
      </c>
      <c r="F24" s="7" t="s">
        <v>104</v>
      </c>
      <c r="G24" s="7" t="s">
        <v>105</v>
      </c>
      <c r="H24" s="7" t="s">
        <v>106</v>
      </c>
      <c r="I24" s="7" t="s">
        <v>107</v>
      </c>
      <c r="J24" s="11" t="s">
        <v>30</v>
      </c>
      <c r="K24" s="11" t="s">
        <v>32</v>
      </c>
      <c r="L24" s="11" t="s">
        <v>34</v>
      </c>
      <c r="M24" s="11" t="s">
        <v>36</v>
      </c>
      <c r="N24" s="11" t="s">
        <v>38</v>
      </c>
      <c r="O24" s="9"/>
      <c r="P24" t="str">
        <f t="shared" si="0"/>
        <v/>
      </c>
    </row>
    <row r="25" spans="1:16" ht="34.049999999999997" customHeight="1" x14ac:dyDescent="0.25">
      <c r="A25" s="5" t="s">
        <v>204</v>
      </c>
      <c r="B25" s="5" t="s">
        <v>108</v>
      </c>
      <c r="C25" s="7" t="s">
        <v>109</v>
      </c>
      <c r="D25" s="7" t="s">
        <v>208</v>
      </c>
      <c r="E25" s="7" t="s">
        <v>111</v>
      </c>
      <c r="F25" s="7" t="s">
        <v>112</v>
      </c>
      <c r="G25" s="7" t="s">
        <v>113</v>
      </c>
      <c r="H25" s="7" t="s">
        <v>114</v>
      </c>
      <c r="I25" s="7" t="s">
        <v>115</v>
      </c>
      <c r="J25" s="11" t="s">
        <v>28</v>
      </c>
      <c r="K25" s="11" t="s">
        <v>36</v>
      </c>
      <c r="L25" s="11" t="s">
        <v>38</v>
      </c>
      <c r="M25" s="11" t="s">
        <v>40</v>
      </c>
      <c r="N25" s="11" t="s">
        <v>42</v>
      </c>
      <c r="O25" s="9"/>
      <c r="P25" t="str">
        <f t="shared" si="0"/>
        <v/>
      </c>
    </row>
    <row r="26" spans="1:16" ht="34.049999999999997" customHeight="1" x14ac:dyDescent="0.25">
      <c r="A26" s="5" t="s">
        <v>204</v>
      </c>
      <c r="B26" s="5" t="s">
        <v>116</v>
      </c>
      <c r="C26" s="7" t="s">
        <v>117</v>
      </c>
      <c r="D26" s="7" t="s">
        <v>209</v>
      </c>
      <c r="E26" s="7" t="s">
        <v>119</v>
      </c>
      <c r="F26" s="7" t="s">
        <v>120</v>
      </c>
      <c r="G26" s="7" t="s">
        <v>121</v>
      </c>
      <c r="H26" s="7" t="s">
        <v>122</v>
      </c>
      <c r="I26" s="7" t="s">
        <v>123</v>
      </c>
      <c r="J26" s="11" t="s">
        <v>28</v>
      </c>
      <c r="K26" s="11" t="s">
        <v>30</v>
      </c>
      <c r="L26" s="11" t="s">
        <v>32</v>
      </c>
      <c r="M26" s="11" t="s">
        <v>34</v>
      </c>
      <c r="N26" s="11" t="s">
        <v>42</v>
      </c>
      <c r="O26" s="9"/>
      <c r="P26" t="str">
        <f t="shared" si="0"/>
        <v/>
      </c>
    </row>
    <row r="27" spans="1:16" ht="34.049999999999997" customHeight="1" x14ac:dyDescent="0.25">
      <c r="A27" s="5" t="s">
        <v>204</v>
      </c>
      <c r="B27" s="5" t="s">
        <v>124</v>
      </c>
      <c r="C27" s="7" t="s">
        <v>125</v>
      </c>
      <c r="D27" s="7" t="s">
        <v>210</v>
      </c>
      <c r="E27" s="7" t="s">
        <v>127</v>
      </c>
      <c r="F27" s="7" t="s">
        <v>128</v>
      </c>
      <c r="G27" s="7" t="s">
        <v>129</v>
      </c>
      <c r="H27" s="7" t="s">
        <v>130</v>
      </c>
      <c r="I27" s="7" t="s">
        <v>131</v>
      </c>
      <c r="J27" s="11" t="s">
        <v>32</v>
      </c>
      <c r="K27" s="11" t="s">
        <v>34</v>
      </c>
      <c r="L27" s="11" t="s">
        <v>36</v>
      </c>
      <c r="M27" s="11" t="s">
        <v>38</v>
      </c>
      <c r="N27" s="11" t="s">
        <v>40</v>
      </c>
      <c r="O27" s="9"/>
      <c r="P27" t="str">
        <f t="shared" si="0"/>
        <v/>
      </c>
    </row>
    <row r="28" spans="1:16" ht="34.049999999999997" customHeight="1" x14ac:dyDescent="0.25">
      <c r="A28" s="5" t="s">
        <v>204</v>
      </c>
      <c r="B28" s="5" t="s">
        <v>132</v>
      </c>
      <c r="C28" s="7" t="s">
        <v>133</v>
      </c>
      <c r="D28" s="7" t="s">
        <v>211</v>
      </c>
      <c r="E28" s="7" t="s">
        <v>135</v>
      </c>
      <c r="F28" s="7" t="s">
        <v>136</v>
      </c>
      <c r="G28" s="7" t="s">
        <v>137</v>
      </c>
      <c r="H28" s="7" t="s">
        <v>138</v>
      </c>
      <c r="I28" s="7" t="s">
        <v>139</v>
      </c>
      <c r="J28" s="11" t="s">
        <v>28</v>
      </c>
      <c r="K28" s="11" t="s">
        <v>30</v>
      </c>
      <c r="L28" s="11" t="s">
        <v>38</v>
      </c>
      <c r="M28" s="11" t="s">
        <v>40</v>
      </c>
      <c r="N28" s="11" t="s">
        <v>42</v>
      </c>
      <c r="O28" s="9"/>
      <c r="P28" t="str">
        <f t="shared" si="0"/>
        <v/>
      </c>
    </row>
    <row r="29" spans="1:16" ht="34.049999999999997" customHeight="1" x14ac:dyDescent="0.25">
      <c r="A29" s="5" t="s">
        <v>204</v>
      </c>
      <c r="B29" s="5" t="s">
        <v>140</v>
      </c>
      <c r="C29" s="7" t="s">
        <v>141</v>
      </c>
      <c r="D29" s="7" t="s">
        <v>212</v>
      </c>
      <c r="E29" s="7" t="s">
        <v>143</v>
      </c>
      <c r="F29" s="7" t="s">
        <v>144</v>
      </c>
      <c r="G29" s="7" t="s">
        <v>145</v>
      </c>
      <c r="H29" s="7" t="s">
        <v>146</v>
      </c>
      <c r="I29" s="7" t="s">
        <v>147</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213</v>
      </c>
      <c r="E30" s="7" t="s">
        <v>151</v>
      </c>
      <c r="F30" s="7" t="s">
        <v>152</v>
      </c>
      <c r="G30" s="7" t="s">
        <v>153</v>
      </c>
      <c r="H30" s="7" t="s">
        <v>154</v>
      </c>
      <c r="I30" s="7" t="s">
        <v>155</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214</v>
      </c>
      <c r="E31" s="7" t="s">
        <v>159</v>
      </c>
      <c r="F31" s="7" t="s">
        <v>160</v>
      </c>
      <c r="G31" s="7" t="s">
        <v>161</v>
      </c>
      <c r="H31" s="7" t="s">
        <v>162</v>
      </c>
      <c r="I31" s="7" t="s">
        <v>163</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215</v>
      </c>
      <c r="E32" s="7" t="s">
        <v>167</v>
      </c>
      <c r="F32" s="7" t="s">
        <v>168</v>
      </c>
      <c r="G32" s="7" t="s">
        <v>169</v>
      </c>
      <c r="H32" s="7" t="s">
        <v>170</v>
      </c>
      <c r="I32" s="7" t="s">
        <v>171</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216</v>
      </c>
      <c r="E33" s="7" t="s">
        <v>175</v>
      </c>
      <c r="F33" s="7" t="s">
        <v>176</v>
      </c>
      <c r="G33" s="7" t="s">
        <v>177</v>
      </c>
      <c r="H33" s="7" t="s">
        <v>178</v>
      </c>
      <c r="I33" s="7" t="s">
        <v>179</v>
      </c>
      <c r="J33" s="11" t="s">
        <v>28</v>
      </c>
      <c r="K33" s="11" t="s">
        <v>36</v>
      </c>
      <c r="L33" s="11" t="s">
        <v>38</v>
      </c>
      <c r="M33" s="11" t="s">
        <v>40</v>
      </c>
      <c r="N33" s="11" t="s">
        <v>42</v>
      </c>
      <c r="O33" s="9"/>
      <c r="P33" t="str">
        <f t="shared" si="0"/>
        <v/>
      </c>
    </row>
    <row r="34" spans="1:16" ht="34.049999999999997" customHeight="1" x14ac:dyDescent="0.25">
      <c r="A34" s="5" t="s">
        <v>204</v>
      </c>
      <c r="B34" s="5" t="s">
        <v>180</v>
      </c>
      <c r="C34" s="7" t="s">
        <v>181</v>
      </c>
      <c r="D34" s="7" t="s">
        <v>217</v>
      </c>
      <c r="E34" s="7" t="s">
        <v>183</v>
      </c>
      <c r="F34" s="7" t="s">
        <v>184</v>
      </c>
      <c r="G34" s="7" t="s">
        <v>185</v>
      </c>
      <c r="H34" s="7" t="s">
        <v>186</v>
      </c>
      <c r="I34" s="7" t="s">
        <v>187</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218</v>
      </c>
      <c r="E35" s="7" t="s">
        <v>191</v>
      </c>
      <c r="F35" s="7" t="s">
        <v>192</v>
      </c>
      <c r="G35" s="7" t="s">
        <v>193</v>
      </c>
      <c r="H35" s="7" t="s">
        <v>194</v>
      </c>
      <c r="I35" s="7" t="s">
        <v>195</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219</v>
      </c>
      <c r="E36" s="7" t="s">
        <v>199</v>
      </c>
      <c r="F36" s="7" t="s">
        <v>200</v>
      </c>
      <c r="G36" s="7" t="s">
        <v>201</v>
      </c>
      <c r="H36" s="7" t="s">
        <v>202</v>
      </c>
      <c r="I36" s="7" t="s">
        <v>203</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221</v>
      </c>
      <c r="E37" s="7" t="s">
        <v>87</v>
      </c>
      <c r="F37" s="7" t="s">
        <v>88</v>
      </c>
      <c r="G37" s="7" t="s">
        <v>89</v>
      </c>
      <c r="H37" s="7" t="s">
        <v>90</v>
      </c>
      <c r="I37" s="7" t="s">
        <v>91</v>
      </c>
      <c r="J37" s="11" t="s">
        <v>34</v>
      </c>
      <c r="K37" s="11" t="s">
        <v>36</v>
      </c>
      <c r="L37" s="11" t="s">
        <v>38</v>
      </c>
      <c r="M37" s="11" t="s">
        <v>40</v>
      </c>
      <c r="N37" s="11" t="s">
        <v>42</v>
      </c>
      <c r="O37" s="9"/>
      <c r="P37" t="str">
        <f t="shared" si="0"/>
        <v/>
      </c>
    </row>
    <row r="38" spans="1:16" ht="34.049999999999997" customHeight="1" x14ac:dyDescent="0.25">
      <c r="A38" s="5" t="s">
        <v>220</v>
      </c>
      <c r="B38" s="5" t="s">
        <v>92</v>
      </c>
      <c r="C38" s="7" t="s">
        <v>93</v>
      </c>
      <c r="D38" s="7" t="s">
        <v>222</v>
      </c>
      <c r="E38" s="7" t="s">
        <v>95</v>
      </c>
      <c r="F38" s="7" t="s">
        <v>96</v>
      </c>
      <c r="G38" s="7" t="s">
        <v>97</v>
      </c>
      <c r="H38" s="7" t="s">
        <v>98</v>
      </c>
      <c r="I38" s="7" t="s">
        <v>99</v>
      </c>
      <c r="J38" s="11" t="s">
        <v>28</v>
      </c>
      <c r="K38" s="11" t="s">
        <v>30</v>
      </c>
      <c r="L38" s="11" t="s">
        <v>32</v>
      </c>
      <c r="M38" s="11" t="s">
        <v>40</v>
      </c>
      <c r="N38" s="11" t="s">
        <v>42</v>
      </c>
      <c r="O38" s="9"/>
      <c r="P38" t="str">
        <f t="shared" si="0"/>
        <v/>
      </c>
    </row>
    <row r="39" spans="1:16" ht="34.049999999999997" customHeight="1" x14ac:dyDescent="0.25">
      <c r="A39" s="5" t="s">
        <v>220</v>
      </c>
      <c r="B39" s="5" t="s">
        <v>100</v>
      </c>
      <c r="C39" s="7" t="s">
        <v>101</v>
      </c>
      <c r="D39" s="7" t="s">
        <v>223</v>
      </c>
      <c r="E39" s="7" t="s">
        <v>103</v>
      </c>
      <c r="F39" s="7" t="s">
        <v>104</v>
      </c>
      <c r="G39" s="7" t="s">
        <v>105</v>
      </c>
      <c r="H39" s="7" t="s">
        <v>106</v>
      </c>
      <c r="I39" s="7" t="s">
        <v>107</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109</v>
      </c>
      <c r="D40" s="7" t="s">
        <v>224</v>
      </c>
      <c r="E40" s="7" t="s">
        <v>111</v>
      </c>
      <c r="F40" s="7" t="s">
        <v>112</v>
      </c>
      <c r="G40" s="7" t="s">
        <v>113</v>
      </c>
      <c r="H40" s="7" t="s">
        <v>114</v>
      </c>
      <c r="I40" s="7" t="s">
        <v>115</v>
      </c>
      <c r="J40" s="11" t="s">
        <v>28</v>
      </c>
      <c r="K40" s="11" t="s">
        <v>36</v>
      </c>
      <c r="L40" s="11" t="s">
        <v>38</v>
      </c>
      <c r="M40" s="11" t="s">
        <v>40</v>
      </c>
      <c r="N40" s="11" t="s">
        <v>42</v>
      </c>
      <c r="O40" s="9"/>
      <c r="P40" t="str">
        <f t="shared" si="1"/>
        <v/>
      </c>
    </row>
    <row r="41" spans="1:16" ht="34.049999999999997" customHeight="1" x14ac:dyDescent="0.25">
      <c r="A41" s="5" t="s">
        <v>220</v>
      </c>
      <c r="B41" s="5" t="s">
        <v>116</v>
      </c>
      <c r="C41" s="7" t="s">
        <v>117</v>
      </c>
      <c r="D41" s="7" t="s">
        <v>225</v>
      </c>
      <c r="E41" s="7" t="s">
        <v>119</v>
      </c>
      <c r="F41" s="7" t="s">
        <v>120</v>
      </c>
      <c r="G41" s="7" t="s">
        <v>121</v>
      </c>
      <c r="H41" s="7" t="s">
        <v>122</v>
      </c>
      <c r="I41" s="7" t="s">
        <v>123</v>
      </c>
      <c r="J41" s="11" t="s">
        <v>28</v>
      </c>
      <c r="K41" s="11" t="s">
        <v>30</v>
      </c>
      <c r="L41" s="11" t="s">
        <v>32</v>
      </c>
      <c r="M41" s="11" t="s">
        <v>34</v>
      </c>
      <c r="N41" s="11" t="s">
        <v>42</v>
      </c>
      <c r="O41" s="9"/>
      <c r="P41" t="str">
        <f t="shared" si="1"/>
        <v/>
      </c>
    </row>
    <row r="42" spans="1:16" ht="34.049999999999997" customHeight="1" x14ac:dyDescent="0.25">
      <c r="A42" s="5" t="s">
        <v>220</v>
      </c>
      <c r="B42" s="5" t="s">
        <v>124</v>
      </c>
      <c r="C42" s="7" t="s">
        <v>125</v>
      </c>
      <c r="D42" s="7" t="s">
        <v>226</v>
      </c>
      <c r="E42" s="7" t="s">
        <v>127</v>
      </c>
      <c r="F42" s="7" t="s">
        <v>128</v>
      </c>
      <c r="G42" s="7" t="s">
        <v>129</v>
      </c>
      <c r="H42" s="7" t="s">
        <v>130</v>
      </c>
      <c r="I42" s="7" t="s">
        <v>131</v>
      </c>
      <c r="J42" s="11" t="s">
        <v>32</v>
      </c>
      <c r="K42" s="11" t="s">
        <v>34</v>
      </c>
      <c r="L42" s="11" t="s">
        <v>36</v>
      </c>
      <c r="M42" s="11" t="s">
        <v>38</v>
      </c>
      <c r="N42" s="11" t="s">
        <v>40</v>
      </c>
      <c r="O42" s="9"/>
      <c r="P42" t="str">
        <f t="shared" si="1"/>
        <v/>
      </c>
    </row>
    <row r="43" spans="1:16" ht="34.049999999999997" customHeight="1" x14ac:dyDescent="0.25">
      <c r="A43" s="5" t="s">
        <v>220</v>
      </c>
      <c r="B43" s="5" t="s">
        <v>132</v>
      </c>
      <c r="C43" s="7" t="s">
        <v>133</v>
      </c>
      <c r="D43" s="7" t="s">
        <v>227</v>
      </c>
      <c r="E43" s="7" t="s">
        <v>135</v>
      </c>
      <c r="F43" s="7" t="s">
        <v>136</v>
      </c>
      <c r="G43" s="7" t="s">
        <v>137</v>
      </c>
      <c r="H43" s="7" t="s">
        <v>138</v>
      </c>
      <c r="I43" s="7" t="s">
        <v>139</v>
      </c>
      <c r="J43" s="11" t="s">
        <v>28</v>
      </c>
      <c r="K43" s="11" t="s">
        <v>30</v>
      </c>
      <c r="L43" s="11" t="s">
        <v>38</v>
      </c>
      <c r="M43" s="11" t="s">
        <v>40</v>
      </c>
      <c r="N43" s="11" t="s">
        <v>42</v>
      </c>
      <c r="O43" s="9"/>
      <c r="P43" t="str">
        <f t="shared" si="1"/>
        <v/>
      </c>
    </row>
    <row r="44" spans="1:16" ht="34.049999999999997" customHeight="1" x14ac:dyDescent="0.25">
      <c r="A44" s="5" t="s">
        <v>220</v>
      </c>
      <c r="B44" s="5" t="s">
        <v>140</v>
      </c>
      <c r="C44" s="7" t="s">
        <v>141</v>
      </c>
      <c r="D44" s="7" t="s">
        <v>228</v>
      </c>
      <c r="E44" s="7" t="s">
        <v>143</v>
      </c>
      <c r="F44" s="7" t="s">
        <v>144</v>
      </c>
      <c r="G44" s="7" t="s">
        <v>145</v>
      </c>
      <c r="H44" s="7" t="s">
        <v>146</v>
      </c>
      <c r="I44" s="7" t="s">
        <v>147</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229</v>
      </c>
      <c r="E45" s="7" t="s">
        <v>151</v>
      </c>
      <c r="F45" s="7" t="s">
        <v>152</v>
      </c>
      <c r="G45" s="7" t="s">
        <v>153</v>
      </c>
      <c r="H45" s="7" t="s">
        <v>154</v>
      </c>
      <c r="I45" s="7" t="s">
        <v>155</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230</v>
      </c>
      <c r="E46" s="7" t="s">
        <v>159</v>
      </c>
      <c r="F46" s="7" t="s">
        <v>160</v>
      </c>
      <c r="G46" s="7" t="s">
        <v>161</v>
      </c>
      <c r="H46" s="7" t="s">
        <v>162</v>
      </c>
      <c r="I46" s="7" t="s">
        <v>163</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231</v>
      </c>
      <c r="E47" s="7" t="s">
        <v>167</v>
      </c>
      <c r="F47" s="7" t="s">
        <v>168</v>
      </c>
      <c r="G47" s="7" t="s">
        <v>169</v>
      </c>
      <c r="H47" s="7" t="s">
        <v>170</v>
      </c>
      <c r="I47" s="7" t="s">
        <v>171</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232</v>
      </c>
      <c r="E48" s="7" t="s">
        <v>175</v>
      </c>
      <c r="F48" s="7" t="s">
        <v>176</v>
      </c>
      <c r="G48" s="7" t="s">
        <v>177</v>
      </c>
      <c r="H48" s="7" t="s">
        <v>178</v>
      </c>
      <c r="I48" s="7" t="s">
        <v>179</v>
      </c>
      <c r="J48" s="11" t="s">
        <v>28</v>
      </c>
      <c r="K48" s="11" t="s">
        <v>36</v>
      </c>
      <c r="L48" s="11" t="s">
        <v>38</v>
      </c>
      <c r="M48" s="11" t="s">
        <v>40</v>
      </c>
      <c r="N48" s="11" t="s">
        <v>42</v>
      </c>
      <c r="O48" s="9"/>
      <c r="P48" t="str">
        <f t="shared" si="1"/>
        <v/>
      </c>
    </row>
    <row r="49" spans="1:16" ht="34.049999999999997" customHeight="1" x14ac:dyDescent="0.25">
      <c r="A49" s="5" t="s">
        <v>220</v>
      </c>
      <c r="B49" s="5" t="s">
        <v>180</v>
      </c>
      <c r="C49" s="7" t="s">
        <v>181</v>
      </c>
      <c r="D49" s="7" t="s">
        <v>233</v>
      </c>
      <c r="E49" s="7" t="s">
        <v>183</v>
      </c>
      <c r="F49" s="7" t="s">
        <v>184</v>
      </c>
      <c r="G49" s="7" t="s">
        <v>185</v>
      </c>
      <c r="H49" s="7" t="s">
        <v>186</v>
      </c>
      <c r="I49" s="7" t="s">
        <v>187</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234</v>
      </c>
      <c r="E50" s="7" t="s">
        <v>191</v>
      </c>
      <c r="F50" s="7" t="s">
        <v>192</v>
      </c>
      <c r="G50" s="7" t="s">
        <v>193</v>
      </c>
      <c r="H50" s="7" t="s">
        <v>194</v>
      </c>
      <c r="I50" s="7" t="s">
        <v>195</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235</v>
      </c>
      <c r="E51" s="7" t="s">
        <v>199</v>
      </c>
      <c r="F51" s="7" t="s">
        <v>200</v>
      </c>
      <c r="G51" s="7" t="s">
        <v>201</v>
      </c>
      <c r="H51" s="7" t="s">
        <v>202</v>
      </c>
      <c r="I51" s="7" t="s">
        <v>203</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237</v>
      </c>
      <c r="E52" s="7" t="s">
        <v>87</v>
      </c>
      <c r="F52" s="7" t="s">
        <v>88</v>
      </c>
      <c r="G52" s="7" t="s">
        <v>89</v>
      </c>
      <c r="H52" s="7" t="s">
        <v>90</v>
      </c>
      <c r="I52" s="7" t="s">
        <v>91</v>
      </c>
      <c r="J52" s="11" t="s">
        <v>34</v>
      </c>
      <c r="K52" s="11" t="s">
        <v>36</v>
      </c>
      <c r="L52" s="11" t="s">
        <v>38</v>
      </c>
      <c r="M52" s="11" t="s">
        <v>40</v>
      </c>
      <c r="N52" s="11" t="s">
        <v>42</v>
      </c>
      <c r="O52" s="9"/>
      <c r="P52" t="str">
        <f t="shared" si="1"/>
        <v/>
      </c>
    </row>
    <row r="53" spans="1:16" ht="34.049999999999997" customHeight="1" x14ac:dyDescent="0.25">
      <c r="A53" s="5" t="s">
        <v>236</v>
      </c>
      <c r="B53" s="5" t="s">
        <v>92</v>
      </c>
      <c r="C53" s="7" t="s">
        <v>93</v>
      </c>
      <c r="D53" s="7" t="s">
        <v>238</v>
      </c>
      <c r="E53" s="7" t="s">
        <v>95</v>
      </c>
      <c r="F53" s="7" t="s">
        <v>96</v>
      </c>
      <c r="G53" s="7" t="s">
        <v>97</v>
      </c>
      <c r="H53" s="7" t="s">
        <v>98</v>
      </c>
      <c r="I53" s="7" t="s">
        <v>99</v>
      </c>
      <c r="J53" s="11" t="s">
        <v>28</v>
      </c>
      <c r="K53" s="11" t="s">
        <v>30</v>
      </c>
      <c r="L53" s="11" t="s">
        <v>32</v>
      </c>
      <c r="M53" s="11" t="s">
        <v>40</v>
      </c>
      <c r="N53" s="11" t="s">
        <v>42</v>
      </c>
      <c r="O53" s="9"/>
      <c r="P53" t="str">
        <f t="shared" si="1"/>
        <v/>
      </c>
    </row>
    <row r="54" spans="1:16" ht="34.049999999999997" customHeight="1" x14ac:dyDescent="0.25">
      <c r="A54" s="5" t="s">
        <v>236</v>
      </c>
      <c r="B54" s="5" t="s">
        <v>100</v>
      </c>
      <c r="C54" s="7" t="s">
        <v>101</v>
      </c>
      <c r="D54" s="7" t="s">
        <v>239</v>
      </c>
      <c r="E54" s="7" t="s">
        <v>103</v>
      </c>
      <c r="F54" s="7" t="s">
        <v>104</v>
      </c>
      <c r="G54" s="7" t="s">
        <v>105</v>
      </c>
      <c r="H54" s="7" t="s">
        <v>106</v>
      </c>
      <c r="I54" s="7" t="s">
        <v>107</v>
      </c>
      <c r="J54" s="11" t="s">
        <v>30</v>
      </c>
      <c r="K54" s="11" t="s">
        <v>32</v>
      </c>
      <c r="L54" s="11" t="s">
        <v>34</v>
      </c>
      <c r="M54" s="11" t="s">
        <v>36</v>
      </c>
      <c r="N54" s="11" t="s">
        <v>38</v>
      </c>
      <c r="O54" s="9"/>
      <c r="P54" t="str">
        <f t="shared" si="1"/>
        <v/>
      </c>
    </row>
    <row r="55" spans="1:16" ht="34.049999999999997" customHeight="1" x14ac:dyDescent="0.25">
      <c r="A55" s="5" t="s">
        <v>236</v>
      </c>
      <c r="B55" s="5" t="s">
        <v>108</v>
      </c>
      <c r="C55" s="7" t="s">
        <v>109</v>
      </c>
      <c r="D55" s="7" t="s">
        <v>240</v>
      </c>
      <c r="E55" s="7" t="s">
        <v>111</v>
      </c>
      <c r="F55" s="7" t="s">
        <v>112</v>
      </c>
      <c r="G55" s="7" t="s">
        <v>113</v>
      </c>
      <c r="H55" s="7" t="s">
        <v>114</v>
      </c>
      <c r="I55" s="7" t="s">
        <v>115</v>
      </c>
      <c r="J55" s="11" t="s">
        <v>28</v>
      </c>
      <c r="K55" s="11" t="s">
        <v>36</v>
      </c>
      <c r="L55" s="11" t="s">
        <v>38</v>
      </c>
      <c r="M55" s="11" t="s">
        <v>40</v>
      </c>
      <c r="N55" s="11" t="s">
        <v>42</v>
      </c>
      <c r="O55" s="9"/>
      <c r="P55" t="str">
        <f t="shared" si="1"/>
        <v/>
      </c>
    </row>
    <row r="56" spans="1:16" ht="34.049999999999997" customHeight="1" x14ac:dyDescent="0.25">
      <c r="A56" s="5" t="s">
        <v>236</v>
      </c>
      <c r="B56" s="5" t="s">
        <v>116</v>
      </c>
      <c r="C56" s="7" t="s">
        <v>117</v>
      </c>
      <c r="D56" s="7" t="s">
        <v>241</v>
      </c>
      <c r="E56" s="7" t="s">
        <v>119</v>
      </c>
      <c r="F56" s="7" t="s">
        <v>120</v>
      </c>
      <c r="G56" s="7" t="s">
        <v>121</v>
      </c>
      <c r="H56" s="7" t="s">
        <v>122</v>
      </c>
      <c r="I56" s="7" t="s">
        <v>123</v>
      </c>
      <c r="J56" s="11" t="s">
        <v>28</v>
      </c>
      <c r="K56" s="11" t="s">
        <v>30</v>
      </c>
      <c r="L56" s="11" t="s">
        <v>32</v>
      </c>
      <c r="M56" s="11" t="s">
        <v>34</v>
      </c>
      <c r="N56" s="11" t="s">
        <v>42</v>
      </c>
      <c r="O56" s="9"/>
      <c r="P56" t="str">
        <f t="shared" si="1"/>
        <v/>
      </c>
    </row>
    <row r="57" spans="1:16" ht="34.049999999999997" customHeight="1" x14ac:dyDescent="0.25">
      <c r="A57" s="5" t="s">
        <v>236</v>
      </c>
      <c r="B57" s="5" t="s">
        <v>124</v>
      </c>
      <c r="C57" s="7" t="s">
        <v>125</v>
      </c>
      <c r="D57" s="7" t="s">
        <v>242</v>
      </c>
      <c r="E57" s="7" t="s">
        <v>127</v>
      </c>
      <c r="F57" s="7" t="s">
        <v>128</v>
      </c>
      <c r="G57" s="7" t="s">
        <v>129</v>
      </c>
      <c r="H57" s="7" t="s">
        <v>130</v>
      </c>
      <c r="I57" s="7" t="s">
        <v>131</v>
      </c>
      <c r="J57" s="11" t="s">
        <v>32</v>
      </c>
      <c r="K57" s="11" t="s">
        <v>34</v>
      </c>
      <c r="L57" s="11" t="s">
        <v>36</v>
      </c>
      <c r="M57" s="11" t="s">
        <v>38</v>
      </c>
      <c r="N57" s="11" t="s">
        <v>40</v>
      </c>
      <c r="O57" s="9"/>
      <c r="P57" t="str">
        <f t="shared" si="1"/>
        <v/>
      </c>
    </row>
    <row r="58" spans="1:16" ht="34.049999999999997" customHeight="1" x14ac:dyDescent="0.25">
      <c r="A58" s="5" t="s">
        <v>236</v>
      </c>
      <c r="B58" s="5" t="s">
        <v>132</v>
      </c>
      <c r="C58" s="7" t="s">
        <v>133</v>
      </c>
      <c r="D58" s="7" t="s">
        <v>243</v>
      </c>
      <c r="E58" s="7" t="s">
        <v>135</v>
      </c>
      <c r="F58" s="7" t="s">
        <v>136</v>
      </c>
      <c r="G58" s="7" t="s">
        <v>137</v>
      </c>
      <c r="H58" s="7" t="s">
        <v>138</v>
      </c>
      <c r="I58" s="7" t="s">
        <v>139</v>
      </c>
      <c r="J58" s="11" t="s">
        <v>28</v>
      </c>
      <c r="K58" s="11" t="s">
        <v>30</v>
      </c>
      <c r="L58" s="11" t="s">
        <v>38</v>
      </c>
      <c r="M58" s="11" t="s">
        <v>40</v>
      </c>
      <c r="N58" s="11" t="s">
        <v>42</v>
      </c>
      <c r="O58" s="9"/>
      <c r="P58" t="str">
        <f t="shared" si="1"/>
        <v/>
      </c>
    </row>
    <row r="59" spans="1:16" ht="34.049999999999997" customHeight="1" x14ac:dyDescent="0.25">
      <c r="A59" s="5" t="s">
        <v>236</v>
      </c>
      <c r="B59" s="5" t="s">
        <v>140</v>
      </c>
      <c r="C59" s="7" t="s">
        <v>141</v>
      </c>
      <c r="D59" s="7" t="s">
        <v>244</v>
      </c>
      <c r="E59" s="7" t="s">
        <v>143</v>
      </c>
      <c r="F59" s="7" t="s">
        <v>144</v>
      </c>
      <c r="G59" s="7" t="s">
        <v>145</v>
      </c>
      <c r="H59" s="7" t="s">
        <v>146</v>
      </c>
      <c r="I59" s="7" t="s">
        <v>147</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245</v>
      </c>
      <c r="E60" s="7" t="s">
        <v>151</v>
      </c>
      <c r="F60" s="7" t="s">
        <v>152</v>
      </c>
      <c r="G60" s="7" t="s">
        <v>153</v>
      </c>
      <c r="H60" s="7" t="s">
        <v>154</v>
      </c>
      <c r="I60" s="7" t="s">
        <v>155</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246</v>
      </c>
      <c r="E61" s="7" t="s">
        <v>159</v>
      </c>
      <c r="F61" s="7" t="s">
        <v>160</v>
      </c>
      <c r="G61" s="7" t="s">
        <v>161</v>
      </c>
      <c r="H61" s="7" t="s">
        <v>162</v>
      </c>
      <c r="I61" s="7" t="s">
        <v>163</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247</v>
      </c>
      <c r="E62" s="7" t="s">
        <v>167</v>
      </c>
      <c r="F62" s="7" t="s">
        <v>168</v>
      </c>
      <c r="G62" s="7" t="s">
        <v>169</v>
      </c>
      <c r="H62" s="7" t="s">
        <v>170</v>
      </c>
      <c r="I62" s="7" t="s">
        <v>171</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248</v>
      </c>
      <c r="E63" s="7" t="s">
        <v>175</v>
      </c>
      <c r="F63" s="7" t="s">
        <v>176</v>
      </c>
      <c r="G63" s="7" t="s">
        <v>177</v>
      </c>
      <c r="H63" s="7" t="s">
        <v>178</v>
      </c>
      <c r="I63" s="7" t="s">
        <v>179</v>
      </c>
      <c r="J63" s="11" t="s">
        <v>28</v>
      </c>
      <c r="K63" s="11" t="s">
        <v>36</v>
      </c>
      <c r="L63" s="11" t="s">
        <v>38</v>
      </c>
      <c r="M63" s="11" t="s">
        <v>40</v>
      </c>
      <c r="N63" s="11" t="s">
        <v>42</v>
      </c>
      <c r="O63" s="9"/>
      <c r="P63" t="str">
        <f t="shared" si="1"/>
        <v/>
      </c>
    </row>
    <row r="64" spans="1:16" ht="34.049999999999997" customHeight="1" x14ac:dyDescent="0.25">
      <c r="A64" s="5" t="s">
        <v>236</v>
      </c>
      <c r="B64" s="5" t="s">
        <v>180</v>
      </c>
      <c r="C64" s="7" t="s">
        <v>181</v>
      </c>
      <c r="D64" s="7" t="s">
        <v>249</v>
      </c>
      <c r="E64" s="7" t="s">
        <v>183</v>
      </c>
      <c r="F64" s="7" t="s">
        <v>184</v>
      </c>
      <c r="G64" s="7" t="s">
        <v>185</v>
      </c>
      <c r="H64" s="7" t="s">
        <v>186</v>
      </c>
      <c r="I64" s="7" t="s">
        <v>187</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250</v>
      </c>
      <c r="E65" s="7" t="s">
        <v>191</v>
      </c>
      <c r="F65" s="7" t="s">
        <v>192</v>
      </c>
      <c r="G65" s="7" t="s">
        <v>193</v>
      </c>
      <c r="H65" s="7" t="s">
        <v>194</v>
      </c>
      <c r="I65" s="7" t="s">
        <v>195</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251</v>
      </c>
      <c r="E66" s="7" t="s">
        <v>199</v>
      </c>
      <c r="F66" s="7" t="s">
        <v>200</v>
      </c>
      <c r="G66" s="7" t="s">
        <v>201</v>
      </c>
      <c r="H66" s="7" t="s">
        <v>202</v>
      </c>
      <c r="I66" s="7" t="s">
        <v>203</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253</v>
      </c>
      <c r="E67" s="7" t="s">
        <v>87</v>
      </c>
      <c r="F67" s="7" t="s">
        <v>88</v>
      </c>
      <c r="G67" s="7" t="s">
        <v>89</v>
      </c>
      <c r="H67" s="7" t="s">
        <v>90</v>
      </c>
      <c r="I67" s="7" t="s">
        <v>91</v>
      </c>
      <c r="J67" s="11" t="s">
        <v>34</v>
      </c>
      <c r="K67" s="11" t="s">
        <v>36</v>
      </c>
      <c r="L67" s="11" t="s">
        <v>38</v>
      </c>
      <c r="M67" s="11" t="s">
        <v>40</v>
      </c>
      <c r="N67" s="11" t="s">
        <v>42</v>
      </c>
      <c r="O67" s="9"/>
      <c r="P67" t="str">
        <f t="shared" si="1"/>
        <v/>
      </c>
    </row>
    <row r="68" spans="1:16" ht="34.049999999999997" customHeight="1" x14ac:dyDescent="0.25">
      <c r="A68" s="5" t="s">
        <v>252</v>
      </c>
      <c r="B68" s="5" t="s">
        <v>92</v>
      </c>
      <c r="C68" s="7" t="s">
        <v>93</v>
      </c>
      <c r="D68" s="7" t="s">
        <v>254</v>
      </c>
      <c r="E68" s="7" t="s">
        <v>95</v>
      </c>
      <c r="F68" s="7" t="s">
        <v>96</v>
      </c>
      <c r="G68" s="7" t="s">
        <v>97</v>
      </c>
      <c r="H68" s="7" t="s">
        <v>98</v>
      </c>
      <c r="I68" s="7" t="s">
        <v>99</v>
      </c>
      <c r="J68" s="11" t="s">
        <v>28</v>
      </c>
      <c r="K68" s="11" t="s">
        <v>30</v>
      </c>
      <c r="L68" s="11" t="s">
        <v>32</v>
      </c>
      <c r="M68" s="11" t="s">
        <v>40</v>
      </c>
      <c r="N68" s="11" t="s">
        <v>42</v>
      </c>
      <c r="O68" s="9"/>
      <c r="P68" t="str">
        <f t="shared" si="1"/>
        <v/>
      </c>
    </row>
    <row r="69" spans="1:16" ht="34.049999999999997" customHeight="1" x14ac:dyDescent="0.25">
      <c r="A69" s="5" t="s">
        <v>252</v>
      </c>
      <c r="B69" s="5" t="s">
        <v>100</v>
      </c>
      <c r="C69" s="7" t="s">
        <v>101</v>
      </c>
      <c r="D69" s="7" t="s">
        <v>255</v>
      </c>
      <c r="E69" s="7" t="s">
        <v>103</v>
      </c>
      <c r="F69" s="7" t="s">
        <v>104</v>
      </c>
      <c r="G69" s="7" t="s">
        <v>105</v>
      </c>
      <c r="H69" s="7" t="s">
        <v>106</v>
      </c>
      <c r="I69" s="7" t="s">
        <v>107</v>
      </c>
      <c r="J69" s="11" t="s">
        <v>30</v>
      </c>
      <c r="K69" s="11" t="s">
        <v>32</v>
      </c>
      <c r="L69" s="11" t="s">
        <v>34</v>
      </c>
      <c r="M69" s="11" t="s">
        <v>36</v>
      </c>
      <c r="N69" s="11" t="s">
        <v>38</v>
      </c>
      <c r="O69" s="9"/>
      <c r="P69" t="str">
        <f t="shared" si="1"/>
        <v/>
      </c>
    </row>
    <row r="70" spans="1:16" ht="34.049999999999997" customHeight="1" x14ac:dyDescent="0.25">
      <c r="A70" s="5" t="s">
        <v>252</v>
      </c>
      <c r="B70" s="5" t="s">
        <v>108</v>
      </c>
      <c r="C70" s="7" t="s">
        <v>109</v>
      </c>
      <c r="D70" s="7" t="s">
        <v>256</v>
      </c>
      <c r="E70" s="7" t="s">
        <v>111</v>
      </c>
      <c r="F70" s="7" t="s">
        <v>112</v>
      </c>
      <c r="G70" s="7" t="s">
        <v>113</v>
      </c>
      <c r="H70" s="7" t="s">
        <v>114</v>
      </c>
      <c r="I70" s="7" t="s">
        <v>115</v>
      </c>
      <c r="J70" s="11" t="s">
        <v>28</v>
      </c>
      <c r="K70" s="11" t="s">
        <v>36</v>
      </c>
      <c r="L70" s="11" t="s">
        <v>38</v>
      </c>
      <c r="M70" s="11" t="s">
        <v>40</v>
      </c>
      <c r="N70" s="11" t="s">
        <v>42</v>
      </c>
      <c r="O70" s="9"/>
      <c r="P70" t="str">
        <f t="shared" si="1"/>
        <v/>
      </c>
    </row>
    <row r="71" spans="1:16" ht="34.049999999999997" customHeight="1" x14ac:dyDescent="0.25">
      <c r="A71" s="5" t="s">
        <v>252</v>
      </c>
      <c r="B71" s="5" t="s">
        <v>116</v>
      </c>
      <c r="C71" s="7" t="s">
        <v>117</v>
      </c>
      <c r="D71" s="7" t="s">
        <v>257</v>
      </c>
      <c r="E71" s="7" t="s">
        <v>119</v>
      </c>
      <c r="F71" s="7" t="s">
        <v>120</v>
      </c>
      <c r="G71" s="7" t="s">
        <v>121</v>
      </c>
      <c r="H71" s="7" t="s">
        <v>122</v>
      </c>
      <c r="I71" s="7" t="s">
        <v>123</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125</v>
      </c>
      <c r="D72" s="7" t="s">
        <v>258</v>
      </c>
      <c r="E72" s="7" t="s">
        <v>127</v>
      </c>
      <c r="F72" s="7" t="s">
        <v>128</v>
      </c>
      <c r="G72" s="7" t="s">
        <v>129</v>
      </c>
      <c r="H72" s="7" t="s">
        <v>130</v>
      </c>
      <c r="I72" s="7" t="s">
        <v>131</v>
      </c>
      <c r="J72" s="11" t="s">
        <v>32</v>
      </c>
      <c r="K72" s="11" t="s">
        <v>34</v>
      </c>
      <c r="L72" s="11" t="s">
        <v>36</v>
      </c>
      <c r="M72" s="11" t="s">
        <v>38</v>
      </c>
      <c r="N72" s="11" t="s">
        <v>40</v>
      </c>
      <c r="O72" s="9"/>
      <c r="P72" t="str">
        <f t="shared" si="2"/>
        <v/>
      </c>
    </row>
    <row r="73" spans="1:16" ht="34.049999999999997" customHeight="1" x14ac:dyDescent="0.25">
      <c r="A73" s="5" t="s">
        <v>252</v>
      </c>
      <c r="B73" s="5" t="s">
        <v>132</v>
      </c>
      <c r="C73" s="7" t="s">
        <v>133</v>
      </c>
      <c r="D73" s="7" t="s">
        <v>259</v>
      </c>
      <c r="E73" s="7" t="s">
        <v>135</v>
      </c>
      <c r="F73" s="7" t="s">
        <v>136</v>
      </c>
      <c r="G73" s="7" t="s">
        <v>137</v>
      </c>
      <c r="H73" s="7" t="s">
        <v>138</v>
      </c>
      <c r="I73" s="7" t="s">
        <v>139</v>
      </c>
      <c r="J73" s="11" t="s">
        <v>28</v>
      </c>
      <c r="K73" s="11" t="s">
        <v>30</v>
      </c>
      <c r="L73" s="11" t="s">
        <v>38</v>
      </c>
      <c r="M73" s="11" t="s">
        <v>40</v>
      </c>
      <c r="N73" s="11" t="s">
        <v>42</v>
      </c>
      <c r="O73" s="9"/>
      <c r="P73" t="str">
        <f t="shared" si="2"/>
        <v/>
      </c>
    </row>
    <row r="74" spans="1:16" ht="34.049999999999997" customHeight="1" x14ac:dyDescent="0.25">
      <c r="A74" s="5" t="s">
        <v>252</v>
      </c>
      <c r="B74" s="5" t="s">
        <v>140</v>
      </c>
      <c r="C74" s="7" t="s">
        <v>141</v>
      </c>
      <c r="D74" s="7" t="s">
        <v>260</v>
      </c>
      <c r="E74" s="7" t="s">
        <v>143</v>
      </c>
      <c r="F74" s="7" t="s">
        <v>144</v>
      </c>
      <c r="G74" s="7" t="s">
        <v>145</v>
      </c>
      <c r="H74" s="7" t="s">
        <v>146</v>
      </c>
      <c r="I74" s="7" t="s">
        <v>147</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261</v>
      </c>
      <c r="E75" s="7" t="s">
        <v>151</v>
      </c>
      <c r="F75" s="7" t="s">
        <v>152</v>
      </c>
      <c r="G75" s="7" t="s">
        <v>153</v>
      </c>
      <c r="H75" s="7" t="s">
        <v>154</v>
      </c>
      <c r="I75" s="7" t="s">
        <v>155</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262</v>
      </c>
      <c r="E76" s="7" t="s">
        <v>159</v>
      </c>
      <c r="F76" s="7" t="s">
        <v>160</v>
      </c>
      <c r="G76" s="7" t="s">
        <v>161</v>
      </c>
      <c r="H76" s="7" t="s">
        <v>162</v>
      </c>
      <c r="I76" s="7" t="s">
        <v>163</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263</v>
      </c>
      <c r="E77" s="7" t="s">
        <v>167</v>
      </c>
      <c r="F77" s="7" t="s">
        <v>168</v>
      </c>
      <c r="G77" s="7" t="s">
        <v>169</v>
      </c>
      <c r="H77" s="7" t="s">
        <v>170</v>
      </c>
      <c r="I77" s="7" t="s">
        <v>171</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264</v>
      </c>
      <c r="E78" s="7" t="s">
        <v>175</v>
      </c>
      <c r="F78" s="7" t="s">
        <v>176</v>
      </c>
      <c r="G78" s="7" t="s">
        <v>177</v>
      </c>
      <c r="H78" s="7" t="s">
        <v>178</v>
      </c>
      <c r="I78" s="7" t="s">
        <v>179</v>
      </c>
      <c r="J78" s="11" t="s">
        <v>28</v>
      </c>
      <c r="K78" s="11" t="s">
        <v>36</v>
      </c>
      <c r="L78" s="11" t="s">
        <v>38</v>
      </c>
      <c r="M78" s="11" t="s">
        <v>40</v>
      </c>
      <c r="N78" s="11" t="s">
        <v>42</v>
      </c>
      <c r="O78" s="9"/>
      <c r="P78" t="str">
        <f t="shared" si="2"/>
        <v/>
      </c>
    </row>
    <row r="79" spans="1:16" ht="34.049999999999997" customHeight="1" x14ac:dyDescent="0.25">
      <c r="A79" s="5" t="s">
        <v>252</v>
      </c>
      <c r="B79" s="5" t="s">
        <v>180</v>
      </c>
      <c r="C79" s="7" t="s">
        <v>181</v>
      </c>
      <c r="D79" s="7" t="s">
        <v>265</v>
      </c>
      <c r="E79" s="7" t="s">
        <v>183</v>
      </c>
      <c r="F79" s="7" t="s">
        <v>184</v>
      </c>
      <c r="G79" s="7" t="s">
        <v>185</v>
      </c>
      <c r="H79" s="7" t="s">
        <v>186</v>
      </c>
      <c r="I79" s="7" t="s">
        <v>187</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266</v>
      </c>
      <c r="E80" s="7" t="s">
        <v>191</v>
      </c>
      <c r="F80" s="7" t="s">
        <v>192</v>
      </c>
      <c r="G80" s="7" t="s">
        <v>193</v>
      </c>
      <c r="H80" s="7" t="s">
        <v>194</v>
      </c>
      <c r="I80" s="7" t="s">
        <v>195</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267</v>
      </c>
      <c r="E81" s="7" t="s">
        <v>199</v>
      </c>
      <c r="F81" s="7" t="s">
        <v>200</v>
      </c>
      <c r="G81" s="7" t="s">
        <v>201</v>
      </c>
      <c r="H81" s="7" t="s">
        <v>202</v>
      </c>
      <c r="I81" s="7" t="s">
        <v>203</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269</v>
      </c>
      <c r="E82" s="7" t="s">
        <v>87</v>
      </c>
      <c r="F82" s="7" t="s">
        <v>88</v>
      </c>
      <c r="G82" s="7" t="s">
        <v>89</v>
      </c>
      <c r="H82" s="7" t="s">
        <v>90</v>
      </c>
      <c r="I82" s="7" t="s">
        <v>91</v>
      </c>
      <c r="J82" s="11" t="s">
        <v>34</v>
      </c>
      <c r="K82" s="11" t="s">
        <v>36</v>
      </c>
      <c r="L82" s="11" t="s">
        <v>38</v>
      </c>
      <c r="M82" s="11" t="s">
        <v>40</v>
      </c>
      <c r="N82" s="11" t="s">
        <v>42</v>
      </c>
      <c r="O82" s="9"/>
      <c r="P82" t="str">
        <f t="shared" si="2"/>
        <v/>
      </c>
    </row>
    <row r="83" spans="1:16" ht="34.049999999999997" customHeight="1" x14ac:dyDescent="0.25">
      <c r="A83" s="5" t="s">
        <v>268</v>
      </c>
      <c r="B83" s="5" t="s">
        <v>92</v>
      </c>
      <c r="C83" s="7" t="s">
        <v>93</v>
      </c>
      <c r="D83" s="7" t="s">
        <v>270</v>
      </c>
      <c r="E83" s="7" t="s">
        <v>95</v>
      </c>
      <c r="F83" s="7" t="s">
        <v>96</v>
      </c>
      <c r="G83" s="7" t="s">
        <v>97</v>
      </c>
      <c r="H83" s="7" t="s">
        <v>98</v>
      </c>
      <c r="I83" s="7" t="s">
        <v>99</v>
      </c>
      <c r="J83" s="11" t="s">
        <v>28</v>
      </c>
      <c r="K83" s="11" t="s">
        <v>30</v>
      </c>
      <c r="L83" s="11" t="s">
        <v>32</v>
      </c>
      <c r="M83" s="11" t="s">
        <v>40</v>
      </c>
      <c r="N83" s="11" t="s">
        <v>42</v>
      </c>
      <c r="O83" s="9"/>
      <c r="P83" t="str">
        <f t="shared" si="2"/>
        <v/>
      </c>
    </row>
    <row r="84" spans="1:16" ht="34.049999999999997" customHeight="1" x14ac:dyDescent="0.25">
      <c r="A84" s="5" t="s">
        <v>268</v>
      </c>
      <c r="B84" s="5" t="s">
        <v>100</v>
      </c>
      <c r="C84" s="7" t="s">
        <v>101</v>
      </c>
      <c r="D84" s="7" t="s">
        <v>271</v>
      </c>
      <c r="E84" s="7" t="s">
        <v>103</v>
      </c>
      <c r="F84" s="7" t="s">
        <v>104</v>
      </c>
      <c r="G84" s="7" t="s">
        <v>105</v>
      </c>
      <c r="H84" s="7" t="s">
        <v>106</v>
      </c>
      <c r="I84" s="7" t="s">
        <v>107</v>
      </c>
      <c r="J84" s="11" t="s">
        <v>30</v>
      </c>
      <c r="K84" s="11" t="s">
        <v>32</v>
      </c>
      <c r="L84" s="11" t="s">
        <v>34</v>
      </c>
      <c r="M84" s="11" t="s">
        <v>36</v>
      </c>
      <c r="N84" s="11" t="s">
        <v>38</v>
      </c>
      <c r="O84" s="9"/>
      <c r="P84" t="str">
        <f t="shared" si="2"/>
        <v/>
      </c>
    </row>
    <row r="85" spans="1:16" ht="34.049999999999997" customHeight="1" x14ac:dyDescent="0.25">
      <c r="A85" s="5" t="s">
        <v>268</v>
      </c>
      <c r="B85" s="5" t="s">
        <v>108</v>
      </c>
      <c r="C85" s="7" t="s">
        <v>109</v>
      </c>
      <c r="D85" s="7" t="s">
        <v>272</v>
      </c>
      <c r="E85" s="7" t="s">
        <v>111</v>
      </c>
      <c r="F85" s="7" t="s">
        <v>112</v>
      </c>
      <c r="G85" s="7" t="s">
        <v>113</v>
      </c>
      <c r="H85" s="7" t="s">
        <v>114</v>
      </c>
      <c r="I85" s="7" t="s">
        <v>115</v>
      </c>
      <c r="J85" s="11" t="s">
        <v>28</v>
      </c>
      <c r="K85" s="11" t="s">
        <v>36</v>
      </c>
      <c r="L85" s="11" t="s">
        <v>38</v>
      </c>
      <c r="M85" s="11" t="s">
        <v>40</v>
      </c>
      <c r="N85" s="11" t="s">
        <v>42</v>
      </c>
      <c r="O85" s="9"/>
      <c r="P85" t="str">
        <f t="shared" si="2"/>
        <v/>
      </c>
    </row>
    <row r="86" spans="1:16" ht="34.049999999999997" customHeight="1" x14ac:dyDescent="0.25">
      <c r="A86" s="5" t="s">
        <v>268</v>
      </c>
      <c r="B86" s="5" t="s">
        <v>116</v>
      </c>
      <c r="C86" s="7" t="s">
        <v>117</v>
      </c>
      <c r="D86" s="7" t="s">
        <v>273</v>
      </c>
      <c r="E86" s="7" t="s">
        <v>119</v>
      </c>
      <c r="F86" s="7" t="s">
        <v>120</v>
      </c>
      <c r="G86" s="7" t="s">
        <v>121</v>
      </c>
      <c r="H86" s="7" t="s">
        <v>122</v>
      </c>
      <c r="I86" s="7" t="s">
        <v>123</v>
      </c>
      <c r="J86" s="11" t="s">
        <v>28</v>
      </c>
      <c r="K86" s="11" t="s">
        <v>30</v>
      </c>
      <c r="L86" s="11" t="s">
        <v>32</v>
      </c>
      <c r="M86" s="11" t="s">
        <v>34</v>
      </c>
      <c r="N86" s="11" t="s">
        <v>42</v>
      </c>
      <c r="O86" s="9"/>
      <c r="P86" t="str">
        <f t="shared" si="2"/>
        <v/>
      </c>
    </row>
    <row r="87" spans="1:16" ht="34.049999999999997" customHeight="1" x14ac:dyDescent="0.25">
      <c r="A87" s="5" t="s">
        <v>268</v>
      </c>
      <c r="B87" s="5" t="s">
        <v>124</v>
      </c>
      <c r="C87" s="7" t="s">
        <v>125</v>
      </c>
      <c r="D87" s="7" t="s">
        <v>274</v>
      </c>
      <c r="E87" s="7" t="s">
        <v>127</v>
      </c>
      <c r="F87" s="7" t="s">
        <v>128</v>
      </c>
      <c r="G87" s="7" t="s">
        <v>129</v>
      </c>
      <c r="H87" s="7" t="s">
        <v>130</v>
      </c>
      <c r="I87" s="7" t="s">
        <v>131</v>
      </c>
      <c r="J87" s="11" t="s">
        <v>32</v>
      </c>
      <c r="K87" s="11" t="s">
        <v>34</v>
      </c>
      <c r="L87" s="11" t="s">
        <v>36</v>
      </c>
      <c r="M87" s="11" t="s">
        <v>38</v>
      </c>
      <c r="N87" s="11" t="s">
        <v>40</v>
      </c>
      <c r="O87" s="9"/>
      <c r="P87" t="str">
        <f t="shared" si="2"/>
        <v/>
      </c>
    </row>
    <row r="88" spans="1:16" ht="34.049999999999997" customHeight="1" x14ac:dyDescent="0.25">
      <c r="A88" s="5" t="s">
        <v>268</v>
      </c>
      <c r="B88" s="5" t="s">
        <v>132</v>
      </c>
      <c r="C88" s="7" t="s">
        <v>133</v>
      </c>
      <c r="D88" s="7" t="s">
        <v>275</v>
      </c>
      <c r="E88" s="7" t="s">
        <v>135</v>
      </c>
      <c r="F88" s="7" t="s">
        <v>136</v>
      </c>
      <c r="G88" s="7" t="s">
        <v>137</v>
      </c>
      <c r="H88" s="7" t="s">
        <v>138</v>
      </c>
      <c r="I88" s="7" t="s">
        <v>139</v>
      </c>
      <c r="J88" s="11" t="s">
        <v>28</v>
      </c>
      <c r="K88" s="11" t="s">
        <v>30</v>
      </c>
      <c r="L88" s="11" t="s">
        <v>38</v>
      </c>
      <c r="M88" s="11" t="s">
        <v>40</v>
      </c>
      <c r="N88" s="11" t="s">
        <v>42</v>
      </c>
      <c r="O88" s="9"/>
      <c r="P88" t="str">
        <f t="shared" si="2"/>
        <v/>
      </c>
    </row>
    <row r="89" spans="1:16" ht="34.049999999999997" customHeight="1" x14ac:dyDescent="0.25">
      <c r="A89" s="5" t="s">
        <v>268</v>
      </c>
      <c r="B89" s="5" t="s">
        <v>140</v>
      </c>
      <c r="C89" s="7" t="s">
        <v>141</v>
      </c>
      <c r="D89" s="7" t="s">
        <v>276</v>
      </c>
      <c r="E89" s="7" t="s">
        <v>143</v>
      </c>
      <c r="F89" s="7" t="s">
        <v>144</v>
      </c>
      <c r="G89" s="7" t="s">
        <v>145</v>
      </c>
      <c r="H89" s="7" t="s">
        <v>146</v>
      </c>
      <c r="I89" s="7" t="s">
        <v>147</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277</v>
      </c>
      <c r="E90" s="7" t="s">
        <v>151</v>
      </c>
      <c r="F90" s="7" t="s">
        <v>152</v>
      </c>
      <c r="G90" s="7" t="s">
        <v>153</v>
      </c>
      <c r="H90" s="7" t="s">
        <v>154</v>
      </c>
      <c r="I90" s="7" t="s">
        <v>155</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278</v>
      </c>
      <c r="E91" s="7" t="s">
        <v>159</v>
      </c>
      <c r="F91" s="7" t="s">
        <v>160</v>
      </c>
      <c r="G91" s="7" t="s">
        <v>161</v>
      </c>
      <c r="H91" s="7" t="s">
        <v>162</v>
      </c>
      <c r="I91" s="7" t="s">
        <v>163</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279</v>
      </c>
      <c r="E92" s="7" t="s">
        <v>167</v>
      </c>
      <c r="F92" s="7" t="s">
        <v>168</v>
      </c>
      <c r="G92" s="7" t="s">
        <v>169</v>
      </c>
      <c r="H92" s="7" t="s">
        <v>170</v>
      </c>
      <c r="I92" s="7" t="s">
        <v>171</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280</v>
      </c>
      <c r="E93" s="7" t="s">
        <v>175</v>
      </c>
      <c r="F93" s="7" t="s">
        <v>176</v>
      </c>
      <c r="G93" s="7" t="s">
        <v>177</v>
      </c>
      <c r="H93" s="7" t="s">
        <v>178</v>
      </c>
      <c r="I93" s="7" t="s">
        <v>179</v>
      </c>
      <c r="J93" s="11" t="s">
        <v>28</v>
      </c>
      <c r="K93" s="11" t="s">
        <v>36</v>
      </c>
      <c r="L93" s="11" t="s">
        <v>38</v>
      </c>
      <c r="M93" s="11" t="s">
        <v>40</v>
      </c>
      <c r="N93" s="11" t="s">
        <v>42</v>
      </c>
      <c r="O93" s="9"/>
      <c r="P93" t="str">
        <f t="shared" si="2"/>
        <v/>
      </c>
    </row>
    <row r="94" spans="1:16" ht="34.049999999999997" customHeight="1" x14ac:dyDescent="0.25">
      <c r="A94" s="5" t="s">
        <v>268</v>
      </c>
      <c r="B94" s="5" t="s">
        <v>180</v>
      </c>
      <c r="C94" s="7" t="s">
        <v>181</v>
      </c>
      <c r="D94" s="7" t="s">
        <v>281</v>
      </c>
      <c r="E94" s="7" t="s">
        <v>183</v>
      </c>
      <c r="F94" s="7" t="s">
        <v>184</v>
      </c>
      <c r="G94" s="7" t="s">
        <v>185</v>
      </c>
      <c r="H94" s="7" t="s">
        <v>186</v>
      </c>
      <c r="I94" s="7" t="s">
        <v>187</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282</v>
      </c>
      <c r="E95" s="7" t="s">
        <v>191</v>
      </c>
      <c r="F95" s="7" t="s">
        <v>192</v>
      </c>
      <c r="G95" s="7" t="s">
        <v>193</v>
      </c>
      <c r="H95" s="7" t="s">
        <v>194</v>
      </c>
      <c r="I95" s="7" t="s">
        <v>195</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283</v>
      </c>
      <c r="E96" s="7" t="s">
        <v>199</v>
      </c>
      <c r="F96" s="7" t="s">
        <v>200</v>
      </c>
      <c r="G96" s="7" t="s">
        <v>201</v>
      </c>
      <c r="H96" s="7" t="s">
        <v>202</v>
      </c>
      <c r="I96" s="7" t="s">
        <v>203</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285</v>
      </c>
      <c r="E97" s="7" t="s">
        <v>87</v>
      </c>
      <c r="F97" s="7" t="s">
        <v>88</v>
      </c>
      <c r="G97" s="7" t="s">
        <v>89</v>
      </c>
      <c r="H97" s="7" t="s">
        <v>90</v>
      </c>
      <c r="I97" s="7" t="s">
        <v>91</v>
      </c>
      <c r="J97" s="11" t="s">
        <v>34</v>
      </c>
      <c r="K97" s="11" t="s">
        <v>36</v>
      </c>
      <c r="L97" s="11" t="s">
        <v>38</v>
      </c>
      <c r="M97" s="11" t="s">
        <v>40</v>
      </c>
      <c r="N97" s="11" t="s">
        <v>42</v>
      </c>
      <c r="O97" s="9"/>
      <c r="P97" t="str">
        <f t="shared" si="2"/>
        <v/>
      </c>
    </row>
    <row r="98" spans="1:16" ht="34.049999999999997" customHeight="1" x14ac:dyDescent="0.25">
      <c r="A98" s="5" t="s">
        <v>284</v>
      </c>
      <c r="B98" s="5" t="s">
        <v>92</v>
      </c>
      <c r="C98" s="7" t="s">
        <v>93</v>
      </c>
      <c r="D98" s="7" t="s">
        <v>286</v>
      </c>
      <c r="E98" s="7" t="s">
        <v>95</v>
      </c>
      <c r="F98" s="7" t="s">
        <v>96</v>
      </c>
      <c r="G98" s="7" t="s">
        <v>97</v>
      </c>
      <c r="H98" s="7" t="s">
        <v>98</v>
      </c>
      <c r="I98" s="7" t="s">
        <v>99</v>
      </c>
      <c r="J98" s="11" t="s">
        <v>28</v>
      </c>
      <c r="K98" s="11" t="s">
        <v>30</v>
      </c>
      <c r="L98" s="11" t="s">
        <v>32</v>
      </c>
      <c r="M98" s="11" t="s">
        <v>40</v>
      </c>
      <c r="N98" s="11" t="s">
        <v>42</v>
      </c>
      <c r="O98" s="9"/>
      <c r="P98" t="str">
        <f t="shared" si="2"/>
        <v/>
      </c>
    </row>
    <row r="99" spans="1:16" ht="34.049999999999997" customHeight="1" x14ac:dyDescent="0.25">
      <c r="A99" s="5" t="s">
        <v>284</v>
      </c>
      <c r="B99" s="5" t="s">
        <v>100</v>
      </c>
      <c r="C99" s="7" t="s">
        <v>101</v>
      </c>
      <c r="D99" s="7" t="s">
        <v>287</v>
      </c>
      <c r="E99" s="7" t="s">
        <v>103</v>
      </c>
      <c r="F99" s="7" t="s">
        <v>104</v>
      </c>
      <c r="G99" s="7" t="s">
        <v>105</v>
      </c>
      <c r="H99" s="7" t="s">
        <v>106</v>
      </c>
      <c r="I99" s="7" t="s">
        <v>107</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109</v>
      </c>
      <c r="D100" s="7" t="s">
        <v>288</v>
      </c>
      <c r="E100" s="7" t="s">
        <v>111</v>
      </c>
      <c r="F100" s="7" t="s">
        <v>112</v>
      </c>
      <c r="G100" s="7" t="s">
        <v>113</v>
      </c>
      <c r="H100" s="7" t="s">
        <v>114</v>
      </c>
      <c r="I100" s="7" t="s">
        <v>115</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117</v>
      </c>
      <c r="D101" s="7" t="s">
        <v>289</v>
      </c>
      <c r="E101" s="7" t="s">
        <v>119</v>
      </c>
      <c r="F101" s="7" t="s">
        <v>120</v>
      </c>
      <c r="G101" s="7" t="s">
        <v>121</v>
      </c>
      <c r="H101" s="7" t="s">
        <v>122</v>
      </c>
      <c r="I101" s="7" t="s">
        <v>123</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125</v>
      </c>
      <c r="D102" s="7" t="s">
        <v>290</v>
      </c>
      <c r="E102" s="7" t="s">
        <v>127</v>
      </c>
      <c r="F102" s="7" t="s">
        <v>128</v>
      </c>
      <c r="G102" s="7" t="s">
        <v>129</v>
      </c>
      <c r="H102" s="7" t="s">
        <v>130</v>
      </c>
      <c r="I102" s="7" t="s">
        <v>131</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133</v>
      </c>
      <c r="D103" s="7" t="s">
        <v>291</v>
      </c>
      <c r="E103" s="7" t="s">
        <v>135</v>
      </c>
      <c r="F103" s="7" t="s">
        <v>136</v>
      </c>
      <c r="G103" s="7" t="s">
        <v>137</v>
      </c>
      <c r="H103" s="7" t="s">
        <v>138</v>
      </c>
      <c r="I103" s="7" t="s">
        <v>139</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141</v>
      </c>
      <c r="D104" s="7" t="s">
        <v>292</v>
      </c>
      <c r="E104" s="7" t="s">
        <v>143</v>
      </c>
      <c r="F104" s="7" t="s">
        <v>144</v>
      </c>
      <c r="G104" s="7" t="s">
        <v>145</v>
      </c>
      <c r="H104" s="7" t="s">
        <v>146</v>
      </c>
      <c r="I104" s="7" t="s">
        <v>147</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293</v>
      </c>
      <c r="E105" s="7" t="s">
        <v>151</v>
      </c>
      <c r="F105" s="7" t="s">
        <v>152</v>
      </c>
      <c r="G105" s="7" t="s">
        <v>153</v>
      </c>
      <c r="H105" s="7" t="s">
        <v>154</v>
      </c>
      <c r="I105" s="7" t="s">
        <v>155</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294</v>
      </c>
      <c r="E106" s="7" t="s">
        <v>159</v>
      </c>
      <c r="F106" s="7" t="s">
        <v>160</v>
      </c>
      <c r="G106" s="7" t="s">
        <v>161</v>
      </c>
      <c r="H106" s="7" t="s">
        <v>162</v>
      </c>
      <c r="I106" s="7" t="s">
        <v>163</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295</v>
      </c>
      <c r="E107" s="7" t="s">
        <v>167</v>
      </c>
      <c r="F107" s="7" t="s">
        <v>168</v>
      </c>
      <c r="G107" s="7" t="s">
        <v>169</v>
      </c>
      <c r="H107" s="7" t="s">
        <v>170</v>
      </c>
      <c r="I107" s="7" t="s">
        <v>171</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296</v>
      </c>
      <c r="E108" s="7" t="s">
        <v>175</v>
      </c>
      <c r="F108" s="7" t="s">
        <v>176</v>
      </c>
      <c r="G108" s="7" t="s">
        <v>177</v>
      </c>
      <c r="H108" s="7" t="s">
        <v>178</v>
      </c>
      <c r="I108" s="7" t="s">
        <v>179</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181</v>
      </c>
      <c r="D109" s="7" t="s">
        <v>297</v>
      </c>
      <c r="E109" s="7" t="s">
        <v>183</v>
      </c>
      <c r="F109" s="7" t="s">
        <v>184</v>
      </c>
      <c r="G109" s="7" t="s">
        <v>185</v>
      </c>
      <c r="H109" s="7" t="s">
        <v>186</v>
      </c>
      <c r="I109" s="7" t="s">
        <v>187</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298</v>
      </c>
      <c r="E110" s="7" t="s">
        <v>191</v>
      </c>
      <c r="F110" s="7" t="s">
        <v>192</v>
      </c>
      <c r="G110" s="7" t="s">
        <v>193</v>
      </c>
      <c r="H110" s="7" t="s">
        <v>194</v>
      </c>
      <c r="I110" s="7" t="s">
        <v>195</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299</v>
      </c>
      <c r="E111" s="7" t="s">
        <v>199</v>
      </c>
      <c r="F111" s="7" t="s">
        <v>200</v>
      </c>
      <c r="G111" s="7" t="s">
        <v>201</v>
      </c>
      <c r="H111" s="7" t="s">
        <v>202</v>
      </c>
      <c r="I111" s="7" t="s">
        <v>203</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301</v>
      </c>
      <c r="E112" s="7" t="s">
        <v>87</v>
      </c>
      <c r="F112" s="7" t="s">
        <v>88</v>
      </c>
      <c r="G112" s="7" t="s">
        <v>89</v>
      </c>
      <c r="H112" s="7" t="s">
        <v>90</v>
      </c>
      <c r="I112" s="7" t="s">
        <v>91</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93</v>
      </c>
      <c r="D113" s="7" t="s">
        <v>302</v>
      </c>
      <c r="E113" s="7" t="s">
        <v>95</v>
      </c>
      <c r="F113" s="7" t="s">
        <v>96</v>
      </c>
      <c r="G113" s="7" t="s">
        <v>97</v>
      </c>
      <c r="H113" s="7" t="s">
        <v>98</v>
      </c>
      <c r="I113" s="7" t="s">
        <v>99</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101</v>
      </c>
      <c r="D114" s="7" t="s">
        <v>303</v>
      </c>
      <c r="E114" s="7" t="s">
        <v>103</v>
      </c>
      <c r="F114" s="7" t="s">
        <v>104</v>
      </c>
      <c r="G114" s="7" t="s">
        <v>105</v>
      </c>
      <c r="H114" s="7" t="s">
        <v>106</v>
      </c>
      <c r="I114" s="7" t="s">
        <v>107</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109</v>
      </c>
      <c r="D115" s="7" t="s">
        <v>304</v>
      </c>
      <c r="E115" s="7" t="s">
        <v>111</v>
      </c>
      <c r="F115" s="7" t="s">
        <v>112</v>
      </c>
      <c r="G115" s="7" t="s">
        <v>113</v>
      </c>
      <c r="H115" s="7" t="s">
        <v>114</v>
      </c>
      <c r="I115" s="7" t="s">
        <v>115</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117</v>
      </c>
      <c r="D116" s="7" t="s">
        <v>305</v>
      </c>
      <c r="E116" s="7" t="s">
        <v>119</v>
      </c>
      <c r="F116" s="7" t="s">
        <v>120</v>
      </c>
      <c r="G116" s="7" t="s">
        <v>121</v>
      </c>
      <c r="H116" s="7" t="s">
        <v>122</v>
      </c>
      <c r="I116" s="7" t="s">
        <v>123</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125</v>
      </c>
      <c r="D117" s="7" t="s">
        <v>306</v>
      </c>
      <c r="E117" s="7" t="s">
        <v>127</v>
      </c>
      <c r="F117" s="7" t="s">
        <v>128</v>
      </c>
      <c r="G117" s="7" t="s">
        <v>129</v>
      </c>
      <c r="H117" s="7" t="s">
        <v>130</v>
      </c>
      <c r="I117" s="7" t="s">
        <v>131</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133</v>
      </c>
      <c r="D118" s="7" t="s">
        <v>307</v>
      </c>
      <c r="E118" s="7" t="s">
        <v>135</v>
      </c>
      <c r="F118" s="7" t="s">
        <v>136</v>
      </c>
      <c r="G118" s="7" t="s">
        <v>137</v>
      </c>
      <c r="H118" s="7" t="s">
        <v>138</v>
      </c>
      <c r="I118" s="7" t="s">
        <v>139</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141</v>
      </c>
      <c r="D119" s="7" t="s">
        <v>308</v>
      </c>
      <c r="E119" s="7" t="s">
        <v>143</v>
      </c>
      <c r="F119" s="7" t="s">
        <v>144</v>
      </c>
      <c r="G119" s="7" t="s">
        <v>145</v>
      </c>
      <c r="H119" s="7" t="s">
        <v>146</v>
      </c>
      <c r="I119" s="7" t="s">
        <v>147</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309</v>
      </c>
      <c r="E120" s="7" t="s">
        <v>151</v>
      </c>
      <c r="F120" s="7" t="s">
        <v>152</v>
      </c>
      <c r="G120" s="7" t="s">
        <v>153</v>
      </c>
      <c r="H120" s="7" t="s">
        <v>154</v>
      </c>
      <c r="I120" s="7" t="s">
        <v>155</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310</v>
      </c>
      <c r="E121" s="7" t="s">
        <v>159</v>
      </c>
      <c r="F121" s="7" t="s">
        <v>160</v>
      </c>
      <c r="G121" s="7" t="s">
        <v>161</v>
      </c>
      <c r="H121" s="7" t="s">
        <v>162</v>
      </c>
      <c r="I121" s="7" t="s">
        <v>163</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311</v>
      </c>
      <c r="E122" s="7" t="s">
        <v>167</v>
      </c>
      <c r="F122" s="7" t="s">
        <v>168</v>
      </c>
      <c r="G122" s="7" t="s">
        <v>169</v>
      </c>
      <c r="H122" s="7" t="s">
        <v>170</v>
      </c>
      <c r="I122" s="7" t="s">
        <v>171</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312</v>
      </c>
      <c r="E123" s="7" t="s">
        <v>175</v>
      </c>
      <c r="F123" s="7" t="s">
        <v>176</v>
      </c>
      <c r="G123" s="7" t="s">
        <v>177</v>
      </c>
      <c r="H123" s="7" t="s">
        <v>178</v>
      </c>
      <c r="I123" s="7" t="s">
        <v>179</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181</v>
      </c>
      <c r="D124" s="7" t="s">
        <v>313</v>
      </c>
      <c r="E124" s="7" t="s">
        <v>183</v>
      </c>
      <c r="F124" s="7" t="s">
        <v>184</v>
      </c>
      <c r="G124" s="7" t="s">
        <v>185</v>
      </c>
      <c r="H124" s="7" t="s">
        <v>186</v>
      </c>
      <c r="I124" s="7" t="s">
        <v>187</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314</v>
      </c>
      <c r="E125" s="7" t="s">
        <v>191</v>
      </c>
      <c r="F125" s="7" t="s">
        <v>192</v>
      </c>
      <c r="G125" s="7" t="s">
        <v>193</v>
      </c>
      <c r="H125" s="7" t="s">
        <v>194</v>
      </c>
      <c r="I125" s="7" t="s">
        <v>195</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315</v>
      </c>
      <c r="E126" s="7" t="s">
        <v>199</v>
      </c>
      <c r="F126" s="7" t="s">
        <v>200</v>
      </c>
      <c r="G126" s="7" t="s">
        <v>201</v>
      </c>
      <c r="H126" s="7" t="s">
        <v>202</v>
      </c>
      <c r="I126" s="7" t="s">
        <v>203</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317</v>
      </c>
      <c r="E127" s="7" t="s">
        <v>87</v>
      </c>
      <c r="F127" s="7" t="s">
        <v>88</v>
      </c>
      <c r="G127" s="7" t="s">
        <v>89</v>
      </c>
      <c r="H127" s="7" t="s">
        <v>90</v>
      </c>
      <c r="I127" s="7" t="s">
        <v>91</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93</v>
      </c>
      <c r="D128" s="7" t="s">
        <v>318</v>
      </c>
      <c r="E128" s="7" t="s">
        <v>95</v>
      </c>
      <c r="F128" s="7" t="s">
        <v>96</v>
      </c>
      <c r="G128" s="7" t="s">
        <v>97</v>
      </c>
      <c r="H128" s="7" t="s">
        <v>98</v>
      </c>
      <c r="I128" s="7" t="s">
        <v>99</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101</v>
      </c>
      <c r="D129" s="7" t="s">
        <v>319</v>
      </c>
      <c r="E129" s="7" t="s">
        <v>103</v>
      </c>
      <c r="F129" s="7" t="s">
        <v>104</v>
      </c>
      <c r="G129" s="7" t="s">
        <v>105</v>
      </c>
      <c r="H129" s="7" t="s">
        <v>106</v>
      </c>
      <c r="I129" s="7" t="s">
        <v>107</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109</v>
      </c>
      <c r="D130" s="7" t="s">
        <v>320</v>
      </c>
      <c r="E130" s="7" t="s">
        <v>111</v>
      </c>
      <c r="F130" s="7" t="s">
        <v>112</v>
      </c>
      <c r="G130" s="7" t="s">
        <v>113</v>
      </c>
      <c r="H130" s="7" t="s">
        <v>114</v>
      </c>
      <c r="I130" s="7" t="s">
        <v>115</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117</v>
      </c>
      <c r="D131" s="7" t="s">
        <v>321</v>
      </c>
      <c r="E131" s="7" t="s">
        <v>119</v>
      </c>
      <c r="F131" s="7" t="s">
        <v>120</v>
      </c>
      <c r="G131" s="7" t="s">
        <v>121</v>
      </c>
      <c r="H131" s="7" t="s">
        <v>122</v>
      </c>
      <c r="I131" s="7" t="s">
        <v>123</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125</v>
      </c>
      <c r="D132" s="7" t="s">
        <v>322</v>
      </c>
      <c r="E132" s="7" t="s">
        <v>127</v>
      </c>
      <c r="F132" s="7" t="s">
        <v>128</v>
      </c>
      <c r="G132" s="7" t="s">
        <v>129</v>
      </c>
      <c r="H132" s="7" t="s">
        <v>130</v>
      </c>
      <c r="I132" s="7" t="s">
        <v>131</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133</v>
      </c>
      <c r="D133" s="7" t="s">
        <v>323</v>
      </c>
      <c r="E133" s="7" t="s">
        <v>135</v>
      </c>
      <c r="F133" s="7" t="s">
        <v>136</v>
      </c>
      <c r="G133" s="7" t="s">
        <v>137</v>
      </c>
      <c r="H133" s="7" t="s">
        <v>138</v>
      </c>
      <c r="I133" s="7" t="s">
        <v>139</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141</v>
      </c>
      <c r="D134" s="7" t="s">
        <v>324</v>
      </c>
      <c r="E134" s="7" t="s">
        <v>143</v>
      </c>
      <c r="F134" s="7" t="s">
        <v>144</v>
      </c>
      <c r="G134" s="7" t="s">
        <v>145</v>
      </c>
      <c r="H134" s="7" t="s">
        <v>146</v>
      </c>
      <c r="I134" s="7" t="s">
        <v>147</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325</v>
      </c>
      <c r="E135" s="7" t="s">
        <v>151</v>
      </c>
      <c r="F135" s="7" t="s">
        <v>152</v>
      </c>
      <c r="G135" s="7" t="s">
        <v>153</v>
      </c>
      <c r="H135" s="7" t="s">
        <v>154</v>
      </c>
      <c r="I135" s="7" t="s">
        <v>155</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326</v>
      </c>
      <c r="E136" s="7" t="s">
        <v>159</v>
      </c>
      <c r="F136" s="7" t="s">
        <v>160</v>
      </c>
      <c r="G136" s="7" t="s">
        <v>161</v>
      </c>
      <c r="H136" s="7" t="s">
        <v>162</v>
      </c>
      <c r="I136" s="7" t="s">
        <v>163</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327</v>
      </c>
      <c r="E137" s="7" t="s">
        <v>167</v>
      </c>
      <c r="F137" s="7" t="s">
        <v>168</v>
      </c>
      <c r="G137" s="7" t="s">
        <v>169</v>
      </c>
      <c r="H137" s="7" t="s">
        <v>170</v>
      </c>
      <c r="I137" s="7" t="s">
        <v>171</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328</v>
      </c>
      <c r="E138" s="7" t="s">
        <v>175</v>
      </c>
      <c r="F138" s="7" t="s">
        <v>176</v>
      </c>
      <c r="G138" s="7" t="s">
        <v>177</v>
      </c>
      <c r="H138" s="7" t="s">
        <v>178</v>
      </c>
      <c r="I138" s="7" t="s">
        <v>179</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181</v>
      </c>
      <c r="D139" s="7" t="s">
        <v>329</v>
      </c>
      <c r="E139" s="7" t="s">
        <v>183</v>
      </c>
      <c r="F139" s="7" t="s">
        <v>184</v>
      </c>
      <c r="G139" s="7" t="s">
        <v>185</v>
      </c>
      <c r="H139" s="7" t="s">
        <v>186</v>
      </c>
      <c r="I139" s="7" t="s">
        <v>187</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330</v>
      </c>
      <c r="E140" s="7" t="s">
        <v>191</v>
      </c>
      <c r="F140" s="7" t="s">
        <v>192</v>
      </c>
      <c r="G140" s="7" t="s">
        <v>193</v>
      </c>
      <c r="H140" s="7" t="s">
        <v>194</v>
      </c>
      <c r="I140" s="7" t="s">
        <v>195</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331</v>
      </c>
      <c r="E141" s="7" t="s">
        <v>199</v>
      </c>
      <c r="F141" s="7" t="s">
        <v>200</v>
      </c>
      <c r="G141" s="7" t="s">
        <v>201</v>
      </c>
      <c r="H141" s="7" t="s">
        <v>202</v>
      </c>
      <c r="I141" s="7" t="s">
        <v>203</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333</v>
      </c>
      <c r="E142" s="7" t="s">
        <v>87</v>
      </c>
      <c r="F142" s="7" t="s">
        <v>88</v>
      </c>
      <c r="G142" s="7" t="s">
        <v>89</v>
      </c>
      <c r="H142" s="7" t="s">
        <v>90</v>
      </c>
      <c r="I142" s="7" t="s">
        <v>91</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93</v>
      </c>
      <c r="D143" s="7" t="s">
        <v>334</v>
      </c>
      <c r="E143" s="7" t="s">
        <v>95</v>
      </c>
      <c r="F143" s="7" t="s">
        <v>96</v>
      </c>
      <c r="G143" s="7" t="s">
        <v>97</v>
      </c>
      <c r="H143" s="7" t="s">
        <v>98</v>
      </c>
      <c r="I143" s="7" t="s">
        <v>99</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101</v>
      </c>
      <c r="D144" s="7" t="s">
        <v>335</v>
      </c>
      <c r="E144" s="7" t="s">
        <v>103</v>
      </c>
      <c r="F144" s="7" t="s">
        <v>104</v>
      </c>
      <c r="G144" s="7" t="s">
        <v>105</v>
      </c>
      <c r="H144" s="7" t="s">
        <v>106</v>
      </c>
      <c r="I144" s="7" t="s">
        <v>107</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109</v>
      </c>
      <c r="D145" s="7" t="s">
        <v>336</v>
      </c>
      <c r="E145" s="7" t="s">
        <v>111</v>
      </c>
      <c r="F145" s="7" t="s">
        <v>112</v>
      </c>
      <c r="G145" s="7" t="s">
        <v>113</v>
      </c>
      <c r="H145" s="7" t="s">
        <v>114</v>
      </c>
      <c r="I145" s="7" t="s">
        <v>115</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117</v>
      </c>
      <c r="D146" s="7" t="s">
        <v>337</v>
      </c>
      <c r="E146" s="7" t="s">
        <v>119</v>
      </c>
      <c r="F146" s="7" t="s">
        <v>120</v>
      </c>
      <c r="G146" s="7" t="s">
        <v>121</v>
      </c>
      <c r="H146" s="7" t="s">
        <v>122</v>
      </c>
      <c r="I146" s="7" t="s">
        <v>123</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125</v>
      </c>
      <c r="D147" s="7" t="s">
        <v>338</v>
      </c>
      <c r="E147" s="7" t="s">
        <v>127</v>
      </c>
      <c r="F147" s="7" t="s">
        <v>128</v>
      </c>
      <c r="G147" s="7" t="s">
        <v>129</v>
      </c>
      <c r="H147" s="7" t="s">
        <v>130</v>
      </c>
      <c r="I147" s="7" t="s">
        <v>131</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133</v>
      </c>
      <c r="D148" s="7" t="s">
        <v>339</v>
      </c>
      <c r="E148" s="7" t="s">
        <v>135</v>
      </c>
      <c r="F148" s="7" t="s">
        <v>136</v>
      </c>
      <c r="G148" s="7" t="s">
        <v>137</v>
      </c>
      <c r="H148" s="7" t="s">
        <v>138</v>
      </c>
      <c r="I148" s="7" t="s">
        <v>139</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141</v>
      </c>
      <c r="D149" s="7" t="s">
        <v>340</v>
      </c>
      <c r="E149" s="7" t="s">
        <v>143</v>
      </c>
      <c r="F149" s="7" t="s">
        <v>144</v>
      </c>
      <c r="G149" s="7" t="s">
        <v>145</v>
      </c>
      <c r="H149" s="7" t="s">
        <v>146</v>
      </c>
      <c r="I149" s="7" t="s">
        <v>147</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341</v>
      </c>
      <c r="E150" s="7" t="s">
        <v>151</v>
      </c>
      <c r="F150" s="7" t="s">
        <v>152</v>
      </c>
      <c r="G150" s="7" t="s">
        <v>153</v>
      </c>
      <c r="H150" s="7" t="s">
        <v>154</v>
      </c>
      <c r="I150" s="7" t="s">
        <v>155</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342</v>
      </c>
      <c r="E151" s="7" t="s">
        <v>159</v>
      </c>
      <c r="F151" s="7" t="s">
        <v>160</v>
      </c>
      <c r="G151" s="7" t="s">
        <v>161</v>
      </c>
      <c r="H151" s="7" t="s">
        <v>162</v>
      </c>
      <c r="I151" s="7" t="s">
        <v>163</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343</v>
      </c>
      <c r="E152" s="7" t="s">
        <v>167</v>
      </c>
      <c r="F152" s="7" t="s">
        <v>168</v>
      </c>
      <c r="G152" s="7" t="s">
        <v>169</v>
      </c>
      <c r="H152" s="7" t="s">
        <v>170</v>
      </c>
      <c r="I152" s="7" t="s">
        <v>171</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344</v>
      </c>
      <c r="E153" s="7" t="s">
        <v>175</v>
      </c>
      <c r="F153" s="7" t="s">
        <v>176</v>
      </c>
      <c r="G153" s="7" t="s">
        <v>177</v>
      </c>
      <c r="H153" s="7" t="s">
        <v>178</v>
      </c>
      <c r="I153" s="7" t="s">
        <v>179</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181</v>
      </c>
      <c r="D154" s="7" t="s">
        <v>345</v>
      </c>
      <c r="E154" s="7" t="s">
        <v>183</v>
      </c>
      <c r="F154" s="7" t="s">
        <v>184</v>
      </c>
      <c r="G154" s="7" t="s">
        <v>185</v>
      </c>
      <c r="H154" s="7" t="s">
        <v>186</v>
      </c>
      <c r="I154" s="7" t="s">
        <v>187</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346</v>
      </c>
      <c r="E155" s="7" t="s">
        <v>191</v>
      </c>
      <c r="F155" s="7" t="s">
        <v>192</v>
      </c>
      <c r="G155" s="7" t="s">
        <v>193</v>
      </c>
      <c r="H155" s="7" t="s">
        <v>194</v>
      </c>
      <c r="I155" s="7" t="s">
        <v>195</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347</v>
      </c>
      <c r="E156" s="7" t="s">
        <v>199</v>
      </c>
      <c r="F156" s="7" t="s">
        <v>200</v>
      </c>
      <c r="G156" s="7" t="s">
        <v>201</v>
      </c>
      <c r="H156" s="7" t="s">
        <v>202</v>
      </c>
      <c r="I156" s="7" t="s">
        <v>203</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3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300-000001000000}">
      <formula1>"1,2,3,4,5"</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75"/>
  <sheetViews>
    <sheetView showGridLines="0" workbookViewId="0">
      <pane xSplit="4" ySplit="6" topLeftCell="E7" activePane="bottomRight" state="frozen"/>
      <selection pane="topRight"/>
      <selection pane="bottomLeft"/>
      <selection pane="bottomRight"/>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359</v>
      </c>
      <c r="B1" s="18"/>
      <c r="C1" s="18"/>
      <c r="D1" s="18"/>
      <c r="E1" s="18"/>
      <c r="F1" s="18"/>
      <c r="G1" s="18"/>
      <c r="H1" s="18"/>
      <c r="I1" s="18"/>
      <c r="J1" s="18"/>
      <c r="K1" s="18"/>
      <c r="L1" s="18"/>
      <c r="M1" s="18"/>
      <c r="N1" s="18"/>
    </row>
    <row r="2" spans="1:19" x14ac:dyDescent="0.25">
      <c r="A2" s="25" t="s">
        <v>360</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361</v>
      </c>
      <c r="E7" s="7" t="s">
        <v>362</v>
      </c>
      <c r="F7" s="7" t="s">
        <v>363</v>
      </c>
      <c r="G7" s="7" t="s">
        <v>364</v>
      </c>
      <c r="H7" s="7" t="s">
        <v>365</v>
      </c>
      <c r="I7" s="7" t="s">
        <v>366</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93</v>
      </c>
      <c r="D8" s="7" t="s">
        <v>94</v>
      </c>
      <c r="E8" s="7" t="s">
        <v>367</v>
      </c>
      <c r="F8" s="7" t="s">
        <v>368</v>
      </c>
      <c r="G8" s="7" t="s">
        <v>369</v>
      </c>
      <c r="H8" s="7" t="s">
        <v>370</v>
      </c>
      <c r="I8" s="7" t="s">
        <v>371</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101</v>
      </c>
      <c r="D9" s="7" t="s">
        <v>207</v>
      </c>
      <c r="E9" s="7" t="s">
        <v>372</v>
      </c>
      <c r="F9" s="7" t="s">
        <v>373</v>
      </c>
      <c r="G9" s="7" t="s">
        <v>374</v>
      </c>
      <c r="H9" s="7" t="s">
        <v>375</v>
      </c>
      <c r="I9" s="7" t="s">
        <v>376</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109</v>
      </c>
      <c r="D10" s="7" t="s">
        <v>110</v>
      </c>
      <c r="E10" s="7" t="s">
        <v>377</v>
      </c>
      <c r="F10" s="7" t="s">
        <v>378</v>
      </c>
      <c r="G10" s="7" t="s">
        <v>379</v>
      </c>
      <c r="H10" s="7" t="s">
        <v>380</v>
      </c>
      <c r="I10" s="7" t="s">
        <v>381</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382</v>
      </c>
      <c r="D11" s="7" t="s">
        <v>383</v>
      </c>
      <c r="E11" s="7" t="s">
        <v>384</v>
      </c>
      <c r="F11" s="7" t="s">
        <v>385</v>
      </c>
      <c r="G11" s="7" t="s">
        <v>386</v>
      </c>
      <c r="H11" s="7" t="s">
        <v>387</v>
      </c>
      <c r="I11" s="7" t="s">
        <v>388</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389</v>
      </c>
      <c r="D12" s="7" t="s">
        <v>390</v>
      </c>
      <c r="E12" s="7" t="s">
        <v>391</v>
      </c>
      <c r="F12" s="7" t="s">
        <v>392</v>
      </c>
      <c r="G12" s="7" t="s">
        <v>393</v>
      </c>
      <c r="H12" s="7" t="s">
        <v>394</v>
      </c>
      <c r="I12" s="7" t="s">
        <v>395</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396</v>
      </c>
      <c r="D13" s="7" t="s">
        <v>397</v>
      </c>
      <c r="E13" s="7" t="s">
        <v>398</v>
      </c>
      <c r="F13" s="7" t="s">
        <v>399</v>
      </c>
      <c r="G13" s="7" t="s">
        <v>400</v>
      </c>
      <c r="H13" s="7" t="s">
        <v>401</v>
      </c>
      <c r="I13" s="7" t="s">
        <v>402</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141</v>
      </c>
      <c r="D14" s="7" t="s">
        <v>403</v>
      </c>
      <c r="E14" s="7" t="s">
        <v>404</v>
      </c>
      <c r="F14" s="7" t="s">
        <v>405</v>
      </c>
      <c r="G14" s="7" t="s">
        <v>406</v>
      </c>
      <c r="H14" s="7" t="s">
        <v>407</v>
      </c>
      <c r="I14" s="7" t="s">
        <v>408</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409</v>
      </c>
      <c r="E15" s="7" t="s">
        <v>410</v>
      </c>
      <c r="F15" s="7" t="s">
        <v>411</v>
      </c>
      <c r="G15" s="7" t="s">
        <v>412</v>
      </c>
      <c r="H15" s="7" t="s">
        <v>413</v>
      </c>
      <c r="I15" s="7" t="s">
        <v>414</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415</v>
      </c>
      <c r="E16" s="7" t="s">
        <v>416</v>
      </c>
      <c r="F16" s="7" t="s">
        <v>417</v>
      </c>
      <c r="G16" s="7" t="s">
        <v>418</v>
      </c>
      <c r="H16" s="7" t="s">
        <v>419</v>
      </c>
      <c r="I16" s="7" t="s">
        <v>420</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166</v>
      </c>
      <c r="E17" s="7" t="s">
        <v>421</v>
      </c>
      <c r="F17" s="7" t="s">
        <v>422</v>
      </c>
      <c r="G17" s="7" t="s">
        <v>423</v>
      </c>
      <c r="H17" s="7" t="s">
        <v>424</v>
      </c>
      <c r="I17" s="7" t="s">
        <v>425</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426</v>
      </c>
      <c r="E18" s="7" t="s">
        <v>427</v>
      </c>
      <c r="F18" s="7" t="s">
        <v>428</v>
      </c>
      <c r="G18" s="7" t="s">
        <v>429</v>
      </c>
      <c r="H18" s="7" t="s">
        <v>430</v>
      </c>
      <c r="I18" s="7" t="s">
        <v>431</v>
      </c>
      <c r="J18" s="11" t="s">
        <v>28</v>
      </c>
      <c r="K18" s="11" t="s">
        <v>36</v>
      </c>
      <c r="L18" s="11" t="s">
        <v>38</v>
      </c>
      <c r="M18" s="11" t="s">
        <v>40</v>
      </c>
      <c r="N18" s="11" t="s">
        <v>42</v>
      </c>
      <c r="O18" s="9"/>
      <c r="P18" t="str">
        <f t="shared" si="0"/>
        <v/>
      </c>
    </row>
    <row r="19" spans="1:16" ht="34.049999999999997" customHeight="1" x14ac:dyDescent="0.25">
      <c r="A19" s="5" t="s">
        <v>66</v>
      </c>
      <c r="B19" s="5" t="s">
        <v>180</v>
      </c>
      <c r="C19" s="7" t="s">
        <v>181</v>
      </c>
      <c r="D19" s="7" t="s">
        <v>182</v>
      </c>
      <c r="E19" s="7" t="s">
        <v>432</v>
      </c>
      <c r="F19" s="7" t="s">
        <v>433</v>
      </c>
      <c r="G19" s="7" t="s">
        <v>434</v>
      </c>
      <c r="H19" s="7" t="s">
        <v>435</v>
      </c>
      <c r="I19" s="7" t="s">
        <v>436</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437</v>
      </c>
      <c r="E20" s="7" t="s">
        <v>438</v>
      </c>
      <c r="F20" s="7" t="s">
        <v>439</v>
      </c>
      <c r="G20" s="7" t="s">
        <v>440</v>
      </c>
      <c r="H20" s="7" t="s">
        <v>441</v>
      </c>
      <c r="I20" s="7" t="s">
        <v>442</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198</v>
      </c>
      <c r="E21" s="7" t="s">
        <v>443</v>
      </c>
      <c r="F21" s="7" t="s">
        <v>444</v>
      </c>
      <c r="G21" s="7" t="s">
        <v>445</v>
      </c>
      <c r="H21" s="7" t="s">
        <v>446</v>
      </c>
      <c r="I21" s="7" t="s">
        <v>447</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448</v>
      </c>
      <c r="E22" s="7" t="s">
        <v>362</v>
      </c>
      <c r="F22" s="7" t="s">
        <v>363</v>
      </c>
      <c r="G22" s="7" t="s">
        <v>364</v>
      </c>
      <c r="H22" s="7" t="s">
        <v>365</v>
      </c>
      <c r="I22" s="7" t="s">
        <v>366</v>
      </c>
      <c r="J22" s="11" t="s">
        <v>34</v>
      </c>
      <c r="K22" s="11" t="s">
        <v>36</v>
      </c>
      <c r="L22" s="11" t="s">
        <v>38</v>
      </c>
      <c r="M22" s="11" t="s">
        <v>40</v>
      </c>
      <c r="N22" s="11" t="s">
        <v>42</v>
      </c>
      <c r="O22" s="9"/>
      <c r="P22" t="str">
        <f t="shared" si="0"/>
        <v/>
      </c>
    </row>
    <row r="23" spans="1:16" ht="34.049999999999997" customHeight="1" x14ac:dyDescent="0.25">
      <c r="A23" s="5" t="s">
        <v>204</v>
      </c>
      <c r="B23" s="5" t="s">
        <v>92</v>
      </c>
      <c r="C23" s="7" t="s">
        <v>93</v>
      </c>
      <c r="D23" s="7" t="s">
        <v>206</v>
      </c>
      <c r="E23" s="7" t="s">
        <v>367</v>
      </c>
      <c r="F23" s="7" t="s">
        <v>368</v>
      </c>
      <c r="G23" s="7" t="s">
        <v>369</v>
      </c>
      <c r="H23" s="7" t="s">
        <v>370</v>
      </c>
      <c r="I23" s="7" t="s">
        <v>371</v>
      </c>
      <c r="J23" s="11" t="s">
        <v>28</v>
      </c>
      <c r="K23" s="11" t="s">
        <v>30</v>
      </c>
      <c r="L23" s="11" t="s">
        <v>32</v>
      </c>
      <c r="M23" s="11" t="s">
        <v>40</v>
      </c>
      <c r="N23" s="11" t="s">
        <v>42</v>
      </c>
      <c r="O23" s="9"/>
      <c r="P23" t="str">
        <f t="shared" si="0"/>
        <v/>
      </c>
    </row>
    <row r="24" spans="1:16" ht="34.049999999999997" customHeight="1" x14ac:dyDescent="0.25">
      <c r="A24" s="5" t="s">
        <v>204</v>
      </c>
      <c r="B24" s="5" t="s">
        <v>100</v>
      </c>
      <c r="C24" s="7" t="s">
        <v>101</v>
      </c>
      <c r="D24" s="7" t="s">
        <v>449</v>
      </c>
      <c r="E24" s="7" t="s">
        <v>372</v>
      </c>
      <c r="F24" s="7" t="s">
        <v>373</v>
      </c>
      <c r="G24" s="7" t="s">
        <v>374</v>
      </c>
      <c r="H24" s="7" t="s">
        <v>375</v>
      </c>
      <c r="I24" s="7" t="s">
        <v>376</v>
      </c>
      <c r="J24" s="11" t="s">
        <v>30</v>
      </c>
      <c r="K24" s="11" t="s">
        <v>32</v>
      </c>
      <c r="L24" s="11" t="s">
        <v>34</v>
      </c>
      <c r="M24" s="11" t="s">
        <v>36</v>
      </c>
      <c r="N24" s="11" t="s">
        <v>38</v>
      </c>
      <c r="O24" s="9"/>
      <c r="P24" t="str">
        <f t="shared" si="0"/>
        <v/>
      </c>
    </row>
    <row r="25" spans="1:16" ht="34.049999999999997" customHeight="1" x14ac:dyDescent="0.25">
      <c r="A25" s="5" t="s">
        <v>204</v>
      </c>
      <c r="B25" s="5" t="s">
        <v>108</v>
      </c>
      <c r="C25" s="7" t="s">
        <v>109</v>
      </c>
      <c r="D25" s="7" t="s">
        <v>208</v>
      </c>
      <c r="E25" s="7" t="s">
        <v>377</v>
      </c>
      <c r="F25" s="7" t="s">
        <v>378</v>
      </c>
      <c r="G25" s="7" t="s">
        <v>379</v>
      </c>
      <c r="H25" s="7" t="s">
        <v>380</v>
      </c>
      <c r="I25" s="7" t="s">
        <v>381</v>
      </c>
      <c r="J25" s="11" t="s">
        <v>28</v>
      </c>
      <c r="K25" s="11" t="s">
        <v>36</v>
      </c>
      <c r="L25" s="11" t="s">
        <v>38</v>
      </c>
      <c r="M25" s="11" t="s">
        <v>40</v>
      </c>
      <c r="N25" s="11" t="s">
        <v>42</v>
      </c>
      <c r="O25" s="9"/>
      <c r="P25" t="str">
        <f t="shared" si="0"/>
        <v/>
      </c>
    </row>
    <row r="26" spans="1:16" ht="34.049999999999997" customHeight="1" x14ac:dyDescent="0.25">
      <c r="A26" s="5" t="s">
        <v>204</v>
      </c>
      <c r="B26" s="5" t="s">
        <v>116</v>
      </c>
      <c r="C26" s="7" t="s">
        <v>382</v>
      </c>
      <c r="D26" s="7" t="s">
        <v>450</v>
      </c>
      <c r="E26" s="7" t="s">
        <v>384</v>
      </c>
      <c r="F26" s="7" t="s">
        <v>385</v>
      </c>
      <c r="G26" s="7" t="s">
        <v>386</v>
      </c>
      <c r="H26" s="7" t="s">
        <v>387</v>
      </c>
      <c r="I26" s="7" t="s">
        <v>388</v>
      </c>
      <c r="J26" s="11" t="s">
        <v>28</v>
      </c>
      <c r="K26" s="11" t="s">
        <v>30</v>
      </c>
      <c r="L26" s="11" t="s">
        <v>32</v>
      </c>
      <c r="M26" s="11" t="s">
        <v>34</v>
      </c>
      <c r="N26" s="11" t="s">
        <v>42</v>
      </c>
      <c r="O26" s="9"/>
      <c r="P26" t="str">
        <f t="shared" si="0"/>
        <v/>
      </c>
    </row>
    <row r="27" spans="1:16" ht="34.049999999999997" customHeight="1" x14ac:dyDescent="0.25">
      <c r="A27" s="5" t="s">
        <v>204</v>
      </c>
      <c r="B27" s="5" t="s">
        <v>124</v>
      </c>
      <c r="C27" s="7" t="s">
        <v>389</v>
      </c>
      <c r="D27" s="7" t="s">
        <v>451</v>
      </c>
      <c r="E27" s="7" t="s">
        <v>391</v>
      </c>
      <c r="F27" s="7" t="s">
        <v>392</v>
      </c>
      <c r="G27" s="7" t="s">
        <v>393</v>
      </c>
      <c r="H27" s="7" t="s">
        <v>394</v>
      </c>
      <c r="I27" s="7" t="s">
        <v>395</v>
      </c>
      <c r="J27" s="11" t="s">
        <v>32</v>
      </c>
      <c r="K27" s="11" t="s">
        <v>34</v>
      </c>
      <c r="L27" s="11" t="s">
        <v>36</v>
      </c>
      <c r="M27" s="11" t="s">
        <v>38</v>
      </c>
      <c r="N27" s="11" t="s">
        <v>40</v>
      </c>
      <c r="O27" s="9"/>
      <c r="P27" t="str">
        <f t="shared" si="0"/>
        <v/>
      </c>
    </row>
    <row r="28" spans="1:16" ht="34.049999999999997" customHeight="1" x14ac:dyDescent="0.25">
      <c r="A28" s="5" t="s">
        <v>204</v>
      </c>
      <c r="B28" s="5" t="s">
        <v>132</v>
      </c>
      <c r="C28" s="7" t="s">
        <v>396</v>
      </c>
      <c r="D28" s="7" t="s">
        <v>452</v>
      </c>
      <c r="E28" s="7" t="s">
        <v>398</v>
      </c>
      <c r="F28" s="7" t="s">
        <v>399</v>
      </c>
      <c r="G28" s="7" t="s">
        <v>400</v>
      </c>
      <c r="H28" s="7" t="s">
        <v>401</v>
      </c>
      <c r="I28" s="7" t="s">
        <v>402</v>
      </c>
      <c r="J28" s="11" t="s">
        <v>28</v>
      </c>
      <c r="K28" s="11" t="s">
        <v>30</v>
      </c>
      <c r="L28" s="11" t="s">
        <v>38</v>
      </c>
      <c r="M28" s="11" t="s">
        <v>40</v>
      </c>
      <c r="N28" s="11" t="s">
        <v>42</v>
      </c>
      <c r="O28" s="9"/>
      <c r="P28" t="str">
        <f t="shared" si="0"/>
        <v/>
      </c>
    </row>
    <row r="29" spans="1:16" ht="34.049999999999997" customHeight="1" x14ac:dyDescent="0.25">
      <c r="A29" s="5" t="s">
        <v>204</v>
      </c>
      <c r="B29" s="5" t="s">
        <v>140</v>
      </c>
      <c r="C29" s="7" t="s">
        <v>141</v>
      </c>
      <c r="D29" s="7" t="s">
        <v>212</v>
      </c>
      <c r="E29" s="7" t="s">
        <v>404</v>
      </c>
      <c r="F29" s="7" t="s">
        <v>405</v>
      </c>
      <c r="G29" s="7" t="s">
        <v>406</v>
      </c>
      <c r="H29" s="7" t="s">
        <v>407</v>
      </c>
      <c r="I29" s="7" t="s">
        <v>408</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453</v>
      </c>
      <c r="E30" s="7" t="s">
        <v>410</v>
      </c>
      <c r="F30" s="7" t="s">
        <v>411</v>
      </c>
      <c r="G30" s="7" t="s">
        <v>412</v>
      </c>
      <c r="H30" s="7" t="s">
        <v>413</v>
      </c>
      <c r="I30" s="7" t="s">
        <v>414</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454</v>
      </c>
      <c r="E31" s="7" t="s">
        <v>416</v>
      </c>
      <c r="F31" s="7" t="s">
        <v>417</v>
      </c>
      <c r="G31" s="7" t="s">
        <v>418</v>
      </c>
      <c r="H31" s="7" t="s">
        <v>419</v>
      </c>
      <c r="I31" s="7" t="s">
        <v>420</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455</v>
      </c>
      <c r="E32" s="7" t="s">
        <v>421</v>
      </c>
      <c r="F32" s="7" t="s">
        <v>422</v>
      </c>
      <c r="G32" s="7" t="s">
        <v>423</v>
      </c>
      <c r="H32" s="7" t="s">
        <v>424</v>
      </c>
      <c r="I32" s="7" t="s">
        <v>425</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456</v>
      </c>
      <c r="E33" s="7" t="s">
        <v>427</v>
      </c>
      <c r="F33" s="7" t="s">
        <v>428</v>
      </c>
      <c r="G33" s="7" t="s">
        <v>429</v>
      </c>
      <c r="H33" s="7" t="s">
        <v>430</v>
      </c>
      <c r="I33" s="7" t="s">
        <v>431</v>
      </c>
      <c r="J33" s="11" t="s">
        <v>28</v>
      </c>
      <c r="K33" s="11" t="s">
        <v>36</v>
      </c>
      <c r="L33" s="11" t="s">
        <v>38</v>
      </c>
      <c r="M33" s="11" t="s">
        <v>40</v>
      </c>
      <c r="N33" s="11" t="s">
        <v>42</v>
      </c>
      <c r="O33" s="9"/>
      <c r="P33" t="str">
        <f t="shared" si="0"/>
        <v/>
      </c>
    </row>
    <row r="34" spans="1:16" ht="34.049999999999997" customHeight="1" x14ac:dyDescent="0.25">
      <c r="A34" s="5" t="s">
        <v>204</v>
      </c>
      <c r="B34" s="5" t="s">
        <v>180</v>
      </c>
      <c r="C34" s="7" t="s">
        <v>181</v>
      </c>
      <c r="D34" s="7" t="s">
        <v>217</v>
      </c>
      <c r="E34" s="7" t="s">
        <v>432</v>
      </c>
      <c r="F34" s="7" t="s">
        <v>433</v>
      </c>
      <c r="G34" s="7" t="s">
        <v>434</v>
      </c>
      <c r="H34" s="7" t="s">
        <v>435</v>
      </c>
      <c r="I34" s="7" t="s">
        <v>436</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457</v>
      </c>
      <c r="E35" s="7" t="s">
        <v>438</v>
      </c>
      <c r="F35" s="7" t="s">
        <v>439</v>
      </c>
      <c r="G35" s="7" t="s">
        <v>440</v>
      </c>
      <c r="H35" s="7" t="s">
        <v>441</v>
      </c>
      <c r="I35" s="7" t="s">
        <v>442</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219</v>
      </c>
      <c r="E36" s="7" t="s">
        <v>443</v>
      </c>
      <c r="F36" s="7" t="s">
        <v>444</v>
      </c>
      <c r="G36" s="7" t="s">
        <v>445</v>
      </c>
      <c r="H36" s="7" t="s">
        <v>446</v>
      </c>
      <c r="I36" s="7" t="s">
        <v>447</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221</v>
      </c>
      <c r="E37" s="7" t="s">
        <v>362</v>
      </c>
      <c r="F37" s="7" t="s">
        <v>363</v>
      </c>
      <c r="G37" s="7" t="s">
        <v>364</v>
      </c>
      <c r="H37" s="7" t="s">
        <v>365</v>
      </c>
      <c r="I37" s="7" t="s">
        <v>366</v>
      </c>
      <c r="J37" s="11" t="s">
        <v>34</v>
      </c>
      <c r="K37" s="11" t="s">
        <v>36</v>
      </c>
      <c r="L37" s="11" t="s">
        <v>38</v>
      </c>
      <c r="M37" s="11" t="s">
        <v>40</v>
      </c>
      <c r="N37" s="11" t="s">
        <v>42</v>
      </c>
      <c r="O37" s="9"/>
      <c r="P37" t="str">
        <f t="shared" si="0"/>
        <v/>
      </c>
    </row>
    <row r="38" spans="1:16" ht="34.049999999999997" customHeight="1" x14ac:dyDescent="0.25">
      <c r="A38" s="5" t="s">
        <v>220</v>
      </c>
      <c r="B38" s="5" t="s">
        <v>92</v>
      </c>
      <c r="C38" s="7" t="s">
        <v>93</v>
      </c>
      <c r="D38" s="7" t="s">
        <v>458</v>
      </c>
      <c r="E38" s="7" t="s">
        <v>367</v>
      </c>
      <c r="F38" s="7" t="s">
        <v>368</v>
      </c>
      <c r="G38" s="7" t="s">
        <v>369</v>
      </c>
      <c r="H38" s="7" t="s">
        <v>370</v>
      </c>
      <c r="I38" s="7" t="s">
        <v>371</v>
      </c>
      <c r="J38" s="11" t="s">
        <v>28</v>
      </c>
      <c r="K38" s="11" t="s">
        <v>30</v>
      </c>
      <c r="L38" s="11" t="s">
        <v>32</v>
      </c>
      <c r="M38" s="11" t="s">
        <v>40</v>
      </c>
      <c r="N38" s="11" t="s">
        <v>42</v>
      </c>
      <c r="O38" s="9"/>
      <c r="P38" t="str">
        <f t="shared" si="0"/>
        <v/>
      </c>
    </row>
    <row r="39" spans="1:16" ht="34.049999999999997" customHeight="1" x14ac:dyDescent="0.25">
      <c r="A39" s="5" t="s">
        <v>220</v>
      </c>
      <c r="B39" s="5" t="s">
        <v>100</v>
      </c>
      <c r="C39" s="7" t="s">
        <v>101</v>
      </c>
      <c r="D39" s="7" t="s">
        <v>459</v>
      </c>
      <c r="E39" s="7" t="s">
        <v>372</v>
      </c>
      <c r="F39" s="7" t="s">
        <v>373</v>
      </c>
      <c r="G39" s="7" t="s">
        <v>374</v>
      </c>
      <c r="H39" s="7" t="s">
        <v>375</v>
      </c>
      <c r="I39" s="7" t="s">
        <v>376</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109</v>
      </c>
      <c r="D40" s="7" t="s">
        <v>224</v>
      </c>
      <c r="E40" s="7" t="s">
        <v>377</v>
      </c>
      <c r="F40" s="7" t="s">
        <v>378</v>
      </c>
      <c r="G40" s="7" t="s">
        <v>379</v>
      </c>
      <c r="H40" s="7" t="s">
        <v>380</v>
      </c>
      <c r="I40" s="7" t="s">
        <v>381</v>
      </c>
      <c r="J40" s="11" t="s">
        <v>28</v>
      </c>
      <c r="K40" s="11" t="s">
        <v>36</v>
      </c>
      <c r="L40" s="11" t="s">
        <v>38</v>
      </c>
      <c r="M40" s="11" t="s">
        <v>40</v>
      </c>
      <c r="N40" s="11" t="s">
        <v>42</v>
      </c>
      <c r="O40" s="9"/>
      <c r="P40" t="str">
        <f t="shared" si="1"/>
        <v/>
      </c>
    </row>
    <row r="41" spans="1:16" ht="34.049999999999997" customHeight="1" x14ac:dyDescent="0.25">
      <c r="A41" s="5" t="s">
        <v>220</v>
      </c>
      <c r="B41" s="5" t="s">
        <v>116</v>
      </c>
      <c r="C41" s="7" t="s">
        <v>382</v>
      </c>
      <c r="D41" s="7" t="s">
        <v>460</v>
      </c>
      <c r="E41" s="7" t="s">
        <v>384</v>
      </c>
      <c r="F41" s="7" t="s">
        <v>385</v>
      </c>
      <c r="G41" s="7" t="s">
        <v>386</v>
      </c>
      <c r="H41" s="7" t="s">
        <v>387</v>
      </c>
      <c r="I41" s="7" t="s">
        <v>388</v>
      </c>
      <c r="J41" s="11" t="s">
        <v>28</v>
      </c>
      <c r="K41" s="11" t="s">
        <v>30</v>
      </c>
      <c r="L41" s="11" t="s">
        <v>32</v>
      </c>
      <c r="M41" s="11" t="s">
        <v>34</v>
      </c>
      <c r="N41" s="11" t="s">
        <v>42</v>
      </c>
      <c r="O41" s="9"/>
      <c r="P41" t="str">
        <f t="shared" si="1"/>
        <v/>
      </c>
    </row>
    <row r="42" spans="1:16" ht="34.049999999999997" customHeight="1" x14ac:dyDescent="0.25">
      <c r="A42" s="5" t="s">
        <v>220</v>
      </c>
      <c r="B42" s="5" t="s">
        <v>124</v>
      </c>
      <c r="C42" s="7" t="s">
        <v>389</v>
      </c>
      <c r="D42" s="7" t="s">
        <v>226</v>
      </c>
      <c r="E42" s="7" t="s">
        <v>391</v>
      </c>
      <c r="F42" s="7" t="s">
        <v>392</v>
      </c>
      <c r="G42" s="7" t="s">
        <v>393</v>
      </c>
      <c r="H42" s="7" t="s">
        <v>394</v>
      </c>
      <c r="I42" s="7" t="s">
        <v>395</v>
      </c>
      <c r="J42" s="11" t="s">
        <v>32</v>
      </c>
      <c r="K42" s="11" t="s">
        <v>34</v>
      </c>
      <c r="L42" s="11" t="s">
        <v>36</v>
      </c>
      <c r="M42" s="11" t="s">
        <v>38</v>
      </c>
      <c r="N42" s="11" t="s">
        <v>40</v>
      </c>
      <c r="O42" s="9"/>
      <c r="P42" t="str">
        <f t="shared" si="1"/>
        <v/>
      </c>
    </row>
    <row r="43" spans="1:16" ht="34.049999999999997" customHeight="1" x14ac:dyDescent="0.25">
      <c r="A43" s="5" t="s">
        <v>220</v>
      </c>
      <c r="B43" s="5" t="s">
        <v>132</v>
      </c>
      <c r="C43" s="7" t="s">
        <v>396</v>
      </c>
      <c r="D43" s="7" t="s">
        <v>461</v>
      </c>
      <c r="E43" s="7" t="s">
        <v>398</v>
      </c>
      <c r="F43" s="7" t="s">
        <v>399</v>
      </c>
      <c r="G43" s="7" t="s">
        <v>400</v>
      </c>
      <c r="H43" s="7" t="s">
        <v>401</v>
      </c>
      <c r="I43" s="7" t="s">
        <v>402</v>
      </c>
      <c r="J43" s="11" t="s">
        <v>28</v>
      </c>
      <c r="K43" s="11" t="s">
        <v>30</v>
      </c>
      <c r="L43" s="11" t="s">
        <v>38</v>
      </c>
      <c r="M43" s="11" t="s">
        <v>40</v>
      </c>
      <c r="N43" s="11" t="s">
        <v>42</v>
      </c>
      <c r="O43" s="9"/>
      <c r="P43" t="str">
        <f t="shared" si="1"/>
        <v/>
      </c>
    </row>
    <row r="44" spans="1:16" ht="34.049999999999997" customHeight="1" x14ac:dyDescent="0.25">
      <c r="A44" s="5" t="s">
        <v>220</v>
      </c>
      <c r="B44" s="5" t="s">
        <v>140</v>
      </c>
      <c r="C44" s="7" t="s">
        <v>141</v>
      </c>
      <c r="D44" s="7" t="s">
        <v>462</v>
      </c>
      <c r="E44" s="7" t="s">
        <v>404</v>
      </c>
      <c r="F44" s="7" t="s">
        <v>405</v>
      </c>
      <c r="G44" s="7" t="s">
        <v>406</v>
      </c>
      <c r="H44" s="7" t="s">
        <v>407</v>
      </c>
      <c r="I44" s="7" t="s">
        <v>408</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463</v>
      </c>
      <c r="E45" s="7" t="s">
        <v>410</v>
      </c>
      <c r="F45" s="7" t="s">
        <v>411</v>
      </c>
      <c r="G45" s="7" t="s">
        <v>412</v>
      </c>
      <c r="H45" s="7" t="s">
        <v>413</v>
      </c>
      <c r="I45" s="7" t="s">
        <v>414</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230</v>
      </c>
      <c r="E46" s="7" t="s">
        <v>416</v>
      </c>
      <c r="F46" s="7" t="s">
        <v>417</v>
      </c>
      <c r="G46" s="7" t="s">
        <v>418</v>
      </c>
      <c r="H46" s="7" t="s">
        <v>419</v>
      </c>
      <c r="I46" s="7" t="s">
        <v>420</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464</v>
      </c>
      <c r="E47" s="7" t="s">
        <v>421</v>
      </c>
      <c r="F47" s="7" t="s">
        <v>422</v>
      </c>
      <c r="G47" s="7" t="s">
        <v>423</v>
      </c>
      <c r="H47" s="7" t="s">
        <v>424</v>
      </c>
      <c r="I47" s="7" t="s">
        <v>425</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465</v>
      </c>
      <c r="E48" s="7" t="s">
        <v>427</v>
      </c>
      <c r="F48" s="7" t="s">
        <v>428</v>
      </c>
      <c r="G48" s="7" t="s">
        <v>429</v>
      </c>
      <c r="H48" s="7" t="s">
        <v>430</v>
      </c>
      <c r="I48" s="7" t="s">
        <v>431</v>
      </c>
      <c r="J48" s="11" t="s">
        <v>28</v>
      </c>
      <c r="K48" s="11" t="s">
        <v>36</v>
      </c>
      <c r="L48" s="11" t="s">
        <v>38</v>
      </c>
      <c r="M48" s="11" t="s">
        <v>40</v>
      </c>
      <c r="N48" s="11" t="s">
        <v>42</v>
      </c>
      <c r="O48" s="9"/>
      <c r="P48" t="str">
        <f t="shared" si="1"/>
        <v/>
      </c>
    </row>
    <row r="49" spans="1:16" ht="34.049999999999997" customHeight="1" x14ac:dyDescent="0.25">
      <c r="A49" s="5" t="s">
        <v>220</v>
      </c>
      <c r="B49" s="5" t="s">
        <v>180</v>
      </c>
      <c r="C49" s="7" t="s">
        <v>181</v>
      </c>
      <c r="D49" s="7" t="s">
        <v>233</v>
      </c>
      <c r="E49" s="7" t="s">
        <v>432</v>
      </c>
      <c r="F49" s="7" t="s">
        <v>433</v>
      </c>
      <c r="G49" s="7" t="s">
        <v>434</v>
      </c>
      <c r="H49" s="7" t="s">
        <v>435</v>
      </c>
      <c r="I49" s="7" t="s">
        <v>436</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466</v>
      </c>
      <c r="E50" s="7" t="s">
        <v>438</v>
      </c>
      <c r="F50" s="7" t="s">
        <v>439</v>
      </c>
      <c r="G50" s="7" t="s">
        <v>440</v>
      </c>
      <c r="H50" s="7" t="s">
        <v>441</v>
      </c>
      <c r="I50" s="7" t="s">
        <v>442</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235</v>
      </c>
      <c r="E51" s="7" t="s">
        <v>443</v>
      </c>
      <c r="F51" s="7" t="s">
        <v>444</v>
      </c>
      <c r="G51" s="7" t="s">
        <v>445</v>
      </c>
      <c r="H51" s="7" t="s">
        <v>446</v>
      </c>
      <c r="I51" s="7" t="s">
        <v>447</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237</v>
      </c>
      <c r="E52" s="7" t="s">
        <v>362</v>
      </c>
      <c r="F52" s="7" t="s">
        <v>363</v>
      </c>
      <c r="G52" s="7" t="s">
        <v>364</v>
      </c>
      <c r="H52" s="7" t="s">
        <v>365</v>
      </c>
      <c r="I52" s="7" t="s">
        <v>366</v>
      </c>
      <c r="J52" s="11" t="s">
        <v>34</v>
      </c>
      <c r="K52" s="11" t="s">
        <v>36</v>
      </c>
      <c r="L52" s="11" t="s">
        <v>38</v>
      </c>
      <c r="M52" s="11" t="s">
        <v>40</v>
      </c>
      <c r="N52" s="11" t="s">
        <v>42</v>
      </c>
      <c r="O52" s="9"/>
      <c r="P52" t="str">
        <f t="shared" si="1"/>
        <v/>
      </c>
    </row>
    <row r="53" spans="1:16" ht="34.049999999999997" customHeight="1" x14ac:dyDescent="0.25">
      <c r="A53" s="5" t="s">
        <v>236</v>
      </c>
      <c r="B53" s="5" t="s">
        <v>92</v>
      </c>
      <c r="C53" s="7" t="s">
        <v>93</v>
      </c>
      <c r="D53" s="7" t="s">
        <v>238</v>
      </c>
      <c r="E53" s="7" t="s">
        <v>367</v>
      </c>
      <c r="F53" s="7" t="s">
        <v>368</v>
      </c>
      <c r="G53" s="7" t="s">
        <v>369</v>
      </c>
      <c r="H53" s="7" t="s">
        <v>370</v>
      </c>
      <c r="I53" s="7" t="s">
        <v>371</v>
      </c>
      <c r="J53" s="11" t="s">
        <v>28</v>
      </c>
      <c r="K53" s="11" t="s">
        <v>30</v>
      </c>
      <c r="L53" s="11" t="s">
        <v>32</v>
      </c>
      <c r="M53" s="11" t="s">
        <v>40</v>
      </c>
      <c r="N53" s="11" t="s">
        <v>42</v>
      </c>
      <c r="O53" s="9"/>
      <c r="P53" t="str">
        <f t="shared" si="1"/>
        <v/>
      </c>
    </row>
    <row r="54" spans="1:16" ht="34.049999999999997" customHeight="1" x14ac:dyDescent="0.25">
      <c r="A54" s="5" t="s">
        <v>236</v>
      </c>
      <c r="B54" s="5" t="s">
        <v>100</v>
      </c>
      <c r="C54" s="7" t="s">
        <v>101</v>
      </c>
      <c r="D54" s="7" t="s">
        <v>255</v>
      </c>
      <c r="E54" s="7" t="s">
        <v>372</v>
      </c>
      <c r="F54" s="7" t="s">
        <v>373</v>
      </c>
      <c r="G54" s="7" t="s">
        <v>374</v>
      </c>
      <c r="H54" s="7" t="s">
        <v>375</v>
      </c>
      <c r="I54" s="7" t="s">
        <v>376</v>
      </c>
      <c r="J54" s="11" t="s">
        <v>30</v>
      </c>
      <c r="K54" s="11" t="s">
        <v>32</v>
      </c>
      <c r="L54" s="11" t="s">
        <v>34</v>
      </c>
      <c r="M54" s="11" t="s">
        <v>36</v>
      </c>
      <c r="N54" s="11" t="s">
        <v>38</v>
      </c>
      <c r="O54" s="9"/>
      <c r="P54" t="str">
        <f t="shared" si="1"/>
        <v/>
      </c>
    </row>
    <row r="55" spans="1:16" ht="34.049999999999997" customHeight="1" x14ac:dyDescent="0.25">
      <c r="A55" s="5" t="s">
        <v>236</v>
      </c>
      <c r="B55" s="5" t="s">
        <v>108</v>
      </c>
      <c r="C55" s="7" t="s">
        <v>109</v>
      </c>
      <c r="D55" s="7" t="s">
        <v>240</v>
      </c>
      <c r="E55" s="7" t="s">
        <v>377</v>
      </c>
      <c r="F55" s="7" t="s">
        <v>378</v>
      </c>
      <c r="G55" s="7" t="s">
        <v>379</v>
      </c>
      <c r="H55" s="7" t="s">
        <v>380</v>
      </c>
      <c r="I55" s="7" t="s">
        <v>381</v>
      </c>
      <c r="J55" s="11" t="s">
        <v>28</v>
      </c>
      <c r="K55" s="11" t="s">
        <v>36</v>
      </c>
      <c r="L55" s="11" t="s">
        <v>38</v>
      </c>
      <c r="M55" s="11" t="s">
        <v>40</v>
      </c>
      <c r="N55" s="11" t="s">
        <v>42</v>
      </c>
      <c r="O55" s="9"/>
      <c r="P55" t="str">
        <f t="shared" si="1"/>
        <v/>
      </c>
    </row>
    <row r="56" spans="1:16" ht="34.049999999999997" customHeight="1" x14ac:dyDescent="0.25">
      <c r="A56" s="5" t="s">
        <v>236</v>
      </c>
      <c r="B56" s="5" t="s">
        <v>116</v>
      </c>
      <c r="C56" s="7" t="s">
        <v>382</v>
      </c>
      <c r="D56" s="7" t="s">
        <v>241</v>
      </c>
      <c r="E56" s="7" t="s">
        <v>384</v>
      </c>
      <c r="F56" s="7" t="s">
        <v>385</v>
      </c>
      <c r="G56" s="7" t="s">
        <v>386</v>
      </c>
      <c r="H56" s="7" t="s">
        <v>387</v>
      </c>
      <c r="I56" s="7" t="s">
        <v>388</v>
      </c>
      <c r="J56" s="11" t="s">
        <v>28</v>
      </c>
      <c r="K56" s="11" t="s">
        <v>30</v>
      </c>
      <c r="L56" s="11" t="s">
        <v>32</v>
      </c>
      <c r="M56" s="11" t="s">
        <v>34</v>
      </c>
      <c r="N56" s="11" t="s">
        <v>42</v>
      </c>
      <c r="O56" s="9"/>
      <c r="P56" t="str">
        <f t="shared" si="1"/>
        <v/>
      </c>
    </row>
    <row r="57" spans="1:16" ht="34.049999999999997" customHeight="1" x14ac:dyDescent="0.25">
      <c r="A57" s="5" t="s">
        <v>236</v>
      </c>
      <c r="B57" s="5" t="s">
        <v>124</v>
      </c>
      <c r="C57" s="7" t="s">
        <v>389</v>
      </c>
      <c r="D57" s="7" t="s">
        <v>467</v>
      </c>
      <c r="E57" s="7" t="s">
        <v>391</v>
      </c>
      <c r="F57" s="7" t="s">
        <v>392</v>
      </c>
      <c r="G57" s="7" t="s">
        <v>393</v>
      </c>
      <c r="H57" s="7" t="s">
        <v>394</v>
      </c>
      <c r="I57" s="7" t="s">
        <v>395</v>
      </c>
      <c r="J57" s="11" t="s">
        <v>32</v>
      </c>
      <c r="K57" s="11" t="s">
        <v>34</v>
      </c>
      <c r="L57" s="11" t="s">
        <v>36</v>
      </c>
      <c r="M57" s="11" t="s">
        <v>38</v>
      </c>
      <c r="N57" s="11" t="s">
        <v>40</v>
      </c>
      <c r="O57" s="9"/>
      <c r="P57" t="str">
        <f t="shared" si="1"/>
        <v/>
      </c>
    </row>
    <row r="58" spans="1:16" ht="34.049999999999997" customHeight="1" x14ac:dyDescent="0.25">
      <c r="A58" s="5" t="s">
        <v>236</v>
      </c>
      <c r="B58" s="5" t="s">
        <v>132</v>
      </c>
      <c r="C58" s="7" t="s">
        <v>396</v>
      </c>
      <c r="D58" s="7" t="s">
        <v>468</v>
      </c>
      <c r="E58" s="7" t="s">
        <v>398</v>
      </c>
      <c r="F58" s="7" t="s">
        <v>399</v>
      </c>
      <c r="G58" s="7" t="s">
        <v>400</v>
      </c>
      <c r="H58" s="7" t="s">
        <v>401</v>
      </c>
      <c r="I58" s="7" t="s">
        <v>402</v>
      </c>
      <c r="J58" s="11" t="s">
        <v>28</v>
      </c>
      <c r="K58" s="11" t="s">
        <v>30</v>
      </c>
      <c r="L58" s="11" t="s">
        <v>38</v>
      </c>
      <c r="M58" s="11" t="s">
        <v>40</v>
      </c>
      <c r="N58" s="11" t="s">
        <v>42</v>
      </c>
      <c r="O58" s="9"/>
      <c r="P58" t="str">
        <f t="shared" si="1"/>
        <v/>
      </c>
    </row>
    <row r="59" spans="1:16" ht="34.049999999999997" customHeight="1" x14ac:dyDescent="0.25">
      <c r="A59" s="5" t="s">
        <v>236</v>
      </c>
      <c r="B59" s="5" t="s">
        <v>140</v>
      </c>
      <c r="C59" s="7" t="s">
        <v>141</v>
      </c>
      <c r="D59" s="7" t="s">
        <v>244</v>
      </c>
      <c r="E59" s="7" t="s">
        <v>404</v>
      </c>
      <c r="F59" s="7" t="s">
        <v>405</v>
      </c>
      <c r="G59" s="7" t="s">
        <v>406</v>
      </c>
      <c r="H59" s="7" t="s">
        <v>407</v>
      </c>
      <c r="I59" s="7" t="s">
        <v>408</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469</v>
      </c>
      <c r="E60" s="7" t="s">
        <v>410</v>
      </c>
      <c r="F60" s="7" t="s">
        <v>411</v>
      </c>
      <c r="G60" s="7" t="s">
        <v>412</v>
      </c>
      <c r="H60" s="7" t="s">
        <v>413</v>
      </c>
      <c r="I60" s="7" t="s">
        <v>414</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470</v>
      </c>
      <c r="E61" s="7" t="s">
        <v>416</v>
      </c>
      <c r="F61" s="7" t="s">
        <v>417</v>
      </c>
      <c r="G61" s="7" t="s">
        <v>418</v>
      </c>
      <c r="H61" s="7" t="s">
        <v>419</v>
      </c>
      <c r="I61" s="7" t="s">
        <v>420</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247</v>
      </c>
      <c r="E62" s="7" t="s">
        <v>421</v>
      </c>
      <c r="F62" s="7" t="s">
        <v>422</v>
      </c>
      <c r="G62" s="7" t="s">
        <v>423</v>
      </c>
      <c r="H62" s="7" t="s">
        <v>424</v>
      </c>
      <c r="I62" s="7" t="s">
        <v>425</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471</v>
      </c>
      <c r="E63" s="7" t="s">
        <v>427</v>
      </c>
      <c r="F63" s="7" t="s">
        <v>428</v>
      </c>
      <c r="G63" s="7" t="s">
        <v>429</v>
      </c>
      <c r="H63" s="7" t="s">
        <v>430</v>
      </c>
      <c r="I63" s="7" t="s">
        <v>431</v>
      </c>
      <c r="J63" s="11" t="s">
        <v>28</v>
      </c>
      <c r="K63" s="11" t="s">
        <v>36</v>
      </c>
      <c r="L63" s="11" t="s">
        <v>38</v>
      </c>
      <c r="M63" s="11" t="s">
        <v>40</v>
      </c>
      <c r="N63" s="11" t="s">
        <v>42</v>
      </c>
      <c r="O63" s="9"/>
      <c r="P63" t="str">
        <f t="shared" si="1"/>
        <v/>
      </c>
    </row>
    <row r="64" spans="1:16" ht="34.049999999999997" customHeight="1" x14ac:dyDescent="0.25">
      <c r="A64" s="5" t="s">
        <v>236</v>
      </c>
      <c r="B64" s="5" t="s">
        <v>180</v>
      </c>
      <c r="C64" s="7" t="s">
        <v>181</v>
      </c>
      <c r="D64" s="7" t="s">
        <v>472</v>
      </c>
      <c r="E64" s="7" t="s">
        <v>432</v>
      </c>
      <c r="F64" s="7" t="s">
        <v>433</v>
      </c>
      <c r="G64" s="7" t="s">
        <v>434</v>
      </c>
      <c r="H64" s="7" t="s">
        <v>435</v>
      </c>
      <c r="I64" s="7" t="s">
        <v>436</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473</v>
      </c>
      <c r="E65" s="7" t="s">
        <v>438</v>
      </c>
      <c r="F65" s="7" t="s">
        <v>439</v>
      </c>
      <c r="G65" s="7" t="s">
        <v>440</v>
      </c>
      <c r="H65" s="7" t="s">
        <v>441</v>
      </c>
      <c r="I65" s="7" t="s">
        <v>442</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251</v>
      </c>
      <c r="E66" s="7" t="s">
        <v>443</v>
      </c>
      <c r="F66" s="7" t="s">
        <v>444</v>
      </c>
      <c r="G66" s="7" t="s">
        <v>445</v>
      </c>
      <c r="H66" s="7" t="s">
        <v>446</v>
      </c>
      <c r="I66" s="7" t="s">
        <v>447</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474</v>
      </c>
      <c r="E67" s="7" t="s">
        <v>362</v>
      </c>
      <c r="F67" s="7" t="s">
        <v>363</v>
      </c>
      <c r="G67" s="7" t="s">
        <v>364</v>
      </c>
      <c r="H67" s="7" t="s">
        <v>365</v>
      </c>
      <c r="I67" s="7" t="s">
        <v>366</v>
      </c>
      <c r="J67" s="11" t="s">
        <v>34</v>
      </c>
      <c r="K67" s="11" t="s">
        <v>36</v>
      </c>
      <c r="L67" s="11" t="s">
        <v>38</v>
      </c>
      <c r="M67" s="11" t="s">
        <v>40</v>
      </c>
      <c r="N67" s="11" t="s">
        <v>42</v>
      </c>
      <c r="O67" s="9"/>
      <c r="P67" t="str">
        <f t="shared" si="1"/>
        <v/>
      </c>
    </row>
    <row r="68" spans="1:16" ht="34.049999999999997" customHeight="1" x14ac:dyDescent="0.25">
      <c r="A68" s="5" t="s">
        <v>252</v>
      </c>
      <c r="B68" s="5" t="s">
        <v>92</v>
      </c>
      <c r="C68" s="7" t="s">
        <v>93</v>
      </c>
      <c r="D68" s="7" t="s">
        <v>254</v>
      </c>
      <c r="E68" s="7" t="s">
        <v>367</v>
      </c>
      <c r="F68" s="7" t="s">
        <v>368</v>
      </c>
      <c r="G68" s="7" t="s">
        <v>369</v>
      </c>
      <c r="H68" s="7" t="s">
        <v>370</v>
      </c>
      <c r="I68" s="7" t="s">
        <v>371</v>
      </c>
      <c r="J68" s="11" t="s">
        <v>28</v>
      </c>
      <c r="K68" s="11" t="s">
        <v>30</v>
      </c>
      <c r="L68" s="11" t="s">
        <v>32</v>
      </c>
      <c r="M68" s="11" t="s">
        <v>40</v>
      </c>
      <c r="N68" s="11" t="s">
        <v>42</v>
      </c>
      <c r="O68" s="9"/>
      <c r="P68" t="str">
        <f t="shared" si="1"/>
        <v/>
      </c>
    </row>
    <row r="69" spans="1:16" ht="34.049999999999997" customHeight="1" x14ac:dyDescent="0.25">
      <c r="A69" s="5" t="s">
        <v>252</v>
      </c>
      <c r="B69" s="5" t="s">
        <v>100</v>
      </c>
      <c r="C69" s="7" t="s">
        <v>101</v>
      </c>
      <c r="D69" s="7" t="s">
        <v>271</v>
      </c>
      <c r="E69" s="7" t="s">
        <v>372</v>
      </c>
      <c r="F69" s="7" t="s">
        <v>373</v>
      </c>
      <c r="G69" s="7" t="s">
        <v>374</v>
      </c>
      <c r="H69" s="7" t="s">
        <v>375</v>
      </c>
      <c r="I69" s="7" t="s">
        <v>376</v>
      </c>
      <c r="J69" s="11" t="s">
        <v>30</v>
      </c>
      <c r="K69" s="11" t="s">
        <v>32</v>
      </c>
      <c r="L69" s="11" t="s">
        <v>34</v>
      </c>
      <c r="M69" s="11" t="s">
        <v>36</v>
      </c>
      <c r="N69" s="11" t="s">
        <v>38</v>
      </c>
      <c r="O69" s="9"/>
      <c r="P69" t="str">
        <f t="shared" si="1"/>
        <v/>
      </c>
    </row>
    <row r="70" spans="1:16" ht="34.049999999999997" customHeight="1" x14ac:dyDescent="0.25">
      <c r="A70" s="5" t="s">
        <v>252</v>
      </c>
      <c r="B70" s="5" t="s">
        <v>108</v>
      </c>
      <c r="C70" s="7" t="s">
        <v>109</v>
      </c>
      <c r="D70" s="7" t="s">
        <v>475</v>
      </c>
      <c r="E70" s="7" t="s">
        <v>377</v>
      </c>
      <c r="F70" s="7" t="s">
        <v>378</v>
      </c>
      <c r="G70" s="7" t="s">
        <v>379</v>
      </c>
      <c r="H70" s="7" t="s">
        <v>380</v>
      </c>
      <c r="I70" s="7" t="s">
        <v>381</v>
      </c>
      <c r="J70" s="11" t="s">
        <v>28</v>
      </c>
      <c r="K70" s="11" t="s">
        <v>36</v>
      </c>
      <c r="L70" s="11" t="s">
        <v>38</v>
      </c>
      <c r="M70" s="11" t="s">
        <v>40</v>
      </c>
      <c r="N70" s="11" t="s">
        <v>42</v>
      </c>
      <c r="O70" s="9"/>
      <c r="P70" t="str">
        <f t="shared" si="1"/>
        <v/>
      </c>
    </row>
    <row r="71" spans="1:16" ht="34.049999999999997" customHeight="1" x14ac:dyDescent="0.25">
      <c r="A71" s="5" t="s">
        <v>252</v>
      </c>
      <c r="B71" s="5" t="s">
        <v>116</v>
      </c>
      <c r="C71" s="7" t="s">
        <v>382</v>
      </c>
      <c r="D71" s="7" t="s">
        <v>476</v>
      </c>
      <c r="E71" s="7" t="s">
        <v>384</v>
      </c>
      <c r="F71" s="7" t="s">
        <v>385</v>
      </c>
      <c r="G71" s="7" t="s">
        <v>386</v>
      </c>
      <c r="H71" s="7" t="s">
        <v>387</v>
      </c>
      <c r="I71" s="7" t="s">
        <v>388</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389</v>
      </c>
      <c r="D72" s="7" t="s">
        <v>477</v>
      </c>
      <c r="E72" s="7" t="s">
        <v>391</v>
      </c>
      <c r="F72" s="7" t="s">
        <v>392</v>
      </c>
      <c r="G72" s="7" t="s">
        <v>393</v>
      </c>
      <c r="H72" s="7" t="s">
        <v>394</v>
      </c>
      <c r="I72" s="7" t="s">
        <v>395</v>
      </c>
      <c r="J72" s="11" t="s">
        <v>32</v>
      </c>
      <c r="K72" s="11" t="s">
        <v>34</v>
      </c>
      <c r="L72" s="11" t="s">
        <v>36</v>
      </c>
      <c r="M72" s="11" t="s">
        <v>38</v>
      </c>
      <c r="N72" s="11" t="s">
        <v>40</v>
      </c>
      <c r="O72" s="9"/>
      <c r="P72" t="str">
        <f t="shared" si="2"/>
        <v/>
      </c>
    </row>
    <row r="73" spans="1:16" ht="34.049999999999997" customHeight="1" x14ac:dyDescent="0.25">
      <c r="A73" s="5" t="s">
        <v>252</v>
      </c>
      <c r="B73" s="5" t="s">
        <v>132</v>
      </c>
      <c r="C73" s="7" t="s">
        <v>396</v>
      </c>
      <c r="D73" s="7" t="s">
        <v>478</v>
      </c>
      <c r="E73" s="7" t="s">
        <v>398</v>
      </c>
      <c r="F73" s="7" t="s">
        <v>399</v>
      </c>
      <c r="G73" s="7" t="s">
        <v>400</v>
      </c>
      <c r="H73" s="7" t="s">
        <v>401</v>
      </c>
      <c r="I73" s="7" t="s">
        <v>402</v>
      </c>
      <c r="J73" s="11" t="s">
        <v>28</v>
      </c>
      <c r="K73" s="11" t="s">
        <v>30</v>
      </c>
      <c r="L73" s="11" t="s">
        <v>38</v>
      </c>
      <c r="M73" s="11" t="s">
        <v>40</v>
      </c>
      <c r="N73" s="11" t="s">
        <v>42</v>
      </c>
      <c r="O73" s="9"/>
      <c r="P73" t="str">
        <f t="shared" si="2"/>
        <v/>
      </c>
    </row>
    <row r="74" spans="1:16" ht="34.049999999999997" customHeight="1" x14ac:dyDescent="0.25">
      <c r="A74" s="5" t="s">
        <v>252</v>
      </c>
      <c r="B74" s="5" t="s">
        <v>140</v>
      </c>
      <c r="C74" s="7" t="s">
        <v>141</v>
      </c>
      <c r="D74" s="7" t="s">
        <v>260</v>
      </c>
      <c r="E74" s="7" t="s">
        <v>404</v>
      </c>
      <c r="F74" s="7" t="s">
        <v>405</v>
      </c>
      <c r="G74" s="7" t="s">
        <v>406</v>
      </c>
      <c r="H74" s="7" t="s">
        <v>407</v>
      </c>
      <c r="I74" s="7" t="s">
        <v>408</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479</v>
      </c>
      <c r="E75" s="7" t="s">
        <v>410</v>
      </c>
      <c r="F75" s="7" t="s">
        <v>411</v>
      </c>
      <c r="G75" s="7" t="s">
        <v>412</v>
      </c>
      <c r="H75" s="7" t="s">
        <v>413</v>
      </c>
      <c r="I75" s="7" t="s">
        <v>414</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480</v>
      </c>
      <c r="E76" s="7" t="s">
        <v>416</v>
      </c>
      <c r="F76" s="7" t="s">
        <v>417</v>
      </c>
      <c r="G76" s="7" t="s">
        <v>418</v>
      </c>
      <c r="H76" s="7" t="s">
        <v>419</v>
      </c>
      <c r="I76" s="7" t="s">
        <v>420</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263</v>
      </c>
      <c r="E77" s="7" t="s">
        <v>421</v>
      </c>
      <c r="F77" s="7" t="s">
        <v>422</v>
      </c>
      <c r="G77" s="7" t="s">
        <v>423</v>
      </c>
      <c r="H77" s="7" t="s">
        <v>424</v>
      </c>
      <c r="I77" s="7" t="s">
        <v>425</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481</v>
      </c>
      <c r="E78" s="7" t="s">
        <v>427</v>
      </c>
      <c r="F78" s="7" t="s">
        <v>428</v>
      </c>
      <c r="G78" s="7" t="s">
        <v>429</v>
      </c>
      <c r="H78" s="7" t="s">
        <v>430</v>
      </c>
      <c r="I78" s="7" t="s">
        <v>431</v>
      </c>
      <c r="J78" s="11" t="s">
        <v>28</v>
      </c>
      <c r="K78" s="11" t="s">
        <v>36</v>
      </c>
      <c r="L78" s="11" t="s">
        <v>38</v>
      </c>
      <c r="M78" s="11" t="s">
        <v>40</v>
      </c>
      <c r="N78" s="11" t="s">
        <v>42</v>
      </c>
      <c r="O78" s="9"/>
      <c r="P78" t="str">
        <f t="shared" si="2"/>
        <v/>
      </c>
    </row>
    <row r="79" spans="1:16" ht="34.049999999999997" customHeight="1" x14ac:dyDescent="0.25">
      <c r="A79" s="5" t="s">
        <v>252</v>
      </c>
      <c r="B79" s="5" t="s">
        <v>180</v>
      </c>
      <c r="C79" s="7" t="s">
        <v>181</v>
      </c>
      <c r="D79" s="7" t="s">
        <v>265</v>
      </c>
      <c r="E79" s="7" t="s">
        <v>432</v>
      </c>
      <c r="F79" s="7" t="s">
        <v>433</v>
      </c>
      <c r="G79" s="7" t="s">
        <v>434</v>
      </c>
      <c r="H79" s="7" t="s">
        <v>435</v>
      </c>
      <c r="I79" s="7" t="s">
        <v>436</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482</v>
      </c>
      <c r="E80" s="7" t="s">
        <v>438</v>
      </c>
      <c r="F80" s="7" t="s">
        <v>439</v>
      </c>
      <c r="G80" s="7" t="s">
        <v>440</v>
      </c>
      <c r="H80" s="7" t="s">
        <v>441</v>
      </c>
      <c r="I80" s="7" t="s">
        <v>442</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267</v>
      </c>
      <c r="E81" s="7" t="s">
        <v>443</v>
      </c>
      <c r="F81" s="7" t="s">
        <v>444</v>
      </c>
      <c r="G81" s="7" t="s">
        <v>445</v>
      </c>
      <c r="H81" s="7" t="s">
        <v>446</v>
      </c>
      <c r="I81" s="7" t="s">
        <v>447</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269</v>
      </c>
      <c r="E82" s="7" t="s">
        <v>362</v>
      </c>
      <c r="F82" s="7" t="s">
        <v>363</v>
      </c>
      <c r="G82" s="7" t="s">
        <v>364</v>
      </c>
      <c r="H82" s="7" t="s">
        <v>365</v>
      </c>
      <c r="I82" s="7" t="s">
        <v>366</v>
      </c>
      <c r="J82" s="11" t="s">
        <v>34</v>
      </c>
      <c r="K82" s="11" t="s">
        <v>36</v>
      </c>
      <c r="L82" s="11" t="s">
        <v>38</v>
      </c>
      <c r="M82" s="11" t="s">
        <v>40</v>
      </c>
      <c r="N82" s="11" t="s">
        <v>42</v>
      </c>
      <c r="O82" s="9"/>
      <c r="P82" t="str">
        <f t="shared" si="2"/>
        <v/>
      </c>
    </row>
    <row r="83" spans="1:16" ht="34.049999999999997" customHeight="1" x14ac:dyDescent="0.25">
      <c r="A83" s="5" t="s">
        <v>268</v>
      </c>
      <c r="B83" s="5" t="s">
        <v>92</v>
      </c>
      <c r="C83" s="7" t="s">
        <v>93</v>
      </c>
      <c r="D83" s="7" t="s">
        <v>270</v>
      </c>
      <c r="E83" s="7" t="s">
        <v>367</v>
      </c>
      <c r="F83" s="7" t="s">
        <v>368</v>
      </c>
      <c r="G83" s="7" t="s">
        <v>369</v>
      </c>
      <c r="H83" s="7" t="s">
        <v>370</v>
      </c>
      <c r="I83" s="7" t="s">
        <v>371</v>
      </c>
      <c r="J83" s="11" t="s">
        <v>28</v>
      </c>
      <c r="K83" s="11" t="s">
        <v>30</v>
      </c>
      <c r="L83" s="11" t="s">
        <v>32</v>
      </c>
      <c r="M83" s="11" t="s">
        <v>40</v>
      </c>
      <c r="N83" s="11" t="s">
        <v>42</v>
      </c>
      <c r="O83" s="9"/>
      <c r="P83" t="str">
        <f t="shared" si="2"/>
        <v/>
      </c>
    </row>
    <row r="84" spans="1:16" ht="34.049999999999997" customHeight="1" x14ac:dyDescent="0.25">
      <c r="A84" s="5" t="s">
        <v>268</v>
      </c>
      <c r="B84" s="5" t="s">
        <v>100</v>
      </c>
      <c r="C84" s="7" t="s">
        <v>101</v>
      </c>
      <c r="D84" s="7" t="s">
        <v>483</v>
      </c>
      <c r="E84" s="7" t="s">
        <v>372</v>
      </c>
      <c r="F84" s="7" t="s">
        <v>373</v>
      </c>
      <c r="G84" s="7" t="s">
        <v>374</v>
      </c>
      <c r="H84" s="7" t="s">
        <v>375</v>
      </c>
      <c r="I84" s="7" t="s">
        <v>376</v>
      </c>
      <c r="J84" s="11" t="s">
        <v>30</v>
      </c>
      <c r="K84" s="11" t="s">
        <v>32</v>
      </c>
      <c r="L84" s="11" t="s">
        <v>34</v>
      </c>
      <c r="M84" s="11" t="s">
        <v>36</v>
      </c>
      <c r="N84" s="11" t="s">
        <v>38</v>
      </c>
      <c r="O84" s="9"/>
      <c r="P84" t="str">
        <f t="shared" si="2"/>
        <v/>
      </c>
    </row>
    <row r="85" spans="1:16" ht="34.049999999999997" customHeight="1" x14ac:dyDescent="0.25">
      <c r="A85" s="5" t="s">
        <v>268</v>
      </c>
      <c r="B85" s="5" t="s">
        <v>108</v>
      </c>
      <c r="C85" s="7" t="s">
        <v>109</v>
      </c>
      <c r="D85" s="7" t="s">
        <v>484</v>
      </c>
      <c r="E85" s="7" t="s">
        <v>377</v>
      </c>
      <c r="F85" s="7" t="s">
        <v>378</v>
      </c>
      <c r="G85" s="7" t="s">
        <v>379</v>
      </c>
      <c r="H85" s="7" t="s">
        <v>380</v>
      </c>
      <c r="I85" s="7" t="s">
        <v>381</v>
      </c>
      <c r="J85" s="11" t="s">
        <v>28</v>
      </c>
      <c r="K85" s="11" t="s">
        <v>36</v>
      </c>
      <c r="L85" s="11" t="s">
        <v>38</v>
      </c>
      <c r="M85" s="11" t="s">
        <v>40</v>
      </c>
      <c r="N85" s="11" t="s">
        <v>42</v>
      </c>
      <c r="O85" s="9"/>
      <c r="P85" t="str">
        <f t="shared" si="2"/>
        <v/>
      </c>
    </row>
    <row r="86" spans="1:16" ht="34.049999999999997" customHeight="1" x14ac:dyDescent="0.25">
      <c r="A86" s="5" t="s">
        <v>268</v>
      </c>
      <c r="B86" s="5" t="s">
        <v>116</v>
      </c>
      <c r="C86" s="7" t="s">
        <v>382</v>
      </c>
      <c r="D86" s="7" t="s">
        <v>273</v>
      </c>
      <c r="E86" s="7" t="s">
        <v>384</v>
      </c>
      <c r="F86" s="7" t="s">
        <v>385</v>
      </c>
      <c r="G86" s="7" t="s">
        <v>386</v>
      </c>
      <c r="H86" s="7" t="s">
        <v>387</v>
      </c>
      <c r="I86" s="7" t="s">
        <v>388</v>
      </c>
      <c r="J86" s="11" t="s">
        <v>28</v>
      </c>
      <c r="K86" s="11" t="s">
        <v>30</v>
      </c>
      <c r="L86" s="11" t="s">
        <v>32</v>
      </c>
      <c r="M86" s="11" t="s">
        <v>34</v>
      </c>
      <c r="N86" s="11" t="s">
        <v>42</v>
      </c>
      <c r="O86" s="9"/>
      <c r="P86" t="str">
        <f t="shared" si="2"/>
        <v/>
      </c>
    </row>
    <row r="87" spans="1:16" ht="34.049999999999997" customHeight="1" x14ac:dyDescent="0.25">
      <c r="A87" s="5" t="s">
        <v>268</v>
      </c>
      <c r="B87" s="5" t="s">
        <v>124</v>
      </c>
      <c r="C87" s="7" t="s">
        <v>389</v>
      </c>
      <c r="D87" s="7" t="s">
        <v>485</v>
      </c>
      <c r="E87" s="7" t="s">
        <v>391</v>
      </c>
      <c r="F87" s="7" t="s">
        <v>392</v>
      </c>
      <c r="G87" s="7" t="s">
        <v>393</v>
      </c>
      <c r="H87" s="7" t="s">
        <v>394</v>
      </c>
      <c r="I87" s="7" t="s">
        <v>395</v>
      </c>
      <c r="J87" s="11" t="s">
        <v>32</v>
      </c>
      <c r="K87" s="11" t="s">
        <v>34</v>
      </c>
      <c r="L87" s="11" t="s">
        <v>36</v>
      </c>
      <c r="M87" s="11" t="s">
        <v>38</v>
      </c>
      <c r="N87" s="11" t="s">
        <v>40</v>
      </c>
      <c r="O87" s="9"/>
      <c r="P87" t="str">
        <f t="shared" si="2"/>
        <v/>
      </c>
    </row>
    <row r="88" spans="1:16" ht="34.049999999999997" customHeight="1" x14ac:dyDescent="0.25">
      <c r="A88" s="5" t="s">
        <v>268</v>
      </c>
      <c r="B88" s="5" t="s">
        <v>132</v>
      </c>
      <c r="C88" s="7" t="s">
        <v>396</v>
      </c>
      <c r="D88" s="7" t="s">
        <v>486</v>
      </c>
      <c r="E88" s="7" t="s">
        <v>398</v>
      </c>
      <c r="F88" s="7" t="s">
        <v>399</v>
      </c>
      <c r="G88" s="7" t="s">
        <v>400</v>
      </c>
      <c r="H88" s="7" t="s">
        <v>401</v>
      </c>
      <c r="I88" s="7" t="s">
        <v>402</v>
      </c>
      <c r="J88" s="11" t="s">
        <v>28</v>
      </c>
      <c r="K88" s="11" t="s">
        <v>30</v>
      </c>
      <c r="L88" s="11" t="s">
        <v>38</v>
      </c>
      <c r="M88" s="11" t="s">
        <v>40</v>
      </c>
      <c r="N88" s="11" t="s">
        <v>42</v>
      </c>
      <c r="O88" s="9"/>
      <c r="P88" t="str">
        <f t="shared" si="2"/>
        <v/>
      </c>
    </row>
    <row r="89" spans="1:16" ht="34.049999999999997" customHeight="1" x14ac:dyDescent="0.25">
      <c r="A89" s="5" t="s">
        <v>268</v>
      </c>
      <c r="B89" s="5" t="s">
        <v>140</v>
      </c>
      <c r="C89" s="7" t="s">
        <v>141</v>
      </c>
      <c r="D89" s="7" t="s">
        <v>276</v>
      </c>
      <c r="E89" s="7" t="s">
        <v>404</v>
      </c>
      <c r="F89" s="7" t="s">
        <v>405</v>
      </c>
      <c r="G89" s="7" t="s">
        <v>406</v>
      </c>
      <c r="H89" s="7" t="s">
        <v>407</v>
      </c>
      <c r="I89" s="7" t="s">
        <v>408</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487</v>
      </c>
      <c r="E90" s="7" t="s">
        <v>410</v>
      </c>
      <c r="F90" s="7" t="s">
        <v>411</v>
      </c>
      <c r="G90" s="7" t="s">
        <v>412</v>
      </c>
      <c r="H90" s="7" t="s">
        <v>413</v>
      </c>
      <c r="I90" s="7" t="s">
        <v>414</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278</v>
      </c>
      <c r="E91" s="7" t="s">
        <v>416</v>
      </c>
      <c r="F91" s="7" t="s">
        <v>417</v>
      </c>
      <c r="G91" s="7" t="s">
        <v>418</v>
      </c>
      <c r="H91" s="7" t="s">
        <v>419</v>
      </c>
      <c r="I91" s="7" t="s">
        <v>420</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279</v>
      </c>
      <c r="E92" s="7" t="s">
        <v>421</v>
      </c>
      <c r="F92" s="7" t="s">
        <v>422</v>
      </c>
      <c r="G92" s="7" t="s">
        <v>423</v>
      </c>
      <c r="H92" s="7" t="s">
        <v>424</v>
      </c>
      <c r="I92" s="7" t="s">
        <v>425</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488</v>
      </c>
      <c r="E93" s="7" t="s">
        <v>427</v>
      </c>
      <c r="F93" s="7" t="s">
        <v>428</v>
      </c>
      <c r="G93" s="7" t="s">
        <v>429</v>
      </c>
      <c r="H93" s="7" t="s">
        <v>430</v>
      </c>
      <c r="I93" s="7" t="s">
        <v>431</v>
      </c>
      <c r="J93" s="11" t="s">
        <v>28</v>
      </c>
      <c r="K93" s="11" t="s">
        <v>36</v>
      </c>
      <c r="L93" s="11" t="s">
        <v>38</v>
      </c>
      <c r="M93" s="11" t="s">
        <v>40</v>
      </c>
      <c r="N93" s="11" t="s">
        <v>42</v>
      </c>
      <c r="O93" s="9"/>
      <c r="P93" t="str">
        <f t="shared" si="2"/>
        <v/>
      </c>
    </row>
    <row r="94" spans="1:16" ht="34.049999999999997" customHeight="1" x14ac:dyDescent="0.25">
      <c r="A94" s="5" t="s">
        <v>268</v>
      </c>
      <c r="B94" s="5" t="s">
        <v>180</v>
      </c>
      <c r="C94" s="7" t="s">
        <v>181</v>
      </c>
      <c r="D94" s="7" t="s">
        <v>281</v>
      </c>
      <c r="E94" s="7" t="s">
        <v>432</v>
      </c>
      <c r="F94" s="7" t="s">
        <v>433</v>
      </c>
      <c r="G94" s="7" t="s">
        <v>434</v>
      </c>
      <c r="H94" s="7" t="s">
        <v>435</v>
      </c>
      <c r="I94" s="7" t="s">
        <v>436</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489</v>
      </c>
      <c r="E95" s="7" t="s">
        <v>438</v>
      </c>
      <c r="F95" s="7" t="s">
        <v>439</v>
      </c>
      <c r="G95" s="7" t="s">
        <v>440</v>
      </c>
      <c r="H95" s="7" t="s">
        <v>441</v>
      </c>
      <c r="I95" s="7" t="s">
        <v>442</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490</v>
      </c>
      <c r="E96" s="7" t="s">
        <v>443</v>
      </c>
      <c r="F96" s="7" t="s">
        <v>444</v>
      </c>
      <c r="G96" s="7" t="s">
        <v>445</v>
      </c>
      <c r="H96" s="7" t="s">
        <v>446</v>
      </c>
      <c r="I96" s="7" t="s">
        <v>447</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491</v>
      </c>
      <c r="E97" s="7" t="s">
        <v>362</v>
      </c>
      <c r="F97" s="7" t="s">
        <v>363</v>
      </c>
      <c r="G97" s="7" t="s">
        <v>364</v>
      </c>
      <c r="H97" s="7" t="s">
        <v>365</v>
      </c>
      <c r="I97" s="7" t="s">
        <v>366</v>
      </c>
      <c r="J97" s="11" t="s">
        <v>34</v>
      </c>
      <c r="K97" s="11" t="s">
        <v>36</v>
      </c>
      <c r="L97" s="11" t="s">
        <v>38</v>
      </c>
      <c r="M97" s="11" t="s">
        <v>40</v>
      </c>
      <c r="N97" s="11" t="s">
        <v>42</v>
      </c>
      <c r="O97" s="9"/>
      <c r="P97" t="str">
        <f t="shared" si="2"/>
        <v/>
      </c>
    </row>
    <row r="98" spans="1:16" ht="34.049999999999997" customHeight="1" x14ac:dyDescent="0.25">
      <c r="A98" s="5" t="s">
        <v>284</v>
      </c>
      <c r="B98" s="5" t="s">
        <v>92</v>
      </c>
      <c r="C98" s="7" t="s">
        <v>93</v>
      </c>
      <c r="D98" s="7" t="s">
        <v>492</v>
      </c>
      <c r="E98" s="7" t="s">
        <v>367</v>
      </c>
      <c r="F98" s="7" t="s">
        <v>368</v>
      </c>
      <c r="G98" s="7" t="s">
        <v>369</v>
      </c>
      <c r="H98" s="7" t="s">
        <v>370</v>
      </c>
      <c r="I98" s="7" t="s">
        <v>371</v>
      </c>
      <c r="J98" s="11" t="s">
        <v>28</v>
      </c>
      <c r="K98" s="11" t="s">
        <v>30</v>
      </c>
      <c r="L98" s="11" t="s">
        <v>32</v>
      </c>
      <c r="M98" s="11" t="s">
        <v>40</v>
      </c>
      <c r="N98" s="11" t="s">
        <v>42</v>
      </c>
      <c r="O98" s="9"/>
      <c r="P98" t="str">
        <f t="shared" si="2"/>
        <v/>
      </c>
    </row>
    <row r="99" spans="1:16" ht="34.049999999999997" customHeight="1" x14ac:dyDescent="0.25">
      <c r="A99" s="5" t="s">
        <v>284</v>
      </c>
      <c r="B99" s="5" t="s">
        <v>100</v>
      </c>
      <c r="C99" s="7" t="s">
        <v>101</v>
      </c>
      <c r="D99" s="7" t="s">
        <v>493</v>
      </c>
      <c r="E99" s="7" t="s">
        <v>372</v>
      </c>
      <c r="F99" s="7" t="s">
        <v>373</v>
      </c>
      <c r="G99" s="7" t="s">
        <v>374</v>
      </c>
      <c r="H99" s="7" t="s">
        <v>375</v>
      </c>
      <c r="I99" s="7" t="s">
        <v>376</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109</v>
      </c>
      <c r="D100" s="7" t="s">
        <v>494</v>
      </c>
      <c r="E100" s="7" t="s">
        <v>377</v>
      </c>
      <c r="F100" s="7" t="s">
        <v>378</v>
      </c>
      <c r="G100" s="7" t="s">
        <v>379</v>
      </c>
      <c r="H100" s="7" t="s">
        <v>380</v>
      </c>
      <c r="I100" s="7" t="s">
        <v>381</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382</v>
      </c>
      <c r="D101" s="7" t="s">
        <v>495</v>
      </c>
      <c r="E101" s="7" t="s">
        <v>384</v>
      </c>
      <c r="F101" s="7" t="s">
        <v>385</v>
      </c>
      <c r="G101" s="7" t="s">
        <v>386</v>
      </c>
      <c r="H101" s="7" t="s">
        <v>387</v>
      </c>
      <c r="I101" s="7" t="s">
        <v>388</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389</v>
      </c>
      <c r="D102" s="7" t="s">
        <v>496</v>
      </c>
      <c r="E102" s="7" t="s">
        <v>391</v>
      </c>
      <c r="F102" s="7" t="s">
        <v>392</v>
      </c>
      <c r="G102" s="7" t="s">
        <v>393</v>
      </c>
      <c r="H102" s="7" t="s">
        <v>394</v>
      </c>
      <c r="I102" s="7" t="s">
        <v>395</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396</v>
      </c>
      <c r="D103" s="7" t="s">
        <v>497</v>
      </c>
      <c r="E103" s="7" t="s">
        <v>398</v>
      </c>
      <c r="F103" s="7" t="s">
        <v>399</v>
      </c>
      <c r="G103" s="7" t="s">
        <v>400</v>
      </c>
      <c r="H103" s="7" t="s">
        <v>401</v>
      </c>
      <c r="I103" s="7" t="s">
        <v>402</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141</v>
      </c>
      <c r="D104" s="7" t="s">
        <v>498</v>
      </c>
      <c r="E104" s="7" t="s">
        <v>404</v>
      </c>
      <c r="F104" s="7" t="s">
        <v>405</v>
      </c>
      <c r="G104" s="7" t="s">
        <v>406</v>
      </c>
      <c r="H104" s="7" t="s">
        <v>407</v>
      </c>
      <c r="I104" s="7" t="s">
        <v>408</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499</v>
      </c>
      <c r="E105" s="7" t="s">
        <v>410</v>
      </c>
      <c r="F105" s="7" t="s">
        <v>411</v>
      </c>
      <c r="G105" s="7" t="s">
        <v>412</v>
      </c>
      <c r="H105" s="7" t="s">
        <v>413</v>
      </c>
      <c r="I105" s="7" t="s">
        <v>414</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500</v>
      </c>
      <c r="E106" s="7" t="s">
        <v>416</v>
      </c>
      <c r="F106" s="7" t="s">
        <v>417</v>
      </c>
      <c r="G106" s="7" t="s">
        <v>418</v>
      </c>
      <c r="H106" s="7" t="s">
        <v>419</v>
      </c>
      <c r="I106" s="7" t="s">
        <v>420</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501</v>
      </c>
      <c r="E107" s="7" t="s">
        <v>421</v>
      </c>
      <c r="F107" s="7" t="s">
        <v>422</v>
      </c>
      <c r="G107" s="7" t="s">
        <v>423</v>
      </c>
      <c r="H107" s="7" t="s">
        <v>424</v>
      </c>
      <c r="I107" s="7" t="s">
        <v>425</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296</v>
      </c>
      <c r="E108" s="7" t="s">
        <v>427</v>
      </c>
      <c r="F108" s="7" t="s">
        <v>428</v>
      </c>
      <c r="G108" s="7" t="s">
        <v>429</v>
      </c>
      <c r="H108" s="7" t="s">
        <v>430</v>
      </c>
      <c r="I108" s="7" t="s">
        <v>431</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181</v>
      </c>
      <c r="D109" s="7" t="s">
        <v>502</v>
      </c>
      <c r="E109" s="7" t="s">
        <v>432</v>
      </c>
      <c r="F109" s="7" t="s">
        <v>433</v>
      </c>
      <c r="G109" s="7" t="s">
        <v>434</v>
      </c>
      <c r="H109" s="7" t="s">
        <v>435</v>
      </c>
      <c r="I109" s="7" t="s">
        <v>436</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503</v>
      </c>
      <c r="E110" s="7" t="s">
        <v>438</v>
      </c>
      <c r="F110" s="7" t="s">
        <v>439</v>
      </c>
      <c r="G110" s="7" t="s">
        <v>440</v>
      </c>
      <c r="H110" s="7" t="s">
        <v>441</v>
      </c>
      <c r="I110" s="7" t="s">
        <v>442</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299</v>
      </c>
      <c r="E111" s="7" t="s">
        <v>443</v>
      </c>
      <c r="F111" s="7" t="s">
        <v>444</v>
      </c>
      <c r="G111" s="7" t="s">
        <v>445</v>
      </c>
      <c r="H111" s="7" t="s">
        <v>446</v>
      </c>
      <c r="I111" s="7" t="s">
        <v>447</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504</v>
      </c>
      <c r="E112" s="7" t="s">
        <v>362</v>
      </c>
      <c r="F112" s="7" t="s">
        <v>363</v>
      </c>
      <c r="G112" s="7" t="s">
        <v>364</v>
      </c>
      <c r="H112" s="7" t="s">
        <v>365</v>
      </c>
      <c r="I112" s="7" t="s">
        <v>366</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93</v>
      </c>
      <c r="D113" s="7" t="s">
        <v>302</v>
      </c>
      <c r="E113" s="7" t="s">
        <v>367</v>
      </c>
      <c r="F113" s="7" t="s">
        <v>368</v>
      </c>
      <c r="G113" s="7" t="s">
        <v>369</v>
      </c>
      <c r="H113" s="7" t="s">
        <v>370</v>
      </c>
      <c r="I113" s="7" t="s">
        <v>371</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101</v>
      </c>
      <c r="D114" s="7" t="s">
        <v>319</v>
      </c>
      <c r="E114" s="7" t="s">
        <v>372</v>
      </c>
      <c r="F114" s="7" t="s">
        <v>373</v>
      </c>
      <c r="G114" s="7" t="s">
        <v>374</v>
      </c>
      <c r="H114" s="7" t="s">
        <v>375</v>
      </c>
      <c r="I114" s="7" t="s">
        <v>376</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109</v>
      </c>
      <c r="D115" s="7" t="s">
        <v>505</v>
      </c>
      <c r="E115" s="7" t="s">
        <v>377</v>
      </c>
      <c r="F115" s="7" t="s">
        <v>378</v>
      </c>
      <c r="G115" s="7" t="s">
        <v>379</v>
      </c>
      <c r="H115" s="7" t="s">
        <v>380</v>
      </c>
      <c r="I115" s="7" t="s">
        <v>381</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382</v>
      </c>
      <c r="D116" s="7" t="s">
        <v>305</v>
      </c>
      <c r="E116" s="7" t="s">
        <v>384</v>
      </c>
      <c r="F116" s="7" t="s">
        <v>385</v>
      </c>
      <c r="G116" s="7" t="s">
        <v>386</v>
      </c>
      <c r="H116" s="7" t="s">
        <v>387</v>
      </c>
      <c r="I116" s="7" t="s">
        <v>388</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389</v>
      </c>
      <c r="D117" s="7" t="s">
        <v>506</v>
      </c>
      <c r="E117" s="7" t="s">
        <v>391</v>
      </c>
      <c r="F117" s="7" t="s">
        <v>392</v>
      </c>
      <c r="G117" s="7" t="s">
        <v>393</v>
      </c>
      <c r="H117" s="7" t="s">
        <v>394</v>
      </c>
      <c r="I117" s="7" t="s">
        <v>395</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396</v>
      </c>
      <c r="D118" s="7" t="s">
        <v>507</v>
      </c>
      <c r="E118" s="7" t="s">
        <v>398</v>
      </c>
      <c r="F118" s="7" t="s">
        <v>399</v>
      </c>
      <c r="G118" s="7" t="s">
        <v>400</v>
      </c>
      <c r="H118" s="7" t="s">
        <v>401</v>
      </c>
      <c r="I118" s="7" t="s">
        <v>402</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141</v>
      </c>
      <c r="D119" s="7" t="s">
        <v>308</v>
      </c>
      <c r="E119" s="7" t="s">
        <v>404</v>
      </c>
      <c r="F119" s="7" t="s">
        <v>405</v>
      </c>
      <c r="G119" s="7" t="s">
        <v>406</v>
      </c>
      <c r="H119" s="7" t="s">
        <v>407</v>
      </c>
      <c r="I119" s="7" t="s">
        <v>408</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508</v>
      </c>
      <c r="E120" s="7" t="s">
        <v>410</v>
      </c>
      <c r="F120" s="7" t="s">
        <v>411</v>
      </c>
      <c r="G120" s="7" t="s">
        <v>412</v>
      </c>
      <c r="H120" s="7" t="s">
        <v>413</v>
      </c>
      <c r="I120" s="7" t="s">
        <v>414</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310</v>
      </c>
      <c r="E121" s="7" t="s">
        <v>416</v>
      </c>
      <c r="F121" s="7" t="s">
        <v>417</v>
      </c>
      <c r="G121" s="7" t="s">
        <v>418</v>
      </c>
      <c r="H121" s="7" t="s">
        <v>419</v>
      </c>
      <c r="I121" s="7" t="s">
        <v>420</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311</v>
      </c>
      <c r="E122" s="7" t="s">
        <v>421</v>
      </c>
      <c r="F122" s="7" t="s">
        <v>422</v>
      </c>
      <c r="G122" s="7" t="s">
        <v>423</v>
      </c>
      <c r="H122" s="7" t="s">
        <v>424</v>
      </c>
      <c r="I122" s="7" t="s">
        <v>425</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509</v>
      </c>
      <c r="E123" s="7" t="s">
        <v>427</v>
      </c>
      <c r="F123" s="7" t="s">
        <v>428</v>
      </c>
      <c r="G123" s="7" t="s">
        <v>429</v>
      </c>
      <c r="H123" s="7" t="s">
        <v>430</v>
      </c>
      <c r="I123" s="7" t="s">
        <v>431</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181</v>
      </c>
      <c r="D124" s="7" t="s">
        <v>510</v>
      </c>
      <c r="E124" s="7" t="s">
        <v>432</v>
      </c>
      <c r="F124" s="7" t="s">
        <v>433</v>
      </c>
      <c r="G124" s="7" t="s">
        <v>434</v>
      </c>
      <c r="H124" s="7" t="s">
        <v>435</v>
      </c>
      <c r="I124" s="7" t="s">
        <v>436</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511</v>
      </c>
      <c r="E125" s="7" t="s">
        <v>438</v>
      </c>
      <c r="F125" s="7" t="s">
        <v>439</v>
      </c>
      <c r="G125" s="7" t="s">
        <v>440</v>
      </c>
      <c r="H125" s="7" t="s">
        <v>441</v>
      </c>
      <c r="I125" s="7" t="s">
        <v>442</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512</v>
      </c>
      <c r="E126" s="7" t="s">
        <v>443</v>
      </c>
      <c r="F126" s="7" t="s">
        <v>444</v>
      </c>
      <c r="G126" s="7" t="s">
        <v>445</v>
      </c>
      <c r="H126" s="7" t="s">
        <v>446</v>
      </c>
      <c r="I126" s="7" t="s">
        <v>447</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513</v>
      </c>
      <c r="E127" s="7" t="s">
        <v>362</v>
      </c>
      <c r="F127" s="7" t="s">
        <v>363</v>
      </c>
      <c r="G127" s="7" t="s">
        <v>364</v>
      </c>
      <c r="H127" s="7" t="s">
        <v>365</v>
      </c>
      <c r="I127" s="7" t="s">
        <v>366</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93</v>
      </c>
      <c r="D128" s="7" t="s">
        <v>318</v>
      </c>
      <c r="E128" s="7" t="s">
        <v>367</v>
      </c>
      <c r="F128" s="7" t="s">
        <v>368</v>
      </c>
      <c r="G128" s="7" t="s">
        <v>369</v>
      </c>
      <c r="H128" s="7" t="s">
        <v>370</v>
      </c>
      <c r="I128" s="7" t="s">
        <v>371</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101</v>
      </c>
      <c r="D129" s="7" t="s">
        <v>335</v>
      </c>
      <c r="E129" s="7" t="s">
        <v>372</v>
      </c>
      <c r="F129" s="7" t="s">
        <v>373</v>
      </c>
      <c r="G129" s="7" t="s">
        <v>374</v>
      </c>
      <c r="H129" s="7" t="s">
        <v>375</v>
      </c>
      <c r="I129" s="7" t="s">
        <v>376</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109</v>
      </c>
      <c r="D130" s="7" t="s">
        <v>320</v>
      </c>
      <c r="E130" s="7" t="s">
        <v>377</v>
      </c>
      <c r="F130" s="7" t="s">
        <v>378</v>
      </c>
      <c r="G130" s="7" t="s">
        <v>379</v>
      </c>
      <c r="H130" s="7" t="s">
        <v>380</v>
      </c>
      <c r="I130" s="7" t="s">
        <v>381</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382</v>
      </c>
      <c r="D131" s="7" t="s">
        <v>514</v>
      </c>
      <c r="E131" s="7" t="s">
        <v>384</v>
      </c>
      <c r="F131" s="7" t="s">
        <v>385</v>
      </c>
      <c r="G131" s="7" t="s">
        <v>386</v>
      </c>
      <c r="H131" s="7" t="s">
        <v>387</v>
      </c>
      <c r="I131" s="7" t="s">
        <v>388</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389</v>
      </c>
      <c r="D132" s="7" t="s">
        <v>515</v>
      </c>
      <c r="E132" s="7" t="s">
        <v>391</v>
      </c>
      <c r="F132" s="7" t="s">
        <v>392</v>
      </c>
      <c r="G132" s="7" t="s">
        <v>393</v>
      </c>
      <c r="H132" s="7" t="s">
        <v>394</v>
      </c>
      <c r="I132" s="7" t="s">
        <v>395</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396</v>
      </c>
      <c r="D133" s="7" t="s">
        <v>516</v>
      </c>
      <c r="E133" s="7" t="s">
        <v>398</v>
      </c>
      <c r="F133" s="7" t="s">
        <v>399</v>
      </c>
      <c r="G133" s="7" t="s">
        <v>400</v>
      </c>
      <c r="H133" s="7" t="s">
        <v>401</v>
      </c>
      <c r="I133" s="7" t="s">
        <v>402</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141</v>
      </c>
      <c r="D134" s="7" t="s">
        <v>324</v>
      </c>
      <c r="E134" s="7" t="s">
        <v>404</v>
      </c>
      <c r="F134" s="7" t="s">
        <v>405</v>
      </c>
      <c r="G134" s="7" t="s">
        <v>406</v>
      </c>
      <c r="H134" s="7" t="s">
        <v>407</v>
      </c>
      <c r="I134" s="7" t="s">
        <v>408</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517</v>
      </c>
      <c r="E135" s="7" t="s">
        <v>410</v>
      </c>
      <c r="F135" s="7" t="s">
        <v>411</v>
      </c>
      <c r="G135" s="7" t="s">
        <v>412</v>
      </c>
      <c r="H135" s="7" t="s">
        <v>413</v>
      </c>
      <c r="I135" s="7" t="s">
        <v>414</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326</v>
      </c>
      <c r="E136" s="7" t="s">
        <v>416</v>
      </c>
      <c r="F136" s="7" t="s">
        <v>417</v>
      </c>
      <c r="G136" s="7" t="s">
        <v>418</v>
      </c>
      <c r="H136" s="7" t="s">
        <v>419</v>
      </c>
      <c r="I136" s="7" t="s">
        <v>420</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327</v>
      </c>
      <c r="E137" s="7" t="s">
        <v>421</v>
      </c>
      <c r="F137" s="7" t="s">
        <v>422</v>
      </c>
      <c r="G137" s="7" t="s">
        <v>423</v>
      </c>
      <c r="H137" s="7" t="s">
        <v>424</v>
      </c>
      <c r="I137" s="7" t="s">
        <v>425</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328</v>
      </c>
      <c r="E138" s="7" t="s">
        <v>427</v>
      </c>
      <c r="F138" s="7" t="s">
        <v>428</v>
      </c>
      <c r="G138" s="7" t="s">
        <v>429</v>
      </c>
      <c r="H138" s="7" t="s">
        <v>430</v>
      </c>
      <c r="I138" s="7" t="s">
        <v>431</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181</v>
      </c>
      <c r="D139" s="7" t="s">
        <v>329</v>
      </c>
      <c r="E139" s="7" t="s">
        <v>432</v>
      </c>
      <c r="F139" s="7" t="s">
        <v>433</v>
      </c>
      <c r="G139" s="7" t="s">
        <v>434</v>
      </c>
      <c r="H139" s="7" t="s">
        <v>435</v>
      </c>
      <c r="I139" s="7" t="s">
        <v>436</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518</v>
      </c>
      <c r="E140" s="7" t="s">
        <v>438</v>
      </c>
      <c r="F140" s="7" t="s">
        <v>439</v>
      </c>
      <c r="G140" s="7" t="s">
        <v>440</v>
      </c>
      <c r="H140" s="7" t="s">
        <v>441</v>
      </c>
      <c r="I140" s="7" t="s">
        <v>442</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519</v>
      </c>
      <c r="E141" s="7" t="s">
        <v>443</v>
      </c>
      <c r="F141" s="7" t="s">
        <v>444</v>
      </c>
      <c r="G141" s="7" t="s">
        <v>445</v>
      </c>
      <c r="H141" s="7" t="s">
        <v>446</v>
      </c>
      <c r="I141" s="7" t="s">
        <v>447</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520</v>
      </c>
      <c r="E142" s="7" t="s">
        <v>362</v>
      </c>
      <c r="F142" s="7" t="s">
        <v>363</v>
      </c>
      <c r="G142" s="7" t="s">
        <v>364</v>
      </c>
      <c r="H142" s="7" t="s">
        <v>365</v>
      </c>
      <c r="I142" s="7" t="s">
        <v>366</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93</v>
      </c>
      <c r="D143" s="7" t="s">
        <v>334</v>
      </c>
      <c r="E143" s="7" t="s">
        <v>367</v>
      </c>
      <c r="F143" s="7" t="s">
        <v>368</v>
      </c>
      <c r="G143" s="7" t="s">
        <v>369</v>
      </c>
      <c r="H143" s="7" t="s">
        <v>370</v>
      </c>
      <c r="I143" s="7" t="s">
        <v>371</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101</v>
      </c>
      <c r="D144" s="7" t="s">
        <v>521</v>
      </c>
      <c r="E144" s="7" t="s">
        <v>372</v>
      </c>
      <c r="F144" s="7" t="s">
        <v>373</v>
      </c>
      <c r="G144" s="7" t="s">
        <v>374</v>
      </c>
      <c r="H144" s="7" t="s">
        <v>375</v>
      </c>
      <c r="I144" s="7" t="s">
        <v>376</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109</v>
      </c>
      <c r="D145" s="7" t="s">
        <v>522</v>
      </c>
      <c r="E145" s="7" t="s">
        <v>377</v>
      </c>
      <c r="F145" s="7" t="s">
        <v>378</v>
      </c>
      <c r="G145" s="7" t="s">
        <v>379</v>
      </c>
      <c r="H145" s="7" t="s">
        <v>380</v>
      </c>
      <c r="I145" s="7" t="s">
        <v>381</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382</v>
      </c>
      <c r="D146" s="7" t="s">
        <v>523</v>
      </c>
      <c r="E146" s="7" t="s">
        <v>384</v>
      </c>
      <c r="F146" s="7" t="s">
        <v>385</v>
      </c>
      <c r="G146" s="7" t="s">
        <v>386</v>
      </c>
      <c r="H146" s="7" t="s">
        <v>387</v>
      </c>
      <c r="I146" s="7" t="s">
        <v>388</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389</v>
      </c>
      <c r="D147" s="7" t="s">
        <v>524</v>
      </c>
      <c r="E147" s="7" t="s">
        <v>391</v>
      </c>
      <c r="F147" s="7" t="s">
        <v>392</v>
      </c>
      <c r="G147" s="7" t="s">
        <v>393</v>
      </c>
      <c r="H147" s="7" t="s">
        <v>394</v>
      </c>
      <c r="I147" s="7" t="s">
        <v>395</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396</v>
      </c>
      <c r="D148" s="7" t="s">
        <v>525</v>
      </c>
      <c r="E148" s="7" t="s">
        <v>398</v>
      </c>
      <c r="F148" s="7" t="s">
        <v>399</v>
      </c>
      <c r="G148" s="7" t="s">
        <v>400</v>
      </c>
      <c r="H148" s="7" t="s">
        <v>401</v>
      </c>
      <c r="I148" s="7" t="s">
        <v>402</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141</v>
      </c>
      <c r="D149" s="7" t="s">
        <v>526</v>
      </c>
      <c r="E149" s="7" t="s">
        <v>404</v>
      </c>
      <c r="F149" s="7" t="s">
        <v>405</v>
      </c>
      <c r="G149" s="7" t="s">
        <v>406</v>
      </c>
      <c r="H149" s="7" t="s">
        <v>407</v>
      </c>
      <c r="I149" s="7" t="s">
        <v>408</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341</v>
      </c>
      <c r="E150" s="7" t="s">
        <v>410</v>
      </c>
      <c r="F150" s="7" t="s">
        <v>411</v>
      </c>
      <c r="G150" s="7" t="s">
        <v>412</v>
      </c>
      <c r="H150" s="7" t="s">
        <v>413</v>
      </c>
      <c r="I150" s="7" t="s">
        <v>414</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527</v>
      </c>
      <c r="E151" s="7" t="s">
        <v>416</v>
      </c>
      <c r="F151" s="7" t="s">
        <v>417</v>
      </c>
      <c r="G151" s="7" t="s">
        <v>418</v>
      </c>
      <c r="H151" s="7" t="s">
        <v>419</v>
      </c>
      <c r="I151" s="7" t="s">
        <v>420</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343</v>
      </c>
      <c r="E152" s="7" t="s">
        <v>421</v>
      </c>
      <c r="F152" s="7" t="s">
        <v>422</v>
      </c>
      <c r="G152" s="7" t="s">
        <v>423</v>
      </c>
      <c r="H152" s="7" t="s">
        <v>424</v>
      </c>
      <c r="I152" s="7" t="s">
        <v>425</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528</v>
      </c>
      <c r="E153" s="7" t="s">
        <v>427</v>
      </c>
      <c r="F153" s="7" t="s">
        <v>428</v>
      </c>
      <c r="G153" s="7" t="s">
        <v>429</v>
      </c>
      <c r="H153" s="7" t="s">
        <v>430</v>
      </c>
      <c r="I153" s="7" t="s">
        <v>431</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181</v>
      </c>
      <c r="D154" s="7" t="s">
        <v>345</v>
      </c>
      <c r="E154" s="7" t="s">
        <v>432</v>
      </c>
      <c r="F154" s="7" t="s">
        <v>433</v>
      </c>
      <c r="G154" s="7" t="s">
        <v>434</v>
      </c>
      <c r="H154" s="7" t="s">
        <v>435</v>
      </c>
      <c r="I154" s="7" t="s">
        <v>436</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529</v>
      </c>
      <c r="E155" s="7" t="s">
        <v>438</v>
      </c>
      <c r="F155" s="7" t="s">
        <v>439</v>
      </c>
      <c r="G155" s="7" t="s">
        <v>440</v>
      </c>
      <c r="H155" s="7" t="s">
        <v>441</v>
      </c>
      <c r="I155" s="7" t="s">
        <v>442</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347</v>
      </c>
      <c r="E156" s="7" t="s">
        <v>443</v>
      </c>
      <c r="F156" s="7" t="s">
        <v>444</v>
      </c>
      <c r="G156" s="7" t="s">
        <v>445</v>
      </c>
      <c r="H156" s="7" t="s">
        <v>446</v>
      </c>
      <c r="I156" s="7" t="s">
        <v>447</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4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400-000001000000}">
      <formula1>"1,2,3,4,5"</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75"/>
  <sheetViews>
    <sheetView showGridLines="0" workbookViewId="0">
      <pane xSplit="4" ySplit="6" topLeftCell="E7" activePane="bottomRight" state="frozen"/>
      <selection pane="topRight"/>
      <selection pane="bottomLeft"/>
      <selection pane="bottomRight"/>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530</v>
      </c>
      <c r="B1" s="18"/>
      <c r="C1" s="18"/>
      <c r="D1" s="18"/>
      <c r="E1" s="18"/>
      <c r="F1" s="18"/>
      <c r="G1" s="18"/>
      <c r="H1" s="18"/>
      <c r="I1" s="18"/>
      <c r="J1" s="18"/>
      <c r="K1" s="18"/>
      <c r="L1" s="18"/>
      <c r="M1" s="18"/>
      <c r="N1" s="18"/>
    </row>
    <row r="2" spans="1:19" x14ac:dyDescent="0.25">
      <c r="A2" s="25" t="s">
        <v>531</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532</v>
      </c>
      <c r="E7" s="7" t="s">
        <v>533</v>
      </c>
      <c r="F7" s="7" t="s">
        <v>534</v>
      </c>
      <c r="G7" s="7" t="s">
        <v>535</v>
      </c>
      <c r="H7" s="7" t="s">
        <v>536</v>
      </c>
      <c r="I7" s="7" t="s">
        <v>537</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538</v>
      </c>
      <c r="D8" s="7" t="s">
        <v>539</v>
      </c>
      <c r="E8" s="7" t="s">
        <v>540</v>
      </c>
      <c r="F8" s="7" t="s">
        <v>541</v>
      </c>
      <c r="G8" s="7" t="s">
        <v>542</v>
      </c>
      <c r="H8" s="7" t="s">
        <v>543</v>
      </c>
      <c r="I8" s="7" t="s">
        <v>544</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101</v>
      </c>
      <c r="D9" s="7" t="s">
        <v>207</v>
      </c>
      <c r="E9" s="7" t="s">
        <v>545</v>
      </c>
      <c r="F9" s="7" t="s">
        <v>546</v>
      </c>
      <c r="G9" s="7" t="s">
        <v>547</v>
      </c>
      <c r="H9" s="7" t="s">
        <v>548</v>
      </c>
      <c r="I9" s="7" t="s">
        <v>549</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109</v>
      </c>
      <c r="D10" s="7" t="s">
        <v>110</v>
      </c>
      <c r="E10" s="7" t="s">
        <v>550</v>
      </c>
      <c r="F10" s="7" t="s">
        <v>551</v>
      </c>
      <c r="G10" s="7" t="s">
        <v>552</v>
      </c>
      <c r="H10" s="7" t="s">
        <v>553</v>
      </c>
      <c r="I10" s="7" t="s">
        <v>554</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382</v>
      </c>
      <c r="D11" s="7" t="s">
        <v>383</v>
      </c>
      <c r="E11" s="7" t="s">
        <v>555</v>
      </c>
      <c r="F11" s="7" t="s">
        <v>556</v>
      </c>
      <c r="G11" s="7" t="s">
        <v>557</v>
      </c>
      <c r="H11" s="7" t="s">
        <v>558</v>
      </c>
      <c r="I11" s="7" t="s">
        <v>559</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560</v>
      </c>
      <c r="D12" s="7" t="s">
        <v>561</v>
      </c>
      <c r="E12" s="7" t="s">
        <v>562</v>
      </c>
      <c r="F12" s="7" t="s">
        <v>563</v>
      </c>
      <c r="G12" s="7" t="s">
        <v>564</v>
      </c>
      <c r="H12" s="7" t="s">
        <v>565</v>
      </c>
      <c r="I12" s="7" t="s">
        <v>566</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396</v>
      </c>
      <c r="D13" s="7" t="s">
        <v>397</v>
      </c>
      <c r="E13" s="7" t="s">
        <v>567</v>
      </c>
      <c r="F13" s="7" t="s">
        <v>568</v>
      </c>
      <c r="G13" s="7" t="s">
        <v>569</v>
      </c>
      <c r="H13" s="7" t="s">
        <v>570</v>
      </c>
      <c r="I13" s="7" t="s">
        <v>571</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141</v>
      </c>
      <c r="D14" s="7" t="s">
        <v>572</v>
      </c>
      <c r="E14" s="7" t="s">
        <v>573</v>
      </c>
      <c r="F14" s="7" t="s">
        <v>574</v>
      </c>
      <c r="G14" s="7" t="s">
        <v>575</v>
      </c>
      <c r="H14" s="7" t="s">
        <v>576</v>
      </c>
      <c r="I14" s="7" t="s">
        <v>577</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578</v>
      </c>
      <c r="E15" s="7" t="s">
        <v>579</v>
      </c>
      <c r="F15" s="7" t="s">
        <v>580</v>
      </c>
      <c r="G15" s="7" t="s">
        <v>581</v>
      </c>
      <c r="H15" s="7" t="s">
        <v>582</v>
      </c>
      <c r="I15" s="7" t="s">
        <v>583</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415</v>
      </c>
      <c r="E16" s="7" t="s">
        <v>584</v>
      </c>
      <c r="F16" s="7" t="s">
        <v>585</v>
      </c>
      <c r="G16" s="7" t="s">
        <v>586</v>
      </c>
      <c r="H16" s="7" t="s">
        <v>587</v>
      </c>
      <c r="I16" s="7" t="s">
        <v>588</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589</v>
      </c>
      <c r="E17" s="7" t="s">
        <v>590</v>
      </c>
      <c r="F17" s="7" t="s">
        <v>591</v>
      </c>
      <c r="G17" s="7" t="s">
        <v>592</v>
      </c>
      <c r="H17" s="7" t="s">
        <v>593</v>
      </c>
      <c r="I17" s="7" t="s">
        <v>594</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595</v>
      </c>
      <c r="E18" s="7" t="s">
        <v>596</v>
      </c>
      <c r="F18" s="7" t="s">
        <v>597</v>
      </c>
      <c r="G18" s="7" t="s">
        <v>598</v>
      </c>
      <c r="H18" s="7" t="s">
        <v>599</v>
      </c>
      <c r="I18" s="7" t="s">
        <v>600</v>
      </c>
      <c r="J18" s="11" t="s">
        <v>28</v>
      </c>
      <c r="K18" s="11" t="s">
        <v>36</v>
      </c>
      <c r="L18" s="11" t="s">
        <v>38</v>
      </c>
      <c r="M18" s="11" t="s">
        <v>40</v>
      </c>
      <c r="N18" s="11" t="s">
        <v>42</v>
      </c>
      <c r="O18" s="9"/>
      <c r="P18" t="str">
        <f t="shared" si="0"/>
        <v/>
      </c>
    </row>
    <row r="19" spans="1:16" ht="34.049999999999997" customHeight="1" x14ac:dyDescent="0.25">
      <c r="A19" s="5" t="s">
        <v>66</v>
      </c>
      <c r="B19" s="5" t="s">
        <v>180</v>
      </c>
      <c r="C19" s="7" t="s">
        <v>601</v>
      </c>
      <c r="D19" s="7" t="s">
        <v>602</v>
      </c>
      <c r="E19" s="7" t="s">
        <v>603</v>
      </c>
      <c r="F19" s="7" t="s">
        <v>604</v>
      </c>
      <c r="G19" s="7" t="s">
        <v>605</v>
      </c>
      <c r="H19" s="7" t="s">
        <v>606</v>
      </c>
      <c r="I19" s="7" t="s">
        <v>607</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437</v>
      </c>
      <c r="E20" s="7" t="s">
        <v>608</v>
      </c>
      <c r="F20" s="7" t="s">
        <v>609</v>
      </c>
      <c r="G20" s="7" t="s">
        <v>610</v>
      </c>
      <c r="H20" s="7" t="s">
        <v>611</v>
      </c>
      <c r="I20" s="7" t="s">
        <v>612</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198</v>
      </c>
      <c r="E21" s="7" t="s">
        <v>613</v>
      </c>
      <c r="F21" s="7" t="s">
        <v>614</v>
      </c>
      <c r="G21" s="7" t="s">
        <v>615</v>
      </c>
      <c r="H21" s="7" t="s">
        <v>616</v>
      </c>
      <c r="I21" s="7" t="s">
        <v>617</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618</v>
      </c>
      <c r="E22" s="7" t="s">
        <v>533</v>
      </c>
      <c r="F22" s="7" t="s">
        <v>534</v>
      </c>
      <c r="G22" s="7" t="s">
        <v>535</v>
      </c>
      <c r="H22" s="7" t="s">
        <v>536</v>
      </c>
      <c r="I22" s="7" t="s">
        <v>537</v>
      </c>
      <c r="J22" s="11" t="s">
        <v>34</v>
      </c>
      <c r="K22" s="11" t="s">
        <v>36</v>
      </c>
      <c r="L22" s="11" t="s">
        <v>38</v>
      </c>
      <c r="M22" s="11" t="s">
        <v>40</v>
      </c>
      <c r="N22" s="11" t="s">
        <v>42</v>
      </c>
      <c r="O22" s="9"/>
      <c r="P22" t="str">
        <f t="shared" si="0"/>
        <v/>
      </c>
    </row>
    <row r="23" spans="1:16" ht="34.049999999999997" customHeight="1" x14ac:dyDescent="0.25">
      <c r="A23" s="5" t="s">
        <v>204</v>
      </c>
      <c r="B23" s="5" t="s">
        <v>92</v>
      </c>
      <c r="C23" s="7" t="s">
        <v>538</v>
      </c>
      <c r="D23" s="7" t="s">
        <v>206</v>
      </c>
      <c r="E23" s="7" t="s">
        <v>540</v>
      </c>
      <c r="F23" s="7" t="s">
        <v>541</v>
      </c>
      <c r="G23" s="7" t="s">
        <v>542</v>
      </c>
      <c r="H23" s="7" t="s">
        <v>543</v>
      </c>
      <c r="I23" s="7" t="s">
        <v>544</v>
      </c>
      <c r="J23" s="11" t="s">
        <v>28</v>
      </c>
      <c r="K23" s="11" t="s">
        <v>30</v>
      </c>
      <c r="L23" s="11" t="s">
        <v>32</v>
      </c>
      <c r="M23" s="11" t="s">
        <v>40</v>
      </c>
      <c r="N23" s="11" t="s">
        <v>42</v>
      </c>
      <c r="O23" s="9"/>
      <c r="P23" t="str">
        <f t="shared" si="0"/>
        <v/>
      </c>
    </row>
    <row r="24" spans="1:16" ht="34.049999999999997" customHeight="1" x14ac:dyDescent="0.25">
      <c r="A24" s="5" t="s">
        <v>204</v>
      </c>
      <c r="B24" s="5" t="s">
        <v>100</v>
      </c>
      <c r="C24" s="7" t="s">
        <v>101</v>
      </c>
      <c r="D24" s="7" t="s">
        <v>619</v>
      </c>
      <c r="E24" s="7" t="s">
        <v>545</v>
      </c>
      <c r="F24" s="7" t="s">
        <v>546</v>
      </c>
      <c r="G24" s="7" t="s">
        <v>547</v>
      </c>
      <c r="H24" s="7" t="s">
        <v>548</v>
      </c>
      <c r="I24" s="7" t="s">
        <v>549</v>
      </c>
      <c r="J24" s="11" t="s">
        <v>30</v>
      </c>
      <c r="K24" s="11" t="s">
        <v>32</v>
      </c>
      <c r="L24" s="11" t="s">
        <v>34</v>
      </c>
      <c r="M24" s="11" t="s">
        <v>36</v>
      </c>
      <c r="N24" s="11" t="s">
        <v>38</v>
      </c>
      <c r="O24" s="9"/>
      <c r="P24" t="str">
        <f t="shared" si="0"/>
        <v/>
      </c>
    </row>
    <row r="25" spans="1:16" ht="34.049999999999997" customHeight="1" x14ac:dyDescent="0.25">
      <c r="A25" s="5" t="s">
        <v>204</v>
      </c>
      <c r="B25" s="5" t="s">
        <v>108</v>
      </c>
      <c r="C25" s="7" t="s">
        <v>109</v>
      </c>
      <c r="D25" s="7" t="s">
        <v>208</v>
      </c>
      <c r="E25" s="7" t="s">
        <v>550</v>
      </c>
      <c r="F25" s="7" t="s">
        <v>551</v>
      </c>
      <c r="G25" s="7" t="s">
        <v>552</v>
      </c>
      <c r="H25" s="7" t="s">
        <v>553</v>
      </c>
      <c r="I25" s="7" t="s">
        <v>554</v>
      </c>
      <c r="J25" s="11" t="s">
        <v>28</v>
      </c>
      <c r="K25" s="11" t="s">
        <v>36</v>
      </c>
      <c r="L25" s="11" t="s">
        <v>38</v>
      </c>
      <c r="M25" s="11" t="s">
        <v>40</v>
      </c>
      <c r="N25" s="11" t="s">
        <v>42</v>
      </c>
      <c r="O25" s="9"/>
      <c r="P25" t="str">
        <f t="shared" si="0"/>
        <v/>
      </c>
    </row>
    <row r="26" spans="1:16" ht="34.049999999999997" customHeight="1" x14ac:dyDescent="0.25">
      <c r="A26" s="5" t="s">
        <v>204</v>
      </c>
      <c r="B26" s="5" t="s">
        <v>116</v>
      </c>
      <c r="C26" s="7" t="s">
        <v>382</v>
      </c>
      <c r="D26" s="7" t="s">
        <v>450</v>
      </c>
      <c r="E26" s="7" t="s">
        <v>555</v>
      </c>
      <c r="F26" s="7" t="s">
        <v>556</v>
      </c>
      <c r="G26" s="7" t="s">
        <v>557</v>
      </c>
      <c r="H26" s="7" t="s">
        <v>558</v>
      </c>
      <c r="I26" s="7" t="s">
        <v>559</v>
      </c>
      <c r="J26" s="11" t="s">
        <v>28</v>
      </c>
      <c r="K26" s="11" t="s">
        <v>30</v>
      </c>
      <c r="L26" s="11" t="s">
        <v>32</v>
      </c>
      <c r="M26" s="11" t="s">
        <v>34</v>
      </c>
      <c r="N26" s="11" t="s">
        <v>42</v>
      </c>
      <c r="O26" s="9"/>
      <c r="P26" t="str">
        <f t="shared" si="0"/>
        <v/>
      </c>
    </row>
    <row r="27" spans="1:16" ht="34.049999999999997" customHeight="1" x14ac:dyDescent="0.25">
      <c r="A27" s="5" t="s">
        <v>204</v>
      </c>
      <c r="B27" s="5" t="s">
        <v>124</v>
      </c>
      <c r="C27" s="7" t="s">
        <v>560</v>
      </c>
      <c r="D27" s="7" t="s">
        <v>451</v>
      </c>
      <c r="E27" s="7" t="s">
        <v>562</v>
      </c>
      <c r="F27" s="7" t="s">
        <v>563</v>
      </c>
      <c r="G27" s="7" t="s">
        <v>564</v>
      </c>
      <c r="H27" s="7" t="s">
        <v>565</v>
      </c>
      <c r="I27" s="7" t="s">
        <v>566</v>
      </c>
      <c r="J27" s="11" t="s">
        <v>32</v>
      </c>
      <c r="K27" s="11" t="s">
        <v>34</v>
      </c>
      <c r="L27" s="11" t="s">
        <v>36</v>
      </c>
      <c r="M27" s="11" t="s">
        <v>38</v>
      </c>
      <c r="N27" s="11" t="s">
        <v>40</v>
      </c>
      <c r="O27" s="9"/>
      <c r="P27" t="str">
        <f t="shared" si="0"/>
        <v/>
      </c>
    </row>
    <row r="28" spans="1:16" ht="34.049999999999997" customHeight="1" x14ac:dyDescent="0.25">
      <c r="A28" s="5" t="s">
        <v>204</v>
      </c>
      <c r="B28" s="5" t="s">
        <v>132</v>
      </c>
      <c r="C28" s="7" t="s">
        <v>396</v>
      </c>
      <c r="D28" s="7" t="s">
        <v>452</v>
      </c>
      <c r="E28" s="7" t="s">
        <v>567</v>
      </c>
      <c r="F28" s="7" t="s">
        <v>568</v>
      </c>
      <c r="G28" s="7" t="s">
        <v>569</v>
      </c>
      <c r="H28" s="7" t="s">
        <v>570</v>
      </c>
      <c r="I28" s="7" t="s">
        <v>571</v>
      </c>
      <c r="J28" s="11" t="s">
        <v>28</v>
      </c>
      <c r="K28" s="11" t="s">
        <v>30</v>
      </c>
      <c r="L28" s="11" t="s">
        <v>38</v>
      </c>
      <c r="M28" s="11" t="s">
        <v>40</v>
      </c>
      <c r="N28" s="11" t="s">
        <v>42</v>
      </c>
      <c r="O28" s="9"/>
      <c r="P28" t="str">
        <f t="shared" si="0"/>
        <v/>
      </c>
    </row>
    <row r="29" spans="1:16" ht="34.049999999999997" customHeight="1" x14ac:dyDescent="0.25">
      <c r="A29" s="5" t="s">
        <v>204</v>
      </c>
      <c r="B29" s="5" t="s">
        <v>140</v>
      </c>
      <c r="C29" s="7" t="s">
        <v>141</v>
      </c>
      <c r="D29" s="7" t="s">
        <v>620</v>
      </c>
      <c r="E29" s="7" t="s">
        <v>573</v>
      </c>
      <c r="F29" s="7" t="s">
        <v>574</v>
      </c>
      <c r="G29" s="7" t="s">
        <v>575</v>
      </c>
      <c r="H29" s="7" t="s">
        <v>576</v>
      </c>
      <c r="I29" s="7" t="s">
        <v>577</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621</v>
      </c>
      <c r="E30" s="7" t="s">
        <v>579</v>
      </c>
      <c r="F30" s="7" t="s">
        <v>580</v>
      </c>
      <c r="G30" s="7" t="s">
        <v>581</v>
      </c>
      <c r="H30" s="7" t="s">
        <v>582</v>
      </c>
      <c r="I30" s="7" t="s">
        <v>583</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454</v>
      </c>
      <c r="E31" s="7" t="s">
        <v>584</v>
      </c>
      <c r="F31" s="7" t="s">
        <v>585</v>
      </c>
      <c r="G31" s="7" t="s">
        <v>586</v>
      </c>
      <c r="H31" s="7" t="s">
        <v>587</v>
      </c>
      <c r="I31" s="7" t="s">
        <v>588</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622</v>
      </c>
      <c r="E32" s="7" t="s">
        <v>590</v>
      </c>
      <c r="F32" s="7" t="s">
        <v>591</v>
      </c>
      <c r="G32" s="7" t="s">
        <v>592</v>
      </c>
      <c r="H32" s="7" t="s">
        <v>593</v>
      </c>
      <c r="I32" s="7" t="s">
        <v>594</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623</v>
      </c>
      <c r="E33" s="7" t="s">
        <v>596</v>
      </c>
      <c r="F33" s="7" t="s">
        <v>597</v>
      </c>
      <c r="G33" s="7" t="s">
        <v>598</v>
      </c>
      <c r="H33" s="7" t="s">
        <v>599</v>
      </c>
      <c r="I33" s="7" t="s">
        <v>600</v>
      </c>
      <c r="J33" s="11" t="s">
        <v>28</v>
      </c>
      <c r="K33" s="11" t="s">
        <v>36</v>
      </c>
      <c r="L33" s="11" t="s">
        <v>38</v>
      </c>
      <c r="M33" s="11" t="s">
        <v>40</v>
      </c>
      <c r="N33" s="11" t="s">
        <v>42</v>
      </c>
      <c r="O33" s="9"/>
      <c r="P33" t="str">
        <f t="shared" si="0"/>
        <v/>
      </c>
    </row>
    <row r="34" spans="1:16" ht="34.049999999999997" customHeight="1" x14ac:dyDescent="0.25">
      <c r="A34" s="5" t="s">
        <v>204</v>
      </c>
      <c r="B34" s="5" t="s">
        <v>180</v>
      </c>
      <c r="C34" s="7" t="s">
        <v>601</v>
      </c>
      <c r="D34" s="7" t="s">
        <v>624</v>
      </c>
      <c r="E34" s="7" t="s">
        <v>603</v>
      </c>
      <c r="F34" s="7" t="s">
        <v>604</v>
      </c>
      <c r="G34" s="7" t="s">
        <v>605</v>
      </c>
      <c r="H34" s="7" t="s">
        <v>606</v>
      </c>
      <c r="I34" s="7" t="s">
        <v>607</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457</v>
      </c>
      <c r="E35" s="7" t="s">
        <v>608</v>
      </c>
      <c r="F35" s="7" t="s">
        <v>609</v>
      </c>
      <c r="G35" s="7" t="s">
        <v>610</v>
      </c>
      <c r="H35" s="7" t="s">
        <v>611</v>
      </c>
      <c r="I35" s="7" t="s">
        <v>612</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219</v>
      </c>
      <c r="E36" s="7" t="s">
        <v>613</v>
      </c>
      <c r="F36" s="7" t="s">
        <v>614</v>
      </c>
      <c r="G36" s="7" t="s">
        <v>615</v>
      </c>
      <c r="H36" s="7" t="s">
        <v>616</v>
      </c>
      <c r="I36" s="7" t="s">
        <v>617</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221</v>
      </c>
      <c r="E37" s="7" t="s">
        <v>533</v>
      </c>
      <c r="F37" s="7" t="s">
        <v>534</v>
      </c>
      <c r="G37" s="7" t="s">
        <v>535</v>
      </c>
      <c r="H37" s="7" t="s">
        <v>536</v>
      </c>
      <c r="I37" s="7" t="s">
        <v>537</v>
      </c>
      <c r="J37" s="11" t="s">
        <v>34</v>
      </c>
      <c r="K37" s="11" t="s">
        <v>36</v>
      </c>
      <c r="L37" s="11" t="s">
        <v>38</v>
      </c>
      <c r="M37" s="11" t="s">
        <v>40</v>
      </c>
      <c r="N37" s="11" t="s">
        <v>42</v>
      </c>
      <c r="O37" s="9"/>
      <c r="P37" t="str">
        <f t="shared" si="0"/>
        <v/>
      </c>
    </row>
    <row r="38" spans="1:16" ht="34.049999999999997" customHeight="1" x14ac:dyDescent="0.25">
      <c r="A38" s="5" t="s">
        <v>220</v>
      </c>
      <c r="B38" s="5" t="s">
        <v>92</v>
      </c>
      <c r="C38" s="7" t="s">
        <v>538</v>
      </c>
      <c r="D38" s="7" t="s">
        <v>458</v>
      </c>
      <c r="E38" s="7" t="s">
        <v>540</v>
      </c>
      <c r="F38" s="7" t="s">
        <v>541</v>
      </c>
      <c r="G38" s="7" t="s">
        <v>542</v>
      </c>
      <c r="H38" s="7" t="s">
        <v>543</v>
      </c>
      <c r="I38" s="7" t="s">
        <v>544</v>
      </c>
      <c r="J38" s="11" t="s">
        <v>28</v>
      </c>
      <c r="K38" s="11" t="s">
        <v>30</v>
      </c>
      <c r="L38" s="11" t="s">
        <v>32</v>
      </c>
      <c r="M38" s="11" t="s">
        <v>40</v>
      </c>
      <c r="N38" s="11" t="s">
        <v>42</v>
      </c>
      <c r="O38" s="9"/>
      <c r="P38" t="str">
        <f t="shared" si="0"/>
        <v/>
      </c>
    </row>
    <row r="39" spans="1:16" ht="34.049999999999997" customHeight="1" x14ac:dyDescent="0.25">
      <c r="A39" s="5" t="s">
        <v>220</v>
      </c>
      <c r="B39" s="5" t="s">
        <v>100</v>
      </c>
      <c r="C39" s="7" t="s">
        <v>101</v>
      </c>
      <c r="D39" s="7" t="s">
        <v>459</v>
      </c>
      <c r="E39" s="7" t="s">
        <v>545</v>
      </c>
      <c r="F39" s="7" t="s">
        <v>546</v>
      </c>
      <c r="G39" s="7" t="s">
        <v>547</v>
      </c>
      <c r="H39" s="7" t="s">
        <v>548</v>
      </c>
      <c r="I39" s="7" t="s">
        <v>549</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109</v>
      </c>
      <c r="D40" s="7" t="s">
        <v>224</v>
      </c>
      <c r="E40" s="7" t="s">
        <v>550</v>
      </c>
      <c r="F40" s="7" t="s">
        <v>551</v>
      </c>
      <c r="G40" s="7" t="s">
        <v>552</v>
      </c>
      <c r="H40" s="7" t="s">
        <v>553</v>
      </c>
      <c r="I40" s="7" t="s">
        <v>554</v>
      </c>
      <c r="J40" s="11" t="s">
        <v>28</v>
      </c>
      <c r="K40" s="11" t="s">
        <v>36</v>
      </c>
      <c r="L40" s="11" t="s">
        <v>38</v>
      </c>
      <c r="M40" s="11" t="s">
        <v>40</v>
      </c>
      <c r="N40" s="11" t="s">
        <v>42</v>
      </c>
      <c r="O40" s="9"/>
      <c r="P40" t="str">
        <f t="shared" si="1"/>
        <v/>
      </c>
    </row>
    <row r="41" spans="1:16" ht="34.049999999999997" customHeight="1" x14ac:dyDescent="0.25">
      <c r="A41" s="5" t="s">
        <v>220</v>
      </c>
      <c r="B41" s="5" t="s">
        <v>116</v>
      </c>
      <c r="C41" s="7" t="s">
        <v>382</v>
      </c>
      <c r="D41" s="7" t="s">
        <v>460</v>
      </c>
      <c r="E41" s="7" t="s">
        <v>555</v>
      </c>
      <c r="F41" s="7" t="s">
        <v>556</v>
      </c>
      <c r="G41" s="7" t="s">
        <v>557</v>
      </c>
      <c r="H41" s="7" t="s">
        <v>558</v>
      </c>
      <c r="I41" s="7" t="s">
        <v>559</v>
      </c>
      <c r="J41" s="11" t="s">
        <v>28</v>
      </c>
      <c r="K41" s="11" t="s">
        <v>30</v>
      </c>
      <c r="L41" s="11" t="s">
        <v>32</v>
      </c>
      <c r="M41" s="11" t="s">
        <v>34</v>
      </c>
      <c r="N41" s="11" t="s">
        <v>42</v>
      </c>
      <c r="O41" s="9"/>
      <c r="P41" t="str">
        <f t="shared" si="1"/>
        <v/>
      </c>
    </row>
    <row r="42" spans="1:16" ht="34.049999999999997" customHeight="1" x14ac:dyDescent="0.25">
      <c r="A42" s="5" t="s">
        <v>220</v>
      </c>
      <c r="B42" s="5" t="s">
        <v>124</v>
      </c>
      <c r="C42" s="7" t="s">
        <v>560</v>
      </c>
      <c r="D42" s="7" t="s">
        <v>226</v>
      </c>
      <c r="E42" s="7" t="s">
        <v>562</v>
      </c>
      <c r="F42" s="7" t="s">
        <v>563</v>
      </c>
      <c r="G42" s="7" t="s">
        <v>564</v>
      </c>
      <c r="H42" s="7" t="s">
        <v>565</v>
      </c>
      <c r="I42" s="7" t="s">
        <v>566</v>
      </c>
      <c r="J42" s="11" t="s">
        <v>32</v>
      </c>
      <c r="K42" s="11" t="s">
        <v>34</v>
      </c>
      <c r="L42" s="11" t="s">
        <v>36</v>
      </c>
      <c r="M42" s="11" t="s">
        <v>38</v>
      </c>
      <c r="N42" s="11" t="s">
        <v>40</v>
      </c>
      <c r="O42" s="9"/>
      <c r="P42" t="str">
        <f t="shared" si="1"/>
        <v/>
      </c>
    </row>
    <row r="43" spans="1:16" ht="34.049999999999997" customHeight="1" x14ac:dyDescent="0.25">
      <c r="A43" s="5" t="s">
        <v>220</v>
      </c>
      <c r="B43" s="5" t="s">
        <v>132</v>
      </c>
      <c r="C43" s="7" t="s">
        <v>396</v>
      </c>
      <c r="D43" s="7" t="s">
        <v>461</v>
      </c>
      <c r="E43" s="7" t="s">
        <v>567</v>
      </c>
      <c r="F43" s="7" t="s">
        <v>568</v>
      </c>
      <c r="G43" s="7" t="s">
        <v>569</v>
      </c>
      <c r="H43" s="7" t="s">
        <v>570</v>
      </c>
      <c r="I43" s="7" t="s">
        <v>571</v>
      </c>
      <c r="J43" s="11" t="s">
        <v>28</v>
      </c>
      <c r="K43" s="11" t="s">
        <v>30</v>
      </c>
      <c r="L43" s="11" t="s">
        <v>38</v>
      </c>
      <c r="M43" s="11" t="s">
        <v>40</v>
      </c>
      <c r="N43" s="11" t="s">
        <v>42</v>
      </c>
      <c r="O43" s="9"/>
      <c r="P43" t="str">
        <f t="shared" si="1"/>
        <v/>
      </c>
    </row>
    <row r="44" spans="1:16" ht="34.049999999999997" customHeight="1" x14ac:dyDescent="0.25">
      <c r="A44" s="5" t="s">
        <v>220</v>
      </c>
      <c r="B44" s="5" t="s">
        <v>140</v>
      </c>
      <c r="C44" s="7" t="s">
        <v>141</v>
      </c>
      <c r="D44" s="7" t="s">
        <v>625</v>
      </c>
      <c r="E44" s="7" t="s">
        <v>573</v>
      </c>
      <c r="F44" s="7" t="s">
        <v>574</v>
      </c>
      <c r="G44" s="7" t="s">
        <v>575</v>
      </c>
      <c r="H44" s="7" t="s">
        <v>576</v>
      </c>
      <c r="I44" s="7" t="s">
        <v>577</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626</v>
      </c>
      <c r="E45" s="7" t="s">
        <v>579</v>
      </c>
      <c r="F45" s="7" t="s">
        <v>580</v>
      </c>
      <c r="G45" s="7" t="s">
        <v>581</v>
      </c>
      <c r="H45" s="7" t="s">
        <v>582</v>
      </c>
      <c r="I45" s="7" t="s">
        <v>583</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230</v>
      </c>
      <c r="E46" s="7" t="s">
        <v>584</v>
      </c>
      <c r="F46" s="7" t="s">
        <v>585</v>
      </c>
      <c r="G46" s="7" t="s">
        <v>586</v>
      </c>
      <c r="H46" s="7" t="s">
        <v>587</v>
      </c>
      <c r="I46" s="7" t="s">
        <v>588</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464</v>
      </c>
      <c r="E47" s="7" t="s">
        <v>590</v>
      </c>
      <c r="F47" s="7" t="s">
        <v>591</v>
      </c>
      <c r="G47" s="7" t="s">
        <v>592</v>
      </c>
      <c r="H47" s="7" t="s">
        <v>593</v>
      </c>
      <c r="I47" s="7" t="s">
        <v>594</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627</v>
      </c>
      <c r="E48" s="7" t="s">
        <v>596</v>
      </c>
      <c r="F48" s="7" t="s">
        <v>597</v>
      </c>
      <c r="G48" s="7" t="s">
        <v>598</v>
      </c>
      <c r="H48" s="7" t="s">
        <v>599</v>
      </c>
      <c r="I48" s="7" t="s">
        <v>600</v>
      </c>
      <c r="J48" s="11" t="s">
        <v>28</v>
      </c>
      <c r="K48" s="11" t="s">
        <v>36</v>
      </c>
      <c r="L48" s="11" t="s">
        <v>38</v>
      </c>
      <c r="M48" s="11" t="s">
        <v>40</v>
      </c>
      <c r="N48" s="11" t="s">
        <v>42</v>
      </c>
      <c r="O48" s="9"/>
      <c r="P48" t="str">
        <f t="shared" si="1"/>
        <v/>
      </c>
    </row>
    <row r="49" spans="1:16" ht="34.049999999999997" customHeight="1" x14ac:dyDescent="0.25">
      <c r="A49" s="5" t="s">
        <v>220</v>
      </c>
      <c r="B49" s="5" t="s">
        <v>180</v>
      </c>
      <c r="C49" s="7" t="s">
        <v>601</v>
      </c>
      <c r="D49" s="7" t="s">
        <v>628</v>
      </c>
      <c r="E49" s="7" t="s">
        <v>603</v>
      </c>
      <c r="F49" s="7" t="s">
        <v>604</v>
      </c>
      <c r="G49" s="7" t="s">
        <v>605</v>
      </c>
      <c r="H49" s="7" t="s">
        <v>606</v>
      </c>
      <c r="I49" s="7" t="s">
        <v>607</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629</v>
      </c>
      <c r="E50" s="7" t="s">
        <v>608</v>
      </c>
      <c r="F50" s="7" t="s">
        <v>609</v>
      </c>
      <c r="G50" s="7" t="s">
        <v>610</v>
      </c>
      <c r="H50" s="7" t="s">
        <v>611</v>
      </c>
      <c r="I50" s="7" t="s">
        <v>612</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235</v>
      </c>
      <c r="E51" s="7" t="s">
        <v>613</v>
      </c>
      <c r="F51" s="7" t="s">
        <v>614</v>
      </c>
      <c r="G51" s="7" t="s">
        <v>615</v>
      </c>
      <c r="H51" s="7" t="s">
        <v>616</v>
      </c>
      <c r="I51" s="7" t="s">
        <v>617</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237</v>
      </c>
      <c r="E52" s="7" t="s">
        <v>533</v>
      </c>
      <c r="F52" s="7" t="s">
        <v>534</v>
      </c>
      <c r="G52" s="7" t="s">
        <v>535</v>
      </c>
      <c r="H52" s="7" t="s">
        <v>536</v>
      </c>
      <c r="I52" s="7" t="s">
        <v>537</v>
      </c>
      <c r="J52" s="11" t="s">
        <v>34</v>
      </c>
      <c r="K52" s="11" t="s">
        <v>36</v>
      </c>
      <c r="L52" s="11" t="s">
        <v>38</v>
      </c>
      <c r="M52" s="11" t="s">
        <v>40</v>
      </c>
      <c r="N52" s="11" t="s">
        <v>42</v>
      </c>
      <c r="O52" s="9"/>
      <c r="P52" t="str">
        <f t="shared" si="1"/>
        <v/>
      </c>
    </row>
    <row r="53" spans="1:16" ht="34.049999999999997" customHeight="1" x14ac:dyDescent="0.25">
      <c r="A53" s="5" t="s">
        <v>236</v>
      </c>
      <c r="B53" s="5" t="s">
        <v>92</v>
      </c>
      <c r="C53" s="7" t="s">
        <v>538</v>
      </c>
      <c r="D53" s="7" t="s">
        <v>238</v>
      </c>
      <c r="E53" s="7" t="s">
        <v>540</v>
      </c>
      <c r="F53" s="7" t="s">
        <v>541</v>
      </c>
      <c r="G53" s="7" t="s">
        <v>542</v>
      </c>
      <c r="H53" s="7" t="s">
        <v>543</v>
      </c>
      <c r="I53" s="7" t="s">
        <v>544</v>
      </c>
      <c r="J53" s="11" t="s">
        <v>28</v>
      </c>
      <c r="K53" s="11" t="s">
        <v>30</v>
      </c>
      <c r="L53" s="11" t="s">
        <v>32</v>
      </c>
      <c r="M53" s="11" t="s">
        <v>40</v>
      </c>
      <c r="N53" s="11" t="s">
        <v>42</v>
      </c>
      <c r="O53" s="9"/>
      <c r="P53" t="str">
        <f t="shared" si="1"/>
        <v/>
      </c>
    </row>
    <row r="54" spans="1:16" ht="34.049999999999997" customHeight="1" x14ac:dyDescent="0.25">
      <c r="A54" s="5" t="s">
        <v>236</v>
      </c>
      <c r="B54" s="5" t="s">
        <v>100</v>
      </c>
      <c r="C54" s="7" t="s">
        <v>101</v>
      </c>
      <c r="D54" s="7" t="s">
        <v>255</v>
      </c>
      <c r="E54" s="7" t="s">
        <v>545</v>
      </c>
      <c r="F54" s="7" t="s">
        <v>546</v>
      </c>
      <c r="G54" s="7" t="s">
        <v>547</v>
      </c>
      <c r="H54" s="7" t="s">
        <v>548</v>
      </c>
      <c r="I54" s="7" t="s">
        <v>549</v>
      </c>
      <c r="J54" s="11" t="s">
        <v>30</v>
      </c>
      <c r="K54" s="11" t="s">
        <v>32</v>
      </c>
      <c r="L54" s="11" t="s">
        <v>34</v>
      </c>
      <c r="M54" s="11" t="s">
        <v>36</v>
      </c>
      <c r="N54" s="11" t="s">
        <v>38</v>
      </c>
      <c r="O54" s="9"/>
      <c r="P54" t="str">
        <f t="shared" si="1"/>
        <v/>
      </c>
    </row>
    <row r="55" spans="1:16" ht="34.049999999999997" customHeight="1" x14ac:dyDescent="0.25">
      <c r="A55" s="5" t="s">
        <v>236</v>
      </c>
      <c r="B55" s="5" t="s">
        <v>108</v>
      </c>
      <c r="C55" s="7" t="s">
        <v>109</v>
      </c>
      <c r="D55" s="7" t="s">
        <v>240</v>
      </c>
      <c r="E55" s="7" t="s">
        <v>550</v>
      </c>
      <c r="F55" s="7" t="s">
        <v>551</v>
      </c>
      <c r="G55" s="7" t="s">
        <v>552</v>
      </c>
      <c r="H55" s="7" t="s">
        <v>553</v>
      </c>
      <c r="I55" s="7" t="s">
        <v>554</v>
      </c>
      <c r="J55" s="11" t="s">
        <v>28</v>
      </c>
      <c r="K55" s="11" t="s">
        <v>36</v>
      </c>
      <c r="L55" s="11" t="s">
        <v>38</v>
      </c>
      <c r="M55" s="11" t="s">
        <v>40</v>
      </c>
      <c r="N55" s="11" t="s">
        <v>42</v>
      </c>
      <c r="O55" s="9"/>
      <c r="P55" t="str">
        <f t="shared" si="1"/>
        <v/>
      </c>
    </row>
    <row r="56" spans="1:16" ht="34.049999999999997" customHeight="1" x14ac:dyDescent="0.25">
      <c r="A56" s="5" t="s">
        <v>236</v>
      </c>
      <c r="B56" s="5" t="s">
        <v>116</v>
      </c>
      <c r="C56" s="7" t="s">
        <v>382</v>
      </c>
      <c r="D56" s="7" t="s">
        <v>241</v>
      </c>
      <c r="E56" s="7" t="s">
        <v>555</v>
      </c>
      <c r="F56" s="7" t="s">
        <v>556</v>
      </c>
      <c r="G56" s="7" t="s">
        <v>557</v>
      </c>
      <c r="H56" s="7" t="s">
        <v>558</v>
      </c>
      <c r="I56" s="7" t="s">
        <v>559</v>
      </c>
      <c r="J56" s="11" t="s">
        <v>28</v>
      </c>
      <c r="K56" s="11" t="s">
        <v>30</v>
      </c>
      <c r="L56" s="11" t="s">
        <v>32</v>
      </c>
      <c r="M56" s="11" t="s">
        <v>34</v>
      </c>
      <c r="N56" s="11" t="s">
        <v>42</v>
      </c>
      <c r="O56" s="9"/>
      <c r="P56" t="str">
        <f t="shared" si="1"/>
        <v/>
      </c>
    </row>
    <row r="57" spans="1:16" ht="34.049999999999997" customHeight="1" x14ac:dyDescent="0.25">
      <c r="A57" s="5" t="s">
        <v>236</v>
      </c>
      <c r="B57" s="5" t="s">
        <v>124</v>
      </c>
      <c r="C57" s="7" t="s">
        <v>560</v>
      </c>
      <c r="D57" s="7" t="s">
        <v>467</v>
      </c>
      <c r="E57" s="7" t="s">
        <v>562</v>
      </c>
      <c r="F57" s="7" t="s">
        <v>563</v>
      </c>
      <c r="G57" s="7" t="s">
        <v>564</v>
      </c>
      <c r="H57" s="7" t="s">
        <v>565</v>
      </c>
      <c r="I57" s="7" t="s">
        <v>566</v>
      </c>
      <c r="J57" s="11" t="s">
        <v>32</v>
      </c>
      <c r="K57" s="11" t="s">
        <v>34</v>
      </c>
      <c r="L57" s="11" t="s">
        <v>36</v>
      </c>
      <c r="M57" s="11" t="s">
        <v>38</v>
      </c>
      <c r="N57" s="11" t="s">
        <v>40</v>
      </c>
      <c r="O57" s="9"/>
      <c r="P57" t="str">
        <f t="shared" si="1"/>
        <v/>
      </c>
    </row>
    <row r="58" spans="1:16" ht="34.049999999999997" customHeight="1" x14ac:dyDescent="0.25">
      <c r="A58" s="5" t="s">
        <v>236</v>
      </c>
      <c r="B58" s="5" t="s">
        <v>132</v>
      </c>
      <c r="C58" s="7" t="s">
        <v>396</v>
      </c>
      <c r="D58" s="7" t="s">
        <v>630</v>
      </c>
      <c r="E58" s="7" t="s">
        <v>567</v>
      </c>
      <c r="F58" s="7" t="s">
        <v>568</v>
      </c>
      <c r="G58" s="7" t="s">
        <v>569</v>
      </c>
      <c r="H58" s="7" t="s">
        <v>570</v>
      </c>
      <c r="I58" s="7" t="s">
        <v>571</v>
      </c>
      <c r="J58" s="11" t="s">
        <v>28</v>
      </c>
      <c r="K58" s="11" t="s">
        <v>30</v>
      </c>
      <c r="L58" s="11" t="s">
        <v>38</v>
      </c>
      <c r="M58" s="11" t="s">
        <v>40</v>
      </c>
      <c r="N58" s="11" t="s">
        <v>42</v>
      </c>
      <c r="O58" s="9"/>
      <c r="P58" t="str">
        <f t="shared" si="1"/>
        <v/>
      </c>
    </row>
    <row r="59" spans="1:16" ht="34.049999999999997" customHeight="1" x14ac:dyDescent="0.25">
      <c r="A59" s="5" t="s">
        <v>236</v>
      </c>
      <c r="B59" s="5" t="s">
        <v>140</v>
      </c>
      <c r="C59" s="7" t="s">
        <v>141</v>
      </c>
      <c r="D59" s="7" t="s">
        <v>244</v>
      </c>
      <c r="E59" s="7" t="s">
        <v>573</v>
      </c>
      <c r="F59" s="7" t="s">
        <v>574</v>
      </c>
      <c r="G59" s="7" t="s">
        <v>575</v>
      </c>
      <c r="H59" s="7" t="s">
        <v>576</v>
      </c>
      <c r="I59" s="7" t="s">
        <v>577</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631</v>
      </c>
      <c r="E60" s="7" t="s">
        <v>579</v>
      </c>
      <c r="F60" s="7" t="s">
        <v>580</v>
      </c>
      <c r="G60" s="7" t="s">
        <v>581</v>
      </c>
      <c r="H60" s="7" t="s">
        <v>582</v>
      </c>
      <c r="I60" s="7" t="s">
        <v>583</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632</v>
      </c>
      <c r="E61" s="7" t="s">
        <v>584</v>
      </c>
      <c r="F61" s="7" t="s">
        <v>585</v>
      </c>
      <c r="G61" s="7" t="s">
        <v>586</v>
      </c>
      <c r="H61" s="7" t="s">
        <v>587</v>
      </c>
      <c r="I61" s="7" t="s">
        <v>588</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247</v>
      </c>
      <c r="E62" s="7" t="s">
        <v>590</v>
      </c>
      <c r="F62" s="7" t="s">
        <v>591</v>
      </c>
      <c r="G62" s="7" t="s">
        <v>592</v>
      </c>
      <c r="H62" s="7" t="s">
        <v>593</v>
      </c>
      <c r="I62" s="7" t="s">
        <v>594</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471</v>
      </c>
      <c r="E63" s="7" t="s">
        <v>596</v>
      </c>
      <c r="F63" s="7" t="s">
        <v>597</v>
      </c>
      <c r="G63" s="7" t="s">
        <v>598</v>
      </c>
      <c r="H63" s="7" t="s">
        <v>599</v>
      </c>
      <c r="I63" s="7" t="s">
        <v>600</v>
      </c>
      <c r="J63" s="11" t="s">
        <v>28</v>
      </c>
      <c r="K63" s="11" t="s">
        <v>36</v>
      </c>
      <c r="L63" s="11" t="s">
        <v>38</v>
      </c>
      <c r="M63" s="11" t="s">
        <v>40</v>
      </c>
      <c r="N63" s="11" t="s">
        <v>42</v>
      </c>
      <c r="O63" s="9"/>
      <c r="P63" t="str">
        <f t="shared" si="1"/>
        <v/>
      </c>
    </row>
    <row r="64" spans="1:16" ht="34.049999999999997" customHeight="1" x14ac:dyDescent="0.25">
      <c r="A64" s="5" t="s">
        <v>236</v>
      </c>
      <c r="B64" s="5" t="s">
        <v>180</v>
      </c>
      <c r="C64" s="7" t="s">
        <v>601</v>
      </c>
      <c r="D64" s="7" t="s">
        <v>472</v>
      </c>
      <c r="E64" s="7" t="s">
        <v>603</v>
      </c>
      <c r="F64" s="7" t="s">
        <v>604</v>
      </c>
      <c r="G64" s="7" t="s">
        <v>605</v>
      </c>
      <c r="H64" s="7" t="s">
        <v>606</v>
      </c>
      <c r="I64" s="7" t="s">
        <v>607</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473</v>
      </c>
      <c r="E65" s="7" t="s">
        <v>608</v>
      </c>
      <c r="F65" s="7" t="s">
        <v>609</v>
      </c>
      <c r="G65" s="7" t="s">
        <v>610</v>
      </c>
      <c r="H65" s="7" t="s">
        <v>611</v>
      </c>
      <c r="I65" s="7" t="s">
        <v>612</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251</v>
      </c>
      <c r="E66" s="7" t="s">
        <v>613</v>
      </c>
      <c r="F66" s="7" t="s">
        <v>614</v>
      </c>
      <c r="G66" s="7" t="s">
        <v>615</v>
      </c>
      <c r="H66" s="7" t="s">
        <v>616</v>
      </c>
      <c r="I66" s="7" t="s">
        <v>617</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474</v>
      </c>
      <c r="E67" s="7" t="s">
        <v>533</v>
      </c>
      <c r="F67" s="7" t="s">
        <v>534</v>
      </c>
      <c r="G67" s="7" t="s">
        <v>535</v>
      </c>
      <c r="H67" s="7" t="s">
        <v>536</v>
      </c>
      <c r="I67" s="7" t="s">
        <v>537</v>
      </c>
      <c r="J67" s="11" t="s">
        <v>34</v>
      </c>
      <c r="K67" s="11" t="s">
        <v>36</v>
      </c>
      <c r="L67" s="11" t="s">
        <v>38</v>
      </c>
      <c r="M67" s="11" t="s">
        <v>40</v>
      </c>
      <c r="N67" s="11" t="s">
        <v>42</v>
      </c>
      <c r="O67" s="9"/>
      <c r="P67" t="str">
        <f t="shared" si="1"/>
        <v/>
      </c>
    </row>
    <row r="68" spans="1:16" ht="34.049999999999997" customHeight="1" x14ac:dyDescent="0.25">
      <c r="A68" s="5" t="s">
        <v>252</v>
      </c>
      <c r="B68" s="5" t="s">
        <v>92</v>
      </c>
      <c r="C68" s="7" t="s">
        <v>538</v>
      </c>
      <c r="D68" s="7" t="s">
        <v>254</v>
      </c>
      <c r="E68" s="7" t="s">
        <v>540</v>
      </c>
      <c r="F68" s="7" t="s">
        <v>541</v>
      </c>
      <c r="G68" s="7" t="s">
        <v>542</v>
      </c>
      <c r="H68" s="7" t="s">
        <v>543</v>
      </c>
      <c r="I68" s="7" t="s">
        <v>544</v>
      </c>
      <c r="J68" s="11" t="s">
        <v>28</v>
      </c>
      <c r="K68" s="11" t="s">
        <v>30</v>
      </c>
      <c r="L68" s="11" t="s">
        <v>32</v>
      </c>
      <c r="M68" s="11" t="s">
        <v>40</v>
      </c>
      <c r="N68" s="11" t="s">
        <v>42</v>
      </c>
      <c r="O68" s="9"/>
      <c r="P68" t="str">
        <f t="shared" si="1"/>
        <v/>
      </c>
    </row>
    <row r="69" spans="1:16" ht="34.049999999999997" customHeight="1" x14ac:dyDescent="0.25">
      <c r="A69" s="5" t="s">
        <v>252</v>
      </c>
      <c r="B69" s="5" t="s">
        <v>100</v>
      </c>
      <c r="C69" s="7" t="s">
        <v>101</v>
      </c>
      <c r="D69" s="7" t="s">
        <v>271</v>
      </c>
      <c r="E69" s="7" t="s">
        <v>545</v>
      </c>
      <c r="F69" s="7" t="s">
        <v>546</v>
      </c>
      <c r="G69" s="7" t="s">
        <v>547</v>
      </c>
      <c r="H69" s="7" t="s">
        <v>548</v>
      </c>
      <c r="I69" s="7" t="s">
        <v>549</v>
      </c>
      <c r="J69" s="11" t="s">
        <v>30</v>
      </c>
      <c r="K69" s="11" t="s">
        <v>32</v>
      </c>
      <c r="L69" s="11" t="s">
        <v>34</v>
      </c>
      <c r="M69" s="11" t="s">
        <v>36</v>
      </c>
      <c r="N69" s="11" t="s">
        <v>38</v>
      </c>
      <c r="O69" s="9"/>
      <c r="P69" t="str">
        <f t="shared" si="1"/>
        <v/>
      </c>
    </row>
    <row r="70" spans="1:16" ht="34.049999999999997" customHeight="1" x14ac:dyDescent="0.25">
      <c r="A70" s="5" t="s">
        <v>252</v>
      </c>
      <c r="B70" s="5" t="s">
        <v>108</v>
      </c>
      <c r="C70" s="7" t="s">
        <v>109</v>
      </c>
      <c r="D70" s="7" t="s">
        <v>633</v>
      </c>
      <c r="E70" s="7" t="s">
        <v>550</v>
      </c>
      <c r="F70" s="7" t="s">
        <v>551</v>
      </c>
      <c r="G70" s="7" t="s">
        <v>552</v>
      </c>
      <c r="H70" s="7" t="s">
        <v>553</v>
      </c>
      <c r="I70" s="7" t="s">
        <v>554</v>
      </c>
      <c r="J70" s="11" t="s">
        <v>28</v>
      </c>
      <c r="K70" s="11" t="s">
        <v>36</v>
      </c>
      <c r="L70" s="11" t="s">
        <v>38</v>
      </c>
      <c r="M70" s="11" t="s">
        <v>40</v>
      </c>
      <c r="N70" s="11" t="s">
        <v>42</v>
      </c>
      <c r="O70" s="9"/>
      <c r="P70" t="str">
        <f t="shared" si="1"/>
        <v/>
      </c>
    </row>
    <row r="71" spans="1:16" ht="34.049999999999997" customHeight="1" x14ac:dyDescent="0.25">
      <c r="A71" s="5" t="s">
        <v>252</v>
      </c>
      <c r="B71" s="5" t="s">
        <v>116</v>
      </c>
      <c r="C71" s="7" t="s">
        <v>382</v>
      </c>
      <c r="D71" s="7" t="s">
        <v>476</v>
      </c>
      <c r="E71" s="7" t="s">
        <v>555</v>
      </c>
      <c r="F71" s="7" t="s">
        <v>556</v>
      </c>
      <c r="G71" s="7" t="s">
        <v>557</v>
      </c>
      <c r="H71" s="7" t="s">
        <v>558</v>
      </c>
      <c r="I71" s="7" t="s">
        <v>559</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560</v>
      </c>
      <c r="D72" s="7" t="s">
        <v>634</v>
      </c>
      <c r="E72" s="7" t="s">
        <v>562</v>
      </c>
      <c r="F72" s="7" t="s">
        <v>563</v>
      </c>
      <c r="G72" s="7" t="s">
        <v>564</v>
      </c>
      <c r="H72" s="7" t="s">
        <v>565</v>
      </c>
      <c r="I72" s="7" t="s">
        <v>566</v>
      </c>
      <c r="J72" s="11" t="s">
        <v>32</v>
      </c>
      <c r="K72" s="11" t="s">
        <v>34</v>
      </c>
      <c r="L72" s="11" t="s">
        <v>36</v>
      </c>
      <c r="M72" s="11" t="s">
        <v>38</v>
      </c>
      <c r="N72" s="11" t="s">
        <v>40</v>
      </c>
      <c r="O72" s="9"/>
      <c r="P72" t="str">
        <f t="shared" si="2"/>
        <v/>
      </c>
    </row>
    <row r="73" spans="1:16" ht="34.049999999999997" customHeight="1" x14ac:dyDescent="0.25">
      <c r="A73" s="5" t="s">
        <v>252</v>
      </c>
      <c r="B73" s="5" t="s">
        <v>132</v>
      </c>
      <c r="C73" s="7" t="s">
        <v>396</v>
      </c>
      <c r="D73" s="7" t="s">
        <v>635</v>
      </c>
      <c r="E73" s="7" t="s">
        <v>567</v>
      </c>
      <c r="F73" s="7" t="s">
        <v>568</v>
      </c>
      <c r="G73" s="7" t="s">
        <v>569</v>
      </c>
      <c r="H73" s="7" t="s">
        <v>570</v>
      </c>
      <c r="I73" s="7" t="s">
        <v>571</v>
      </c>
      <c r="J73" s="11" t="s">
        <v>28</v>
      </c>
      <c r="K73" s="11" t="s">
        <v>30</v>
      </c>
      <c r="L73" s="11" t="s">
        <v>38</v>
      </c>
      <c r="M73" s="11" t="s">
        <v>40</v>
      </c>
      <c r="N73" s="11" t="s">
        <v>42</v>
      </c>
      <c r="O73" s="9"/>
      <c r="P73" t="str">
        <f t="shared" si="2"/>
        <v/>
      </c>
    </row>
    <row r="74" spans="1:16" ht="34.049999999999997" customHeight="1" x14ac:dyDescent="0.25">
      <c r="A74" s="5" t="s">
        <v>252</v>
      </c>
      <c r="B74" s="5" t="s">
        <v>140</v>
      </c>
      <c r="C74" s="7" t="s">
        <v>141</v>
      </c>
      <c r="D74" s="7" t="s">
        <v>260</v>
      </c>
      <c r="E74" s="7" t="s">
        <v>573</v>
      </c>
      <c r="F74" s="7" t="s">
        <v>574</v>
      </c>
      <c r="G74" s="7" t="s">
        <v>575</v>
      </c>
      <c r="H74" s="7" t="s">
        <v>576</v>
      </c>
      <c r="I74" s="7" t="s">
        <v>577</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636</v>
      </c>
      <c r="E75" s="7" t="s">
        <v>579</v>
      </c>
      <c r="F75" s="7" t="s">
        <v>580</v>
      </c>
      <c r="G75" s="7" t="s">
        <v>581</v>
      </c>
      <c r="H75" s="7" t="s">
        <v>582</v>
      </c>
      <c r="I75" s="7" t="s">
        <v>583</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480</v>
      </c>
      <c r="E76" s="7" t="s">
        <v>584</v>
      </c>
      <c r="F76" s="7" t="s">
        <v>585</v>
      </c>
      <c r="G76" s="7" t="s">
        <v>586</v>
      </c>
      <c r="H76" s="7" t="s">
        <v>587</v>
      </c>
      <c r="I76" s="7" t="s">
        <v>588</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263</v>
      </c>
      <c r="E77" s="7" t="s">
        <v>590</v>
      </c>
      <c r="F77" s="7" t="s">
        <v>591</v>
      </c>
      <c r="G77" s="7" t="s">
        <v>592</v>
      </c>
      <c r="H77" s="7" t="s">
        <v>593</v>
      </c>
      <c r="I77" s="7" t="s">
        <v>594</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637</v>
      </c>
      <c r="E78" s="7" t="s">
        <v>596</v>
      </c>
      <c r="F78" s="7" t="s">
        <v>597</v>
      </c>
      <c r="G78" s="7" t="s">
        <v>598</v>
      </c>
      <c r="H78" s="7" t="s">
        <v>599</v>
      </c>
      <c r="I78" s="7" t="s">
        <v>600</v>
      </c>
      <c r="J78" s="11" t="s">
        <v>28</v>
      </c>
      <c r="K78" s="11" t="s">
        <v>36</v>
      </c>
      <c r="L78" s="11" t="s">
        <v>38</v>
      </c>
      <c r="M78" s="11" t="s">
        <v>40</v>
      </c>
      <c r="N78" s="11" t="s">
        <v>42</v>
      </c>
      <c r="O78" s="9"/>
      <c r="P78" t="str">
        <f t="shared" si="2"/>
        <v/>
      </c>
    </row>
    <row r="79" spans="1:16" ht="34.049999999999997" customHeight="1" x14ac:dyDescent="0.25">
      <c r="A79" s="5" t="s">
        <v>252</v>
      </c>
      <c r="B79" s="5" t="s">
        <v>180</v>
      </c>
      <c r="C79" s="7" t="s">
        <v>601</v>
      </c>
      <c r="D79" s="7" t="s">
        <v>638</v>
      </c>
      <c r="E79" s="7" t="s">
        <v>603</v>
      </c>
      <c r="F79" s="7" t="s">
        <v>604</v>
      </c>
      <c r="G79" s="7" t="s">
        <v>605</v>
      </c>
      <c r="H79" s="7" t="s">
        <v>606</v>
      </c>
      <c r="I79" s="7" t="s">
        <v>607</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482</v>
      </c>
      <c r="E80" s="7" t="s">
        <v>608</v>
      </c>
      <c r="F80" s="7" t="s">
        <v>609</v>
      </c>
      <c r="G80" s="7" t="s">
        <v>610</v>
      </c>
      <c r="H80" s="7" t="s">
        <v>611</v>
      </c>
      <c r="I80" s="7" t="s">
        <v>612</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267</v>
      </c>
      <c r="E81" s="7" t="s">
        <v>613</v>
      </c>
      <c r="F81" s="7" t="s">
        <v>614</v>
      </c>
      <c r="G81" s="7" t="s">
        <v>615</v>
      </c>
      <c r="H81" s="7" t="s">
        <v>616</v>
      </c>
      <c r="I81" s="7" t="s">
        <v>617</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269</v>
      </c>
      <c r="E82" s="7" t="s">
        <v>533</v>
      </c>
      <c r="F82" s="7" t="s">
        <v>534</v>
      </c>
      <c r="G82" s="7" t="s">
        <v>535</v>
      </c>
      <c r="H82" s="7" t="s">
        <v>536</v>
      </c>
      <c r="I82" s="7" t="s">
        <v>537</v>
      </c>
      <c r="J82" s="11" t="s">
        <v>34</v>
      </c>
      <c r="K82" s="11" t="s">
        <v>36</v>
      </c>
      <c r="L82" s="11" t="s">
        <v>38</v>
      </c>
      <c r="M82" s="11" t="s">
        <v>40</v>
      </c>
      <c r="N82" s="11" t="s">
        <v>42</v>
      </c>
      <c r="O82" s="9"/>
      <c r="P82" t="str">
        <f t="shared" si="2"/>
        <v/>
      </c>
    </row>
    <row r="83" spans="1:16" ht="34.049999999999997" customHeight="1" x14ac:dyDescent="0.25">
      <c r="A83" s="5" t="s">
        <v>268</v>
      </c>
      <c r="B83" s="5" t="s">
        <v>92</v>
      </c>
      <c r="C83" s="7" t="s">
        <v>538</v>
      </c>
      <c r="D83" s="7" t="s">
        <v>639</v>
      </c>
      <c r="E83" s="7" t="s">
        <v>540</v>
      </c>
      <c r="F83" s="7" t="s">
        <v>541</v>
      </c>
      <c r="G83" s="7" t="s">
        <v>542</v>
      </c>
      <c r="H83" s="7" t="s">
        <v>543</v>
      </c>
      <c r="I83" s="7" t="s">
        <v>544</v>
      </c>
      <c r="J83" s="11" t="s">
        <v>28</v>
      </c>
      <c r="K83" s="11" t="s">
        <v>30</v>
      </c>
      <c r="L83" s="11" t="s">
        <v>32</v>
      </c>
      <c r="M83" s="11" t="s">
        <v>40</v>
      </c>
      <c r="N83" s="11" t="s">
        <v>42</v>
      </c>
      <c r="O83" s="9"/>
      <c r="P83" t="str">
        <f t="shared" si="2"/>
        <v/>
      </c>
    </row>
    <row r="84" spans="1:16" ht="34.049999999999997" customHeight="1" x14ac:dyDescent="0.25">
      <c r="A84" s="5" t="s">
        <v>268</v>
      </c>
      <c r="B84" s="5" t="s">
        <v>100</v>
      </c>
      <c r="C84" s="7" t="s">
        <v>101</v>
      </c>
      <c r="D84" s="7" t="s">
        <v>483</v>
      </c>
      <c r="E84" s="7" t="s">
        <v>545</v>
      </c>
      <c r="F84" s="7" t="s">
        <v>546</v>
      </c>
      <c r="G84" s="7" t="s">
        <v>547</v>
      </c>
      <c r="H84" s="7" t="s">
        <v>548</v>
      </c>
      <c r="I84" s="7" t="s">
        <v>549</v>
      </c>
      <c r="J84" s="11" t="s">
        <v>30</v>
      </c>
      <c r="K84" s="11" t="s">
        <v>32</v>
      </c>
      <c r="L84" s="11" t="s">
        <v>34</v>
      </c>
      <c r="M84" s="11" t="s">
        <v>36</v>
      </c>
      <c r="N84" s="11" t="s">
        <v>38</v>
      </c>
      <c r="O84" s="9"/>
      <c r="P84" t="str">
        <f t="shared" si="2"/>
        <v/>
      </c>
    </row>
    <row r="85" spans="1:16" ht="34.049999999999997" customHeight="1" x14ac:dyDescent="0.25">
      <c r="A85" s="5" t="s">
        <v>268</v>
      </c>
      <c r="B85" s="5" t="s">
        <v>108</v>
      </c>
      <c r="C85" s="7" t="s">
        <v>109</v>
      </c>
      <c r="D85" s="7" t="s">
        <v>484</v>
      </c>
      <c r="E85" s="7" t="s">
        <v>550</v>
      </c>
      <c r="F85" s="7" t="s">
        <v>551</v>
      </c>
      <c r="G85" s="7" t="s">
        <v>552</v>
      </c>
      <c r="H85" s="7" t="s">
        <v>553</v>
      </c>
      <c r="I85" s="7" t="s">
        <v>554</v>
      </c>
      <c r="J85" s="11" t="s">
        <v>28</v>
      </c>
      <c r="K85" s="11" t="s">
        <v>36</v>
      </c>
      <c r="L85" s="11" t="s">
        <v>38</v>
      </c>
      <c r="M85" s="11" t="s">
        <v>40</v>
      </c>
      <c r="N85" s="11" t="s">
        <v>42</v>
      </c>
      <c r="O85" s="9"/>
      <c r="P85" t="str">
        <f t="shared" si="2"/>
        <v/>
      </c>
    </row>
    <row r="86" spans="1:16" ht="34.049999999999997" customHeight="1" x14ac:dyDescent="0.25">
      <c r="A86" s="5" t="s">
        <v>268</v>
      </c>
      <c r="B86" s="5" t="s">
        <v>116</v>
      </c>
      <c r="C86" s="7" t="s">
        <v>382</v>
      </c>
      <c r="D86" s="7" t="s">
        <v>273</v>
      </c>
      <c r="E86" s="7" t="s">
        <v>555</v>
      </c>
      <c r="F86" s="7" t="s">
        <v>556</v>
      </c>
      <c r="G86" s="7" t="s">
        <v>557</v>
      </c>
      <c r="H86" s="7" t="s">
        <v>558</v>
      </c>
      <c r="I86" s="7" t="s">
        <v>559</v>
      </c>
      <c r="J86" s="11" t="s">
        <v>28</v>
      </c>
      <c r="K86" s="11" t="s">
        <v>30</v>
      </c>
      <c r="L86" s="11" t="s">
        <v>32</v>
      </c>
      <c r="M86" s="11" t="s">
        <v>34</v>
      </c>
      <c r="N86" s="11" t="s">
        <v>42</v>
      </c>
      <c r="O86" s="9"/>
      <c r="P86" t="str">
        <f t="shared" si="2"/>
        <v/>
      </c>
    </row>
    <row r="87" spans="1:16" ht="34.049999999999997" customHeight="1" x14ac:dyDescent="0.25">
      <c r="A87" s="5" t="s">
        <v>268</v>
      </c>
      <c r="B87" s="5" t="s">
        <v>124</v>
      </c>
      <c r="C87" s="7" t="s">
        <v>560</v>
      </c>
      <c r="D87" s="7" t="s">
        <v>485</v>
      </c>
      <c r="E87" s="7" t="s">
        <v>562</v>
      </c>
      <c r="F87" s="7" t="s">
        <v>563</v>
      </c>
      <c r="G87" s="7" t="s">
        <v>564</v>
      </c>
      <c r="H87" s="7" t="s">
        <v>565</v>
      </c>
      <c r="I87" s="7" t="s">
        <v>566</v>
      </c>
      <c r="J87" s="11" t="s">
        <v>32</v>
      </c>
      <c r="K87" s="11" t="s">
        <v>34</v>
      </c>
      <c r="L87" s="11" t="s">
        <v>36</v>
      </c>
      <c r="M87" s="11" t="s">
        <v>38</v>
      </c>
      <c r="N87" s="11" t="s">
        <v>40</v>
      </c>
      <c r="O87" s="9"/>
      <c r="P87" t="str">
        <f t="shared" si="2"/>
        <v/>
      </c>
    </row>
    <row r="88" spans="1:16" ht="34.049999999999997" customHeight="1" x14ac:dyDescent="0.25">
      <c r="A88" s="5" t="s">
        <v>268</v>
      </c>
      <c r="B88" s="5" t="s">
        <v>132</v>
      </c>
      <c r="C88" s="7" t="s">
        <v>396</v>
      </c>
      <c r="D88" s="7" t="s">
        <v>640</v>
      </c>
      <c r="E88" s="7" t="s">
        <v>567</v>
      </c>
      <c r="F88" s="7" t="s">
        <v>568</v>
      </c>
      <c r="G88" s="7" t="s">
        <v>569</v>
      </c>
      <c r="H88" s="7" t="s">
        <v>570</v>
      </c>
      <c r="I88" s="7" t="s">
        <v>571</v>
      </c>
      <c r="J88" s="11" t="s">
        <v>28</v>
      </c>
      <c r="K88" s="11" t="s">
        <v>30</v>
      </c>
      <c r="L88" s="11" t="s">
        <v>38</v>
      </c>
      <c r="M88" s="11" t="s">
        <v>40</v>
      </c>
      <c r="N88" s="11" t="s">
        <v>42</v>
      </c>
      <c r="O88" s="9"/>
      <c r="P88" t="str">
        <f t="shared" si="2"/>
        <v/>
      </c>
    </row>
    <row r="89" spans="1:16" ht="34.049999999999997" customHeight="1" x14ac:dyDescent="0.25">
      <c r="A89" s="5" t="s">
        <v>268</v>
      </c>
      <c r="B89" s="5" t="s">
        <v>140</v>
      </c>
      <c r="C89" s="7" t="s">
        <v>141</v>
      </c>
      <c r="D89" s="7" t="s">
        <v>276</v>
      </c>
      <c r="E89" s="7" t="s">
        <v>573</v>
      </c>
      <c r="F89" s="7" t="s">
        <v>574</v>
      </c>
      <c r="G89" s="7" t="s">
        <v>575</v>
      </c>
      <c r="H89" s="7" t="s">
        <v>576</v>
      </c>
      <c r="I89" s="7" t="s">
        <v>577</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641</v>
      </c>
      <c r="E90" s="7" t="s">
        <v>579</v>
      </c>
      <c r="F90" s="7" t="s">
        <v>580</v>
      </c>
      <c r="G90" s="7" t="s">
        <v>581</v>
      </c>
      <c r="H90" s="7" t="s">
        <v>582</v>
      </c>
      <c r="I90" s="7" t="s">
        <v>583</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278</v>
      </c>
      <c r="E91" s="7" t="s">
        <v>584</v>
      </c>
      <c r="F91" s="7" t="s">
        <v>585</v>
      </c>
      <c r="G91" s="7" t="s">
        <v>586</v>
      </c>
      <c r="H91" s="7" t="s">
        <v>587</v>
      </c>
      <c r="I91" s="7" t="s">
        <v>588</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279</v>
      </c>
      <c r="E92" s="7" t="s">
        <v>590</v>
      </c>
      <c r="F92" s="7" t="s">
        <v>591</v>
      </c>
      <c r="G92" s="7" t="s">
        <v>592</v>
      </c>
      <c r="H92" s="7" t="s">
        <v>593</v>
      </c>
      <c r="I92" s="7" t="s">
        <v>594</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488</v>
      </c>
      <c r="E93" s="7" t="s">
        <v>596</v>
      </c>
      <c r="F93" s="7" t="s">
        <v>597</v>
      </c>
      <c r="G93" s="7" t="s">
        <v>598</v>
      </c>
      <c r="H93" s="7" t="s">
        <v>599</v>
      </c>
      <c r="I93" s="7" t="s">
        <v>600</v>
      </c>
      <c r="J93" s="11" t="s">
        <v>28</v>
      </c>
      <c r="K93" s="11" t="s">
        <v>36</v>
      </c>
      <c r="L93" s="11" t="s">
        <v>38</v>
      </c>
      <c r="M93" s="11" t="s">
        <v>40</v>
      </c>
      <c r="N93" s="11" t="s">
        <v>42</v>
      </c>
      <c r="O93" s="9"/>
      <c r="P93" t="str">
        <f t="shared" si="2"/>
        <v/>
      </c>
    </row>
    <row r="94" spans="1:16" ht="34.049999999999997" customHeight="1" x14ac:dyDescent="0.25">
      <c r="A94" s="5" t="s">
        <v>268</v>
      </c>
      <c r="B94" s="5" t="s">
        <v>180</v>
      </c>
      <c r="C94" s="7" t="s">
        <v>601</v>
      </c>
      <c r="D94" s="7" t="s">
        <v>642</v>
      </c>
      <c r="E94" s="7" t="s">
        <v>603</v>
      </c>
      <c r="F94" s="7" t="s">
        <v>604</v>
      </c>
      <c r="G94" s="7" t="s">
        <v>605</v>
      </c>
      <c r="H94" s="7" t="s">
        <v>606</v>
      </c>
      <c r="I94" s="7" t="s">
        <v>607</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489</v>
      </c>
      <c r="E95" s="7" t="s">
        <v>608</v>
      </c>
      <c r="F95" s="7" t="s">
        <v>609</v>
      </c>
      <c r="G95" s="7" t="s">
        <v>610</v>
      </c>
      <c r="H95" s="7" t="s">
        <v>611</v>
      </c>
      <c r="I95" s="7" t="s">
        <v>612</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490</v>
      </c>
      <c r="E96" s="7" t="s">
        <v>613</v>
      </c>
      <c r="F96" s="7" t="s">
        <v>614</v>
      </c>
      <c r="G96" s="7" t="s">
        <v>615</v>
      </c>
      <c r="H96" s="7" t="s">
        <v>616</v>
      </c>
      <c r="I96" s="7" t="s">
        <v>617</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643</v>
      </c>
      <c r="E97" s="7" t="s">
        <v>533</v>
      </c>
      <c r="F97" s="7" t="s">
        <v>534</v>
      </c>
      <c r="G97" s="7" t="s">
        <v>535</v>
      </c>
      <c r="H97" s="7" t="s">
        <v>536</v>
      </c>
      <c r="I97" s="7" t="s">
        <v>537</v>
      </c>
      <c r="J97" s="11" t="s">
        <v>34</v>
      </c>
      <c r="K97" s="11" t="s">
        <v>36</v>
      </c>
      <c r="L97" s="11" t="s">
        <v>38</v>
      </c>
      <c r="M97" s="11" t="s">
        <v>40</v>
      </c>
      <c r="N97" s="11" t="s">
        <v>42</v>
      </c>
      <c r="O97" s="9"/>
      <c r="P97" t="str">
        <f t="shared" si="2"/>
        <v/>
      </c>
    </row>
    <row r="98" spans="1:16" ht="34.049999999999997" customHeight="1" x14ac:dyDescent="0.25">
      <c r="A98" s="5" t="s">
        <v>284</v>
      </c>
      <c r="B98" s="5" t="s">
        <v>92</v>
      </c>
      <c r="C98" s="7" t="s">
        <v>538</v>
      </c>
      <c r="D98" s="7" t="s">
        <v>492</v>
      </c>
      <c r="E98" s="7" t="s">
        <v>540</v>
      </c>
      <c r="F98" s="7" t="s">
        <v>541</v>
      </c>
      <c r="G98" s="7" t="s">
        <v>542</v>
      </c>
      <c r="H98" s="7" t="s">
        <v>543</v>
      </c>
      <c r="I98" s="7" t="s">
        <v>544</v>
      </c>
      <c r="J98" s="11" t="s">
        <v>28</v>
      </c>
      <c r="K98" s="11" t="s">
        <v>30</v>
      </c>
      <c r="L98" s="11" t="s">
        <v>32</v>
      </c>
      <c r="M98" s="11" t="s">
        <v>40</v>
      </c>
      <c r="N98" s="11" t="s">
        <v>42</v>
      </c>
      <c r="O98" s="9"/>
      <c r="P98" t="str">
        <f t="shared" si="2"/>
        <v/>
      </c>
    </row>
    <row r="99" spans="1:16" ht="34.049999999999997" customHeight="1" x14ac:dyDescent="0.25">
      <c r="A99" s="5" t="s">
        <v>284</v>
      </c>
      <c r="B99" s="5" t="s">
        <v>100</v>
      </c>
      <c r="C99" s="7" t="s">
        <v>101</v>
      </c>
      <c r="D99" s="7" t="s">
        <v>493</v>
      </c>
      <c r="E99" s="7" t="s">
        <v>545</v>
      </c>
      <c r="F99" s="7" t="s">
        <v>546</v>
      </c>
      <c r="G99" s="7" t="s">
        <v>547</v>
      </c>
      <c r="H99" s="7" t="s">
        <v>548</v>
      </c>
      <c r="I99" s="7" t="s">
        <v>549</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109</v>
      </c>
      <c r="D100" s="7" t="s">
        <v>644</v>
      </c>
      <c r="E100" s="7" t="s">
        <v>550</v>
      </c>
      <c r="F100" s="7" t="s">
        <v>551</v>
      </c>
      <c r="G100" s="7" t="s">
        <v>552</v>
      </c>
      <c r="H100" s="7" t="s">
        <v>553</v>
      </c>
      <c r="I100" s="7" t="s">
        <v>554</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382</v>
      </c>
      <c r="D101" s="7" t="s">
        <v>495</v>
      </c>
      <c r="E101" s="7" t="s">
        <v>555</v>
      </c>
      <c r="F101" s="7" t="s">
        <v>556</v>
      </c>
      <c r="G101" s="7" t="s">
        <v>557</v>
      </c>
      <c r="H101" s="7" t="s">
        <v>558</v>
      </c>
      <c r="I101" s="7" t="s">
        <v>559</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560</v>
      </c>
      <c r="D102" s="7" t="s">
        <v>496</v>
      </c>
      <c r="E102" s="7" t="s">
        <v>562</v>
      </c>
      <c r="F102" s="7" t="s">
        <v>563</v>
      </c>
      <c r="G102" s="7" t="s">
        <v>564</v>
      </c>
      <c r="H102" s="7" t="s">
        <v>565</v>
      </c>
      <c r="I102" s="7" t="s">
        <v>566</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396</v>
      </c>
      <c r="D103" s="7" t="s">
        <v>497</v>
      </c>
      <c r="E103" s="7" t="s">
        <v>567</v>
      </c>
      <c r="F103" s="7" t="s">
        <v>568</v>
      </c>
      <c r="G103" s="7" t="s">
        <v>569</v>
      </c>
      <c r="H103" s="7" t="s">
        <v>570</v>
      </c>
      <c r="I103" s="7" t="s">
        <v>571</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141</v>
      </c>
      <c r="D104" s="7" t="s">
        <v>645</v>
      </c>
      <c r="E104" s="7" t="s">
        <v>573</v>
      </c>
      <c r="F104" s="7" t="s">
        <v>574</v>
      </c>
      <c r="G104" s="7" t="s">
        <v>575</v>
      </c>
      <c r="H104" s="7" t="s">
        <v>576</v>
      </c>
      <c r="I104" s="7" t="s">
        <v>577</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646</v>
      </c>
      <c r="E105" s="7" t="s">
        <v>579</v>
      </c>
      <c r="F105" s="7" t="s">
        <v>580</v>
      </c>
      <c r="G105" s="7" t="s">
        <v>581</v>
      </c>
      <c r="H105" s="7" t="s">
        <v>582</v>
      </c>
      <c r="I105" s="7" t="s">
        <v>583</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647</v>
      </c>
      <c r="E106" s="7" t="s">
        <v>584</v>
      </c>
      <c r="F106" s="7" t="s">
        <v>585</v>
      </c>
      <c r="G106" s="7" t="s">
        <v>586</v>
      </c>
      <c r="H106" s="7" t="s">
        <v>587</v>
      </c>
      <c r="I106" s="7" t="s">
        <v>588</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501</v>
      </c>
      <c r="E107" s="7" t="s">
        <v>590</v>
      </c>
      <c r="F107" s="7" t="s">
        <v>591</v>
      </c>
      <c r="G107" s="7" t="s">
        <v>592</v>
      </c>
      <c r="H107" s="7" t="s">
        <v>593</v>
      </c>
      <c r="I107" s="7" t="s">
        <v>594</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296</v>
      </c>
      <c r="E108" s="7" t="s">
        <v>596</v>
      </c>
      <c r="F108" s="7" t="s">
        <v>597</v>
      </c>
      <c r="G108" s="7" t="s">
        <v>598</v>
      </c>
      <c r="H108" s="7" t="s">
        <v>599</v>
      </c>
      <c r="I108" s="7" t="s">
        <v>600</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601</v>
      </c>
      <c r="D109" s="7" t="s">
        <v>502</v>
      </c>
      <c r="E109" s="7" t="s">
        <v>603</v>
      </c>
      <c r="F109" s="7" t="s">
        <v>604</v>
      </c>
      <c r="G109" s="7" t="s">
        <v>605</v>
      </c>
      <c r="H109" s="7" t="s">
        <v>606</v>
      </c>
      <c r="I109" s="7" t="s">
        <v>607</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503</v>
      </c>
      <c r="E110" s="7" t="s">
        <v>608</v>
      </c>
      <c r="F110" s="7" t="s">
        <v>609</v>
      </c>
      <c r="G110" s="7" t="s">
        <v>610</v>
      </c>
      <c r="H110" s="7" t="s">
        <v>611</v>
      </c>
      <c r="I110" s="7" t="s">
        <v>612</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299</v>
      </c>
      <c r="E111" s="7" t="s">
        <v>613</v>
      </c>
      <c r="F111" s="7" t="s">
        <v>614</v>
      </c>
      <c r="G111" s="7" t="s">
        <v>615</v>
      </c>
      <c r="H111" s="7" t="s">
        <v>616</v>
      </c>
      <c r="I111" s="7" t="s">
        <v>617</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504</v>
      </c>
      <c r="E112" s="7" t="s">
        <v>533</v>
      </c>
      <c r="F112" s="7" t="s">
        <v>534</v>
      </c>
      <c r="G112" s="7" t="s">
        <v>535</v>
      </c>
      <c r="H112" s="7" t="s">
        <v>536</v>
      </c>
      <c r="I112" s="7" t="s">
        <v>537</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538</v>
      </c>
      <c r="D113" s="7" t="s">
        <v>648</v>
      </c>
      <c r="E113" s="7" t="s">
        <v>540</v>
      </c>
      <c r="F113" s="7" t="s">
        <v>541</v>
      </c>
      <c r="G113" s="7" t="s">
        <v>542</v>
      </c>
      <c r="H113" s="7" t="s">
        <v>543</v>
      </c>
      <c r="I113" s="7" t="s">
        <v>544</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101</v>
      </c>
      <c r="D114" s="7" t="s">
        <v>319</v>
      </c>
      <c r="E114" s="7" t="s">
        <v>545</v>
      </c>
      <c r="F114" s="7" t="s">
        <v>546</v>
      </c>
      <c r="G114" s="7" t="s">
        <v>547</v>
      </c>
      <c r="H114" s="7" t="s">
        <v>548</v>
      </c>
      <c r="I114" s="7" t="s">
        <v>549</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109</v>
      </c>
      <c r="D115" s="7" t="s">
        <v>505</v>
      </c>
      <c r="E115" s="7" t="s">
        <v>550</v>
      </c>
      <c r="F115" s="7" t="s">
        <v>551</v>
      </c>
      <c r="G115" s="7" t="s">
        <v>552</v>
      </c>
      <c r="H115" s="7" t="s">
        <v>553</v>
      </c>
      <c r="I115" s="7" t="s">
        <v>554</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382</v>
      </c>
      <c r="D116" s="7" t="s">
        <v>305</v>
      </c>
      <c r="E116" s="7" t="s">
        <v>555</v>
      </c>
      <c r="F116" s="7" t="s">
        <v>556</v>
      </c>
      <c r="G116" s="7" t="s">
        <v>557</v>
      </c>
      <c r="H116" s="7" t="s">
        <v>558</v>
      </c>
      <c r="I116" s="7" t="s">
        <v>559</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560</v>
      </c>
      <c r="D117" s="7" t="s">
        <v>506</v>
      </c>
      <c r="E117" s="7" t="s">
        <v>562</v>
      </c>
      <c r="F117" s="7" t="s">
        <v>563</v>
      </c>
      <c r="G117" s="7" t="s">
        <v>564</v>
      </c>
      <c r="H117" s="7" t="s">
        <v>565</v>
      </c>
      <c r="I117" s="7" t="s">
        <v>566</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396</v>
      </c>
      <c r="D118" s="7" t="s">
        <v>507</v>
      </c>
      <c r="E118" s="7" t="s">
        <v>567</v>
      </c>
      <c r="F118" s="7" t="s">
        <v>568</v>
      </c>
      <c r="G118" s="7" t="s">
        <v>569</v>
      </c>
      <c r="H118" s="7" t="s">
        <v>570</v>
      </c>
      <c r="I118" s="7" t="s">
        <v>571</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141</v>
      </c>
      <c r="D119" s="7" t="s">
        <v>308</v>
      </c>
      <c r="E119" s="7" t="s">
        <v>573</v>
      </c>
      <c r="F119" s="7" t="s">
        <v>574</v>
      </c>
      <c r="G119" s="7" t="s">
        <v>575</v>
      </c>
      <c r="H119" s="7" t="s">
        <v>576</v>
      </c>
      <c r="I119" s="7" t="s">
        <v>577</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508</v>
      </c>
      <c r="E120" s="7" t="s">
        <v>579</v>
      </c>
      <c r="F120" s="7" t="s">
        <v>580</v>
      </c>
      <c r="G120" s="7" t="s">
        <v>581</v>
      </c>
      <c r="H120" s="7" t="s">
        <v>582</v>
      </c>
      <c r="I120" s="7" t="s">
        <v>583</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310</v>
      </c>
      <c r="E121" s="7" t="s">
        <v>584</v>
      </c>
      <c r="F121" s="7" t="s">
        <v>585</v>
      </c>
      <c r="G121" s="7" t="s">
        <v>586</v>
      </c>
      <c r="H121" s="7" t="s">
        <v>587</v>
      </c>
      <c r="I121" s="7" t="s">
        <v>588</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311</v>
      </c>
      <c r="E122" s="7" t="s">
        <v>590</v>
      </c>
      <c r="F122" s="7" t="s">
        <v>591</v>
      </c>
      <c r="G122" s="7" t="s">
        <v>592</v>
      </c>
      <c r="H122" s="7" t="s">
        <v>593</v>
      </c>
      <c r="I122" s="7" t="s">
        <v>594</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509</v>
      </c>
      <c r="E123" s="7" t="s">
        <v>596</v>
      </c>
      <c r="F123" s="7" t="s">
        <v>597</v>
      </c>
      <c r="G123" s="7" t="s">
        <v>598</v>
      </c>
      <c r="H123" s="7" t="s">
        <v>599</v>
      </c>
      <c r="I123" s="7" t="s">
        <v>600</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601</v>
      </c>
      <c r="D124" s="7" t="s">
        <v>649</v>
      </c>
      <c r="E124" s="7" t="s">
        <v>603</v>
      </c>
      <c r="F124" s="7" t="s">
        <v>604</v>
      </c>
      <c r="G124" s="7" t="s">
        <v>605</v>
      </c>
      <c r="H124" s="7" t="s">
        <v>606</v>
      </c>
      <c r="I124" s="7" t="s">
        <v>607</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511</v>
      </c>
      <c r="E125" s="7" t="s">
        <v>608</v>
      </c>
      <c r="F125" s="7" t="s">
        <v>609</v>
      </c>
      <c r="G125" s="7" t="s">
        <v>610</v>
      </c>
      <c r="H125" s="7" t="s">
        <v>611</v>
      </c>
      <c r="I125" s="7" t="s">
        <v>612</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512</v>
      </c>
      <c r="E126" s="7" t="s">
        <v>613</v>
      </c>
      <c r="F126" s="7" t="s">
        <v>614</v>
      </c>
      <c r="G126" s="7" t="s">
        <v>615</v>
      </c>
      <c r="H126" s="7" t="s">
        <v>616</v>
      </c>
      <c r="I126" s="7" t="s">
        <v>617</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513</v>
      </c>
      <c r="E127" s="7" t="s">
        <v>533</v>
      </c>
      <c r="F127" s="7" t="s">
        <v>534</v>
      </c>
      <c r="G127" s="7" t="s">
        <v>535</v>
      </c>
      <c r="H127" s="7" t="s">
        <v>536</v>
      </c>
      <c r="I127" s="7" t="s">
        <v>537</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538</v>
      </c>
      <c r="D128" s="7" t="s">
        <v>650</v>
      </c>
      <c r="E128" s="7" t="s">
        <v>540</v>
      </c>
      <c r="F128" s="7" t="s">
        <v>541</v>
      </c>
      <c r="G128" s="7" t="s">
        <v>542</v>
      </c>
      <c r="H128" s="7" t="s">
        <v>543</v>
      </c>
      <c r="I128" s="7" t="s">
        <v>544</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101</v>
      </c>
      <c r="D129" s="7" t="s">
        <v>335</v>
      </c>
      <c r="E129" s="7" t="s">
        <v>545</v>
      </c>
      <c r="F129" s="7" t="s">
        <v>546</v>
      </c>
      <c r="G129" s="7" t="s">
        <v>547</v>
      </c>
      <c r="H129" s="7" t="s">
        <v>548</v>
      </c>
      <c r="I129" s="7" t="s">
        <v>549</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109</v>
      </c>
      <c r="D130" s="7" t="s">
        <v>320</v>
      </c>
      <c r="E130" s="7" t="s">
        <v>550</v>
      </c>
      <c r="F130" s="7" t="s">
        <v>551</v>
      </c>
      <c r="G130" s="7" t="s">
        <v>552</v>
      </c>
      <c r="H130" s="7" t="s">
        <v>553</v>
      </c>
      <c r="I130" s="7" t="s">
        <v>554</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382</v>
      </c>
      <c r="D131" s="7" t="s">
        <v>514</v>
      </c>
      <c r="E131" s="7" t="s">
        <v>555</v>
      </c>
      <c r="F131" s="7" t="s">
        <v>556</v>
      </c>
      <c r="G131" s="7" t="s">
        <v>557</v>
      </c>
      <c r="H131" s="7" t="s">
        <v>558</v>
      </c>
      <c r="I131" s="7" t="s">
        <v>559</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560</v>
      </c>
      <c r="D132" s="7" t="s">
        <v>515</v>
      </c>
      <c r="E132" s="7" t="s">
        <v>562</v>
      </c>
      <c r="F132" s="7" t="s">
        <v>563</v>
      </c>
      <c r="G132" s="7" t="s">
        <v>564</v>
      </c>
      <c r="H132" s="7" t="s">
        <v>565</v>
      </c>
      <c r="I132" s="7" t="s">
        <v>566</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396</v>
      </c>
      <c r="D133" s="7" t="s">
        <v>651</v>
      </c>
      <c r="E133" s="7" t="s">
        <v>567</v>
      </c>
      <c r="F133" s="7" t="s">
        <v>568</v>
      </c>
      <c r="G133" s="7" t="s">
        <v>569</v>
      </c>
      <c r="H133" s="7" t="s">
        <v>570</v>
      </c>
      <c r="I133" s="7" t="s">
        <v>571</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141</v>
      </c>
      <c r="D134" s="7" t="s">
        <v>324</v>
      </c>
      <c r="E134" s="7" t="s">
        <v>573</v>
      </c>
      <c r="F134" s="7" t="s">
        <v>574</v>
      </c>
      <c r="G134" s="7" t="s">
        <v>575</v>
      </c>
      <c r="H134" s="7" t="s">
        <v>576</v>
      </c>
      <c r="I134" s="7" t="s">
        <v>577</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517</v>
      </c>
      <c r="E135" s="7" t="s">
        <v>579</v>
      </c>
      <c r="F135" s="7" t="s">
        <v>580</v>
      </c>
      <c r="G135" s="7" t="s">
        <v>581</v>
      </c>
      <c r="H135" s="7" t="s">
        <v>582</v>
      </c>
      <c r="I135" s="7" t="s">
        <v>583</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326</v>
      </c>
      <c r="E136" s="7" t="s">
        <v>584</v>
      </c>
      <c r="F136" s="7" t="s">
        <v>585</v>
      </c>
      <c r="G136" s="7" t="s">
        <v>586</v>
      </c>
      <c r="H136" s="7" t="s">
        <v>587</v>
      </c>
      <c r="I136" s="7" t="s">
        <v>588</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327</v>
      </c>
      <c r="E137" s="7" t="s">
        <v>590</v>
      </c>
      <c r="F137" s="7" t="s">
        <v>591</v>
      </c>
      <c r="G137" s="7" t="s">
        <v>592</v>
      </c>
      <c r="H137" s="7" t="s">
        <v>593</v>
      </c>
      <c r="I137" s="7" t="s">
        <v>594</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328</v>
      </c>
      <c r="E138" s="7" t="s">
        <v>596</v>
      </c>
      <c r="F138" s="7" t="s">
        <v>597</v>
      </c>
      <c r="G138" s="7" t="s">
        <v>598</v>
      </c>
      <c r="H138" s="7" t="s">
        <v>599</v>
      </c>
      <c r="I138" s="7" t="s">
        <v>600</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601</v>
      </c>
      <c r="D139" s="7" t="s">
        <v>329</v>
      </c>
      <c r="E139" s="7" t="s">
        <v>603</v>
      </c>
      <c r="F139" s="7" t="s">
        <v>604</v>
      </c>
      <c r="G139" s="7" t="s">
        <v>605</v>
      </c>
      <c r="H139" s="7" t="s">
        <v>606</v>
      </c>
      <c r="I139" s="7" t="s">
        <v>607</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518</v>
      </c>
      <c r="E140" s="7" t="s">
        <v>608</v>
      </c>
      <c r="F140" s="7" t="s">
        <v>609</v>
      </c>
      <c r="G140" s="7" t="s">
        <v>610</v>
      </c>
      <c r="H140" s="7" t="s">
        <v>611</v>
      </c>
      <c r="I140" s="7" t="s">
        <v>612</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519</v>
      </c>
      <c r="E141" s="7" t="s">
        <v>613</v>
      </c>
      <c r="F141" s="7" t="s">
        <v>614</v>
      </c>
      <c r="G141" s="7" t="s">
        <v>615</v>
      </c>
      <c r="H141" s="7" t="s">
        <v>616</v>
      </c>
      <c r="I141" s="7" t="s">
        <v>617</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520</v>
      </c>
      <c r="E142" s="7" t="s">
        <v>533</v>
      </c>
      <c r="F142" s="7" t="s">
        <v>534</v>
      </c>
      <c r="G142" s="7" t="s">
        <v>535</v>
      </c>
      <c r="H142" s="7" t="s">
        <v>536</v>
      </c>
      <c r="I142" s="7" t="s">
        <v>537</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538</v>
      </c>
      <c r="D143" s="7" t="s">
        <v>334</v>
      </c>
      <c r="E143" s="7" t="s">
        <v>540</v>
      </c>
      <c r="F143" s="7" t="s">
        <v>541</v>
      </c>
      <c r="G143" s="7" t="s">
        <v>542</v>
      </c>
      <c r="H143" s="7" t="s">
        <v>543</v>
      </c>
      <c r="I143" s="7" t="s">
        <v>544</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101</v>
      </c>
      <c r="D144" s="7" t="s">
        <v>652</v>
      </c>
      <c r="E144" s="7" t="s">
        <v>545</v>
      </c>
      <c r="F144" s="7" t="s">
        <v>546</v>
      </c>
      <c r="G144" s="7" t="s">
        <v>547</v>
      </c>
      <c r="H144" s="7" t="s">
        <v>548</v>
      </c>
      <c r="I144" s="7" t="s">
        <v>549</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109</v>
      </c>
      <c r="D145" s="7" t="s">
        <v>522</v>
      </c>
      <c r="E145" s="7" t="s">
        <v>550</v>
      </c>
      <c r="F145" s="7" t="s">
        <v>551</v>
      </c>
      <c r="G145" s="7" t="s">
        <v>552</v>
      </c>
      <c r="H145" s="7" t="s">
        <v>553</v>
      </c>
      <c r="I145" s="7" t="s">
        <v>554</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382</v>
      </c>
      <c r="D146" s="7" t="s">
        <v>523</v>
      </c>
      <c r="E146" s="7" t="s">
        <v>555</v>
      </c>
      <c r="F146" s="7" t="s">
        <v>556</v>
      </c>
      <c r="G146" s="7" t="s">
        <v>557</v>
      </c>
      <c r="H146" s="7" t="s">
        <v>558</v>
      </c>
      <c r="I146" s="7" t="s">
        <v>559</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560</v>
      </c>
      <c r="D147" s="7" t="s">
        <v>653</v>
      </c>
      <c r="E147" s="7" t="s">
        <v>562</v>
      </c>
      <c r="F147" s="7" t="s">
        <v>563</v>
      </c>
      <c r="G147" s="7" t="s">
        <v>564</v>
      </c>
      <c r="H147" s="7" t="s">
        <v>565</v>
      </c>
      <c r="I147" s="7" t="s">
        <v>566</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396</v>
      </c>
      <c r="D148" s="7" t="s">
        <v>525</v>
      </c>
      <c r="E148" s="7" t="s">
        <v>567</v>
      </c>
      <c r="F148" s="7" t="s">
        <v>568</v>
      </c>
      <c r="G148" s="7" t="s">
        <v>569</v>
      </c>
      <c r="H148" s="7" t="s">
        <v>570</v>
      </c>
      <c r="I148" s="7" t="s">
        <v>571</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141</v>
      </c>
      <c r="D149" s="7" t="s">
        <v>654</v>
      </c>
      <c r="E149" s="7" t="s">
        <v>573</v>
      </c>
      <c r="F149" s="7" t="s">
        <v>574</v>
      </c>
      <c r="G149" s="7" t="s">
        <v>575</v>
      </c>
      <c r="H149" s="7" t="s">
        <v>576</v>
      </c>
      <c r="I149" s="7" t="s">
        <v>577</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341</v>
      </c>
      <c r="E150" s="7" t="s">
        <v>579</v>
      </c>
      <c r="F150" s="7" t="s">
        <v>580</v>
      </c>
      <c r="G150" s="7" t="s">
        <v>581</v>
      </c>
      <c r="H150" s="7" t="s">
        <v>582</v>
      </c>
      <c r="I150" s="7" t="s">
        <v>583</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655</v>
      </c>
      <c r="E151" s="7" t="s">
        <v>584</v>
      </c>
      <c r="F151" s="7" t="s">
        <v>585</v>
      </c>
      <c r="G151" s="7" t="s">
        <v>586</v>
      </c>
      <c r="H151" s="7" t="s">
        <v>587</v>
      </c>
      <c r="I151" s="7" t="s">
        <v>588</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343</v>
      </c>
      <c r="E152" s="7" t="s">
        <v>590</v>
      </c>
      <c r="F152" s="7" t="s">
        <v>591</v>
      </c>
      <c r="G152" s="7" t="s">
        <v>592</v>
      </c>
      <c r="H152" s="7" t="s">
        <v>593</v>
      </c>
      <c r="I152" s="7" t="s">
        <v>594</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528</v>
      </c>
      <c r="E153" s="7" t="s">
        <v>596</v>
      </c>
      <c r="F153" s="7" t="s">
        <v>597</v>
      </c>
      <c r="G153" s="7" t="s">
        <v>598</v>
      </c>
      <c r="H153" s="7" t="s">
        <v>599</v>
      </c>
      <c r="I153" s="7" t="s">
        <v>600</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601</v>
      </c>
      <c r="D154" s="7" t="s">
        <v>656</v>
      </c>
      <c r="E154" s="7" t="s">
        <v>603</v>
      </c>
      <c r="F154" s="7" t="s">
        <v>604</v>
      </c>
      <c r="G154" s="7" t="s">
        <v>605</v>
      </c>
      <c r="H154" s="7" t="s">
        <v>606</v>
      </c>
      <c r="I154" s="7" t="s">
        <v>607</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529</v>
      </c>
      <c r="E155" s="7" t="s">
        <v>608</v>
      </c>
      <c r="F155" s="7" t="s">
        <v>609</v>
      </c>
      <c r="G155" s="7" t="s">
        <v>610</v>
      </c>
      <c r="H155" s="7" t="s">
        <v>611</v>
      </c>
      <c r="I155" s="7" t="s">
        <v>612</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347</v>
      </c>
      <c r="E156" s="7" t="s">
        <v>613</v>
      </c>
      <c r="F156" s="7" t="s">
        <v>614</v>
      </c>
      <c r="G156" s="7" t="s">
        <v>615</v>
      </c>
      <c r="H156" s="7" t="s">
        <v>616</v>
      </c>
      <c r="I156" s="7" t="s">
        <v>617</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5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500-000001000000}">
      <formula1>"1,2,3,4,5"</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75"/>
  <sheetViews>
    <sheetView showGridLines="0" workbookViewId="0">
      <pane xSplit="4" ySplit="6" topLeftCell="E7" activePane="bottomRight" state="frozen"/>
      <selection pane="topRight"/>
      <selection pane="bottomLeft"/>
      <selection pane="bottomRight"/>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657</v>
      </c>
      <c r="B1" s="18"/>
      <c r="C1" s="18"/>
      <c r="D1" s="18"/>
      <c r="E1" s="18"/>
      <c r="F1" s="18"/>
      <c r="G1" s="18"/>
      <c r="H1" s="18"/>
      <c r="I1" s="18"/>
      <c r="J1" s="18"/>
      <c r="K1" s="18"/>
      <c r="L1" s="18"/>
      <c r="M1" s="18"/>
      <c r="N1" s="18"/>
    </row>
    <row r="2" spans="1:19" x14ac:dyDescent="0.25">
      <c r="A2" s="25" t="s">
        <v>531</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658</v>
      </c>
      <c r="E7" s="7" t="s">
        <v>659</v>
      </c>
      <c r="F7" s="7" t="s">
        <v>660</v>
      </c>
      <c r="G7" s="7" t="s">
        <v>661</v>
      </c>
      <c r="H7" s="7" t="s">
        <v>662</v>
      </c>
      <c r="I7" s="7" t="s">
        <v>663</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664</v>
      </c>
      <c r="D8" s="7" t="s">
        <v>539</v>
      </c>
      <c r="E8" s="7" t="s">
        <v>665</v>
      </c>
      <c r="F8" s="7" t="s">
        <v>666</v>
      </c>
      <c r="G8" s="7" t="s">
        <v>667</v>
      </c>
      <c r="H8" s="7" t="s">
        <v>668</v>
      </c>
      <c r="I8" s="7" t="s">
        <v>669</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101</v>
      </c>
      <c r="D9" s="7" t="s">
        <v>207</v>
      </c>
      <c r="E9" s="7" t="s">
        <v>670</v>
      </c>
      <c r="F9" s="7" t="s">
        <v>671</v>
      </c>
      <c r="G9" s="7" t="s">
        <v>672</v>
      </c>
      <c r="H9" s="7" t="s">
        <v>673</v>
      </c>
      <c r="I9" s="7" t="s">
        <v>674</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109</v>
      </c>
      <c r="D10" s="7" t="s">
        <v>110</v>
      </c>
      <c r="E10" s="7" t="s">
        <v>675</v>
      </c>
      <c r="F10" s="7" t="s">
        <v>676</v>
      </c>
      <c r="G10" s="7" t="s">
        <v>677</v>
      </c>
      <c r="H10" s="7" t="s">
        <v>678</v>
      </c>
      <c r="I10" s="7" t="s">
        <v>679</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382</v>
      </c>
      <c r="D11" s="7" t="s">
        <v>680</v>
      </c>
      <c r="E11" s="7" t="s">
        <v>681</v>
      </c>
      <c r="F11" s="7" t="s">
        <v>682</v>
      </c>
      <c r="G11" s="7" t="s">
        <v>683</v>
      </c>
      <c r="H11" s="7" t="s">
        <v>684</v>
      </c>
      <c r="I11" s="7" t="s">
        <v>685</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560</v>
      </c>
      <c r="D12" s="7" t="s">
        <v>561</v>
      </c>
      <c r="E12" s="7" t="s">
        <v>686</v>
      </c>
      <c r="F12" s="7" t="s">
        <v>687</v>
      </c>
      <c r="G12" s="7" t="s">
        <v>688</v>
      </c>
      <c r="H12" s="7" t="s">
        <v>689</v>
      </c>
      <c r="I12" s="7" t="s">
        <v>690</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396</v>
      </c>
      <c r="D13" s="7" t="s">
        <v>397</v>
      </c>
      <c r="E13" s="7" t="s">
        <v>691</v>
      </c>
      <c r="F13" s="7" t="s">
        <v>692</v>
      </c>
      <c r="G13" s="7" t="s">
        <v>693</v>
      </c>
      <c r="H13" s="7" t="s">
        <v>694</v>
      </c>
      <c r="I13" s="7" t="s">
        <v>695</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141</v>
      </c>
      <c r="D14" s="7" t="s">
        <v>696</v>
      </c>
      <c r="E14" s="7" t="s">
        <v>697</v>
      </c>
      <c r="F14" s="7" t="s">
        <v>698</v>
      </c>
      <c r="G14" s="7" t="s">
        <v>699</v>
      </c>
      <c r="H14" s="7" t="s">
        <v>700</v>
      </c>
      <c r="I14" s="7" t="s">
        <v>701</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702</v>
      </c>
      <c r="E15" s="7" t="s">
        <v>703</v>
      </c>
      <c r="F15" s="7" t="s">
        <v>704</v>
      </c>
      <c r="G15" s="7" t="s">
        <v>705</v>
      </c>
      <c r="H15" s="7" t="s">
        <v>706</v>
      </c>
      <c r="I15" s="7" t="s">
        <v>707</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415</v>
      </c>
      <c r="E16" s="7" t="s">
        <v>708</v>
      </c>
      <c r="F16" s="7" t="s">
        <v>709</v>
      </c>
      <c r="G16" s="7" t="s">
        <v>710</v>
      </c>
      <c r="H16" s="7" t="s">
        <v>711</v>
      </c>
      <c r="I16" s="7" t="s">
        <v>712</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713</v>
      </c>
      <c r="E17" s="7" t="s">
        <v>714</v>
      </c>
      <c r="F17" s="7" t="s">
        <v>715</v>
      </c>
      <c r="G17" s="7" t="s">
        <v>716</v>
      </c>
      <c r="H17" s="7" t="s">
        <v>717</v>
      </c>
      <c r="I17" s="7" t="s">
        <v>718</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719</v>
      </c>
      <c r="E18" s="7" t="s">
        <v>720</v>
      </c>
      <c r="F18" s="7" t="s">
        <v>721</v>
      </c>
      <c r="G18" s="7" t="s">
        <v>722</v>
      </c>
      <c r="H18" s="7" t="s">
        <v>723</v>
      </c>
      <c r="I18" s="7" t="s">
        <v>724</v>
      </c>
      <c r="J18" s="11" t="s">
        <v>28</v>
      </c>
      <c r="K18" s="11" t="s">
        <v>36</v>
      </c>
      <c r="L18" s="11" t="s">
        <v>38</v>
      </c>
      <c r="M18" s="11" t="s">
        <v>40</v>
      </c>
      <c r="N18" s="11" t="s">
        <v>42</v>
      </c>
      <c r="O18" s="9"/>
      <c r="P18" t="str">
        <f t="shared" si="0"/>
        <v/>
      </c>
    </row>
    <row r="19" spans="1:16" ht="34.049999999999997" customHeight="1" x14ac:dyDescent="0.25">
      <c r="A19" s="5" t="s">
        <v>66</v>
      </c>
      <c r="B19" s="5" t="s">
        <v>180</v>
      </c>
      <c r="C19" s="7" t="s">
        <v>725</v>
      </c>
      <c r="D19" s="7" t="s">
        <v>726</v>
      </c>
      <c r="E19" s="7" t="s">
        <v>727</v>
      </c>
      <c r="F19" s="7" t="s">
        <v>728</v>
      </c>
      <c r="G19" s="7" t="s">
        <v>729</v>
      </c>
      <c r="H19" s="7" t="s">
        <v>730</v>
      </c>
      <c r="I19" s="7" t="s">
        <v>731</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732</v>
      </c>
      <c r="E20" s="7" t="s">
        <v>733</v>
      </c>
      <c r="F20" s="7" t="s">
        <v>734</v>
      </c>
      <c r="G20" s="7" t="s">
        <v>735</v>
      </c>
      <c r="H20" s="7" t="s">
        <v>736</v>
      </c>
      <c r="I20" s="7" t="s">
        <v>737</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198</v>
      </c>
      <c r="E21" s="7" t="s">
        <v>738</v>
      </c>
      <c r="F21" s="7" t="s">
        <v>739</v>
      </c>
      <c r="G21" s="7" t="s">
        <v>740</v>
      </c>
      <c r="H21" s="7" t="s">
        <v>741</v>
      </c>
      <c r="I21" s="7" t="s">
        <v>742</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743</v>
      </c>
      <c r="E22" s="7" t="s">
        <v>659</v>
      </c>
      <c r="F22" s="7" t="s">
        <v>660</v>
      </c>
      <c r="G22" s="7" t="s">
        <v>661</v>
      </c>
      <c r="H22" s="7" t="s">
        <v>662</v>
      </c>
      <c r="I22" s="7" t="s">
        <v>663</v>
      </c>
      <c r="J22" s="11" t="s">
        <v>34</v>
      </c>
      <c r="K22" s="11" t="s">
        <v>36</v>
      </c>
      <c r="L22" s="11" t="s">
        <v>38</v>
      </c>
      <c r="M22" s="11" t="s">
        <v>40</v>
      </c>
      <c r="N22" s="11" t="s">
        <v>42</v>
      </c>
      <c r="O22" s="9"/>
      <c r="P22" t="str">
        <f t="shared" si="0"/>
        <v/>
      </c>
    </row>
    <row r="23" spans="1:16" ht="34.049999999999997" customHeight="1" x14ac:dyDescent="0.25">
      <c r="A23" s="5" t="s">
        <v>204</v>
      </c>
      <c r="B23" s="5" t="s">
        <v>92</v>
      </c>
      <c r="C23" s="7" t="s">
        <v>664</v>
      </c>
      <c r="D23" s="7" t="s">
        <v>206</v>
      </c>
      <c r="E23" s="7" t="s">
        <v>665</v>
      </c>
      <c r="F23" s="7" t="s">
        <v>666</v>
      </c>
      <c r="G23" s="7" t="s">
        <v>667</v>
      </c>
      <c r="H23" s="7" t="s">
        <v>668</v>
      </c>
      <c r="I23" s="7" t="s">
        <v>669</v>
      </c>
      <c r="J23" s="11" t="s">
        <v>28</v>
      </c>
      <c r="K23" s="11" t="s">
        <v>30</v>
      </c>
      <c r="L23" s="11" t="s">
        <v>32</v>
      </c>
      <c r="M23" s="11" t="s">
        <v>40</v>
      </c>
      <c r="N23" s="11" t="s">
        <v>42</v>
      </c>
      <c r="O23" s="9"/>
      <c r="P23" t="str">
        <f t="shared" si="0"/>
        <v/>
      </c>
    </row>
    <row r="24" spans="1:16" ht="34.049999999999997" customHeight="1" x14ac:dyDescent="0.25">
      <c r="A24" s="5" t="s">
        <v>204</v>
      </c>
      <c r="B24" s="5" t="s">
        <v>100</v>
      </c>
      <c r="C24" s="7" t="s">
        <v>101</v>
      </c>
      <c r="D24" s="7" t="s">
        <v>744</v>
      </c>
      <c r="E24" s="7" t="s">
        <v>670</v>
      </c>
      <c r="F24" s="7" t="s">
        <v>671</v>
      </c>
      <c r="G24" s="7" t="s">
        <v>672</v>
      </c>
      <c r="H24" s="7" t="s">
        <v>673</v>
      </c>
      <c r="I24" s="7" t="s">
        <v>674</v>
      </c>
      <c r="J24" s="11" t="s">
        <v>30</v>
      </c>
      <c r="K24" s="11" t="s">
        <v>32</v>
      </c>
      <c r="L24" s="11" t="s">
        <v>34</v>
      </c>
      <c r="M24" s="11" t="s">
        <v>36</v>
      </c>
      <c r="N24" s="11" t="s">
        <v>38</v>
      </c>
      <c r="O24" s="9"/>
      <c r="P24" t="str">
        <f t="shared" si="0"/>
        <v/>
      </c>
    </row>
    <row r="25" spans="1:16" ht="34.049999999999997" customHeight="1" x14ac:dyDescent="0.25">
      <c r="A25" s="5" t="s">
        <v>204</v>
      </c>
      <c r="B25" s="5" t="s">
        <v>108</v>
      </c>
      <c r="C25" s="7" t="s">
        <v>109</v>
      </c>
      <c r="D25" s="7" t="s">
        <v>208</v>
      </c>
      <c r="E25" s="7" t="s">
        <v>675</v>
      </c>
      <c r="F25" s="7" t="s">
        <v>676</v>
      </c>
      <c r="G25" s="7" t="s">
        <v>677</v>
      </c>
      <c r="H25" s="7" t="s">
        <v>678</v>
      </c>
      <c r="I25" s="7" t="s">
        <v>679</v>
      </c>
      <c r="J25" s="11" t="s">
        <v>28</v>
      </c>
      <c r="K25" s="11" t="s">
        <v>36</v>
      </c>
      <c r="L25" s="11" t="s">
        <v>38</v>
      </c>
      <c r="M25" s="11" t="s">
        <v>40</v>
      </c>
      <c r="N25" s="11" t="s">
        <v>42</v>
      </c>
      <c r="O25" s="9"/>
      <c r="P25" t="str">
        <f t="shared" si="0"/>
        <v/>
      </c>
    </row>
    <row r="26" spans="1:16" ht="34.049999999999997" customHeight="1" x14ac:dyDescent="0.25">
      <c r="A26" s="5" t="s">
        <v>204</v>
      </c>
      <c r="B26" s="5" t="s">
        <v>116</v>
      </c>
      <c r="C26" s="7" t="s">
        <v>382</v>
      </c>
      <c r="D26" s="7" t="s">
        <v>745</v>
      </c>
      <c r="E26" s="7" t="s">
        <v>681</v>
      </c>
      <c r="F26" s="7" t="s">
        <v>682</v>
      </c>
      <c r="G26" s="7" t="s">
        <v>683</v>
      </c>
      <c r="H26" s="7" t="s">
        <v>684</v>
      </c>
      <c r="I26" s="7" t="s">
        <v>685</v>
      </c>
      <c r="J26" s="11" t="s">
        <v>28</v>
      </c>
      <c r="K26" s="11" t="s">
        <v>30</v>
      </c>
      <c r="L26" s="11" t="s">
        <v>32</v>
      </c>
      <c r="M26" s="11" t="s">
        <v>34</v>
      </c>
      <c r="N26" s="11" t="s">
        <v>42</v>
      </c>
      <c r="O26" s="9"/>
      <c r="P26" t="str">
        <f t="shared" si="0"/>
        <v/>
      </c>
    </row>
    <row r="27" spans="1:16" ht="34.049999999999997" customHeight="1" x14ac:dyDescent="0.25">
      <c r="A27" s="5" t="s">
        <v>204</v>
      </c>
      <c r="B27" s="5" t="s">
        <v>124</v>
      </c>
      <c r="C27" s="7" t="s">
        <v>560</v>
      </c>
      <c r="D27" s="7" t="s">
        <v>451</v>
      </c>
      <c r="E27" s="7" t="s">
        <v>686</v>
      </c>
      <c r="F27" s="7" t="s">
        <v>687</v>
      </c>
      <c r="G27" s="7" t="s">
        <v>688</v>
      </c>
      <c r="H27" s="7" t="s">
        <v>689</v>
      </c>
      <c r="I27" s="7" t="s">
        <v>690</v>
      </c>
      <c r="J27" s="11" t="s">
        <v>32</v>
      </c>
      <c r="K27" s="11" t="s">
        <v>34</v>
      </c>
      <c r="L27" s="11" t="s">
        <v>36</v>
      </c>
      <c r="M27" s="11" t="s">
        <v>38</v>
      </c>
      <c r="N27" s="11" t="s">
        <v>40</v>
      </c>
      <c r="O27" s="9"/>
      <c r="P27" t="str">
        <f t="shared" si="0"/>
        <v/>
      </c>
    </row>
    <row r="28" spans="1:16" ht="34.049999999999997" customHeight="1" x14ac:dyDescent="0.25">
      <c r="A28" s="5" t="s">
        <v>204</v>
      </c>
      <c r="B28" s="5" t="s">
        <v>132</v>
      </c>
      <c r="C28" s="7" t="s">
        <v>396</v>
      </c>
      <c r="D28" s="7" t="s">
        <v>452</v>
      </c>
      <c r="E28" s="7" t="s">
        <v>691</v>
      </c>
      <c r="F28" s="7" t="s">
        <v>692</v>
      </c>
      <c r="G28" s="7" t="s">
        <v>693</v>
      </c>
      <c r="H28" s="7" t="s">
        <v>694</v>
      </c>
      <c r="I28" s="7" t="s">
        <v>695</v>
      </c>
      <c r="J28" s="11" t="s">
        <v>28</v>
      </c>
      <c r="K28" s="11" t="s">
        <v>30</v>
      </c>
      <c r="L28" s="11" t="s">
        <v>38</v>
      </c>
      <c r="M28" s="11" t="s">
        <v>40</v>
      </c>
      <c r="N28" s="11" t="s">
        <v>42</v>
      </c>
      <c r="O28" s="9"/>
      <c r="P28" t="str">
        <f t="shared" si="0"/>
        <v/>
      </c>
    </row>
    <row r="29" spans="1:16" ht="34.049999999999997" customHeight="1" x14ac:dyDescent="0.25">
      <c r="A29" s="5" t="s">
        <v>204</v>
      </c>
      <c r="B29" s="5" t="s">
        <v>140</v>
      </c>
      <c r="C29" s="7" t="s">
        <v>141</v>
      </c>
      <c r="D29" s="7" t="s">
        <v>212</v>
      </c>
      <c r="E29" s="7" t="s">
        <v>697</v>
      </c>
      <c r="F29" s="7" t="s">
        <v>698</v>
      </c>
      <c r="G29" s="7" t="s">
        <v>699</v>
      </c>
      <c r="H29" s="7" t="s">
        <v>700</v>
      </c>
      <c r="I29" s="7" t="s">
        <v>701</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746</v>
      </c>
      <c r="E30" s="7" t="s">
        <v>703</v>
      </c>
      <c r="F30" s="7" t="s">
        <v>704</v>
      </c>
      <c r="G30" s="7" t="s">
        <v>705</v>
      </c>
      <c r="H30" s="7" t="s">
        <v>706</v>
      </c>
      <c r="I30" s="7" t="s">
        <v>707</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454</v>
      </c>
      <c r="E31" s="7" t="s">
        <v>708</v>
      </c>
      <c r="F31" s="7" t="s">
        <v>709</v>
      </c>
      <c r="G31" s="7" t="s">
        <v>710</v>
      </c>
      <c r="H31" s="7" t="s">
        <v>711</v>
      </c>
      <c r="I31" s="7" t="s">
        <v>712</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747</v>
      </c>
      <c r="E32" s="7" t="s">
        <v>714</v>
      </c>
      <c r="F32" s="7" t="s">
        <v>715</v>
      </c>
      <c r="G32" s="7" t="s">
        <v>716</v>
      </c>
      <c r="H32" s="7" t="s">
        <v>717</v>
      </c>
      <c r="I32" s="7" t="s">
        <v>718</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748</v>
      </c>
      <c r="E33" s="7" t="s">
        <v>720</v>
      </c>
      <c r="F33" s="7" t="s">
        <v>721</v>
      </c>
      <c r="G33" s="7" t="s">
        <v>722</v>
      </c>
      <c r="H33" s="7" t="s">
        <v>723</v>
      </c>
      <c r="I33" s="7" t="s">
        <v>724</v>
      </c>
      <c r="J33" s="11" t="s">
        <v>28</v>
      </c>
      <c r="K33" s="11" t="s">
        <v>36</v>
      </c>
      <c r="L33" s="11" t="s">
        <v>38</v>
      </c>
      <c r="M33" s="11" t="s">
        <v>40</v>
      </c>
      <c r="N33" s="11" t="s">
        <v>42</v>
      </c>
      <c r="O33" s="9"/>
      <c r="P33" t="str">
        <f t="shared" si="0"/>
        <v/>
      </c>
    </row>
    <row r="34" spans="1:16" ht="34.049999999999997" customHeight="1" x14ac:dyDescent="0.25">
      <c r="A34" s="5" t="s">
        <v>204</v>
      </c>
      <c r="B34" s="5" t="s">
        <v>180</v>
      </c>
      <c r="C34" s="7" t="s">
        <v>725</v>
      </c>
      <c r="D34" s="7" t="s">
        <v>749</v>
      </c>
      <c r="E34" s="7" t="s">
        <v>727</v>
      </c>
      <c r="F34" s="7" t="s">
        <v>728</v>
      </c>
      <c r="G34" s="7" t="s">
        <v>729</v>
      </c>
      <c r="H34" s="7" t="s">
        <v>730</v>
      </c>
      <c r="I34" s="7" t="s">
        <v>731</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457</v>
      </c>
      <c r="E35" s="7" t="s">
        <v>733</v>
      </c>
      <c r="F35" s="7" t="s">
        <v>734</v>
      </c>
      <c r="G35" s="7" t="s">
        <v>735</v>
      </c>
      <c r="H35" s="7" t="s">
        <v>736</v>
      </c>
      <c r="I35" s="7" t="s">
        <v>737</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750</v>
      </c>
      <c r="E36" s="7" t="s">
        <v>738</v>
      </c>
      <c r="F36" s="7" t="s">
        <v>739</v>
      </c>
      <c r="G36" s="7" t="s">
        <v>740</v>
      </c>
      <c r="H36" s="7" t="s">
        <v>741</v>
      </c>
      <c r="I36" s="7" t="s">
        <v>742</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751</v>
      </c>
      <c r="E37" s="7" t="s">
        <v>659</v>
      </c>
      <c r="F37" s="7" t="s">
        <v>660</v>
      </c>
      <c r="G37" s="7" t="s">
        <v>661</v>
      </c>
      <c r="H37" s="7" t="s">
        <v>662</v>
      </c>
      <c r="I37" s="7" t="s">
        <v>663</v>
      </c>
      <c r="J37" s="11" t="s">
        <v>34</v>
      </c>
      <c r="K37" s="11" t="s">
        <v>36</v>
      </c>
      <c r="L37" s="11" t="s">
        <v>38</v>
      </c>
      <c r="M37" s="11" t="s">
        <v>40</v>
      </c>
      <c r="N37" s="11" t="s">
        <v>42</v>
      </c>
      <c r="O37" s="9"/>
      <c r="P37" t="str">
        <f t="shared" si="0"/>
        <v/>
      </c>
    </row>
    <row r="38" spans="1:16" ht="34.049999999999997" customHeight="1" x14ac:dyDescent="0.25">
      <c r="A38" s="5" t="s">
        <v>220</v>
      </c>
      <c r="B38" s="5" t="s">
        <v>92</v>
      </c>
      <c r="C38" s="7" t="s">
        <v>664</v>
      </c>
      <c r="D38" s="7" t="s">
        <v>458</v>
      </c>
      <c r="E38" s="7" t="s">
        <v>665</v>
      </c>
      <c r="F38" s="7" t="s">
        <v>666</v>
      </c>
      <c r="G38" s="7" t="s">
        <v>667</v>
      </c>
      <c r="H38" s="7" t="s">
        <v>668</v>
      </c>
      <c r="I38" s="7" t="s">
        <v>669</v>
      </c>
      <c r="J38" s="11" t="s">
        <v>28</v>
      </c>
      <c r="K38" s="11" t="s">
        <v>30</v>
      </c>
      <c r="L38" s="11" t="s">
        <v>32</v>
      </c>
      <c r="M38" s="11" t="s">
        <v>40</v>
      </c>
      <c r="N38" s="11" t="s">
        <v>42</v>
      </c>
      <c r="O38" s="9"/>
      <c r="P38" t="str">
        <f t="shared" si="0"/>
        <v/>
      </c>
    </row>
    <row r="39" spans="1:16" ht="34.049999999999997" customHeight="1" x14ac:dyDescent="0.25">
      <c r="A39" s="5" t="s">
        <v>220</v>
      </c>
      <c r="B39" s="5" t="s">
        <v>100</v>
      </c>
      <c r="C39" s="7" t="s">
        <v>101</v>
      </c>
      <c r="D39" s="7" t="s">
        <v>752</v>
      </c>
      <c r="E39" s="7" t="s">
        <v>670</v>
      </c>
      <c r="F39" s="7" t="s">
        <v>671</v>
      </c>
      <c r="G39" s="7" t="s">
        <v>672</v>
      </c>
      <c r="H39" s="7" t="s">
        <v>673</v>
      </c>
      <c r="I39" s="7" t="s">
        <v>674</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109</v>
      </c>
      <c r="D40" s="7" t="s">
        <v>224</v>
      </c>
      <c r="E40" s="7" t="s">
        <v>675</v>
      </c>
      <c r="F40" s="7" t="s">
        <v>676</v>
      </c>
      <c r="G40" s="7" t="s">
        <v>677</v>
      </c>
      <c r="H40" s="7" t="s">
        <v>678</v>
      </c>
      <c r="I40" s="7" t="s">
        <v>679</v>
      </c>
      <c r="J40" s="11" t="s">
        <v>28</v>
      </c>
      <c r="K40" s="11" t="s">
        <v>36</v>
      </c>
      <c r="L40" s="11" t="s">
        <v>38</v>
      </c>
      <c r="M40" s="11" t="s">
        <v>40</v>
      </c>
      <c r="N40" s="11" t="s">
        <v>42</v>
      </c>
      <c r="O40" s="9"/>
      <c r="P40" t="str">
        <f t="shared" si="1"/>
        <v/>
      </c>
    </row>
    <row r="41" spans="1:16" ht="34.049999999999997" customHeight="1" x14ac:dyDescent="0.25">
      <c r="A41" s="5" t="s">
        <v>220</v>
      </c>
      <c r="B41" s="5" t="s">
        <v>116</v>
      </c>
      <c r="C41" s="7" t="s">
        <v>382</v>
      </c>
      <c r="D41" s="7" t="s">
        <v>753</v>
      </c>
      <c r="E41" s="7" t="s">
        <v>681</v>
      </c>
      <c r="F41" s="7" t="s">
        <v>682</v>
      </c>
      <c r="G41" s="7" t="s">
        <v>683</v>
      </c>
      <c r="H41" s="7" t="s">
        <v>684</v>
      </c>
      <c r="I41" s="7" t="s">
        <v>685</v>
      </c>
      <c r="J41" s="11" t="s">
        <v>28</v>
      </c>
      <c r="K41" s="11" t="s">
        <v>30</v>
      </c>
      <c r="L41" s="11" t="s">
        <v>32</v>
      </c>
      <c r="M41" s="11" t="s">
        <v>34</v>
      </c>
      <c r="N41" s="11" t="s">
        <v>42</v>
      </c>
      <c r="O41" s="9"/>
      <c r="P41" t="str">
        <f t="shared" si="1"/>
        <v/>
      </c>
    </row>
    <row r="42" spans="1:16" ht="34.049999999999997" customHeight="1" x14ac:dyDescent="0.25">
      <c r="A42" s="5" t="s">
        <v>220</v>
      </c>
      <c r="B42" s="5" t="s">
        <v>124</v>
      </c>
      <c r="C42" s="7" t="s">
        <v>560</v>
      </c>
      <c r="D42" s="7" t="s">
        <v>226</v>
      </c>
      <c r="E42" s="7" t="s">
        <v>686</v>
      </c>
      <c r="F42" s="7" t="s">
        <v>687</v>
      </c>
      <c r="G42" s="7" t="s">
        <v>688</v>
      </c>
      <c r="H42" s="7" t="s">
        <v>689</v>
      </c>
      <c r="I42" s="7" t="s">
        <v>690</v>
      </c>
      <c r="J42" s="11" t="s">
        <v>32</v>
      </c>
      <c r="K42" s="11" t="s">
        <v>34</v>
      </c>
      <c r="L42" s="11" t="s">
        <v>36</v>
      </c>
      <c r="M42" s="11" t="s">
        <v>38</v>
      </c>
      <c r="N42" s="11" t="s">
        <v>40</v>
      </c>
      <c r="O42" s="9"/>
      <c r="P42" t="str">
        <f t="shared" si="1"/>
        <v/>
      </c>
    </row>
    <row r="43" spans="1:16" ht="34.049999999999997" customHeight="1" x14ac:dyDescent="0.25">
      <c r="A43" s="5" t="s">
        <v>220</v>
      </c>
      <c r="B43" s="5" t="s">
        <v>132</v>
      </c>
      <c r="C43" s="7" t="s">
        <v>396</v>
      </c>
      <c r="D43" s="7" t="s">
        <v>461</v>
      </c>
      <c r="E43" s="7" t="s">
        <v>691</v>
      </c>
      <c r="F43" s="7" t="s">
        <v>692</v>
      </c>
      <c r="G43" s="7" t="s">
        <v>693</v>
      </c>
      <c r="H43" s="7" t="s">
        <v>694</v>
      </c>
      <c r="I43" s="7" t="s">
        <v>695</v>
      </c>
      <c r="J43" s="11" t="s">
        <v>28</v>
      </c>
      <c r="K43" s="11" t="s">
        <v>30</v>
      </c>
      <c r="L43" s="11" t="s">
        <v>38</v>
      </c>
      <c r="M43" s="11" t="s">
        <v>40</v>
      </c>
      <c r="N43" s="11" t="s">
        <v>42</v>
      </c>
      <c r="O43" s="9"/>
      <c r="P43" t="str">
        <f t="shared" si="1"/>
        <v/>
      </c>
    </row>
    <row r="44" spans="1:16" ht="34.049999999999997" customHeight="1" x14ac:dyDescent="0.25">
      <c r="A44" s="5" t="s">
        <v>220</v>
      </c>
      <c r="B44" s="5" t="s">
        <v>140</v>
      </c>
      <c r="C44" s="7" t="s">
        <v>141</v>
      </c>
      <c r="D44" s="7" t="s">
        <v>754</v>
      </c>
      <c r="E44" s="7" t="s">
        <v>697</v>
      </c>
      <c r="F44" s="7" t="s">
        <v>698</v>
      </c>
      <c r="G44" s="7" t="s">
        <v>699</v>
      </c>
      <c r="H44" s="7" t="s">
        <v>700</v>
      </c>
      <c r="I44" s="7" t="s">
        <v>701</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626</v>
      </c>
      <c r="E45" s="7" t="s">
        <v>703</v>
      </c>
      <c r="F45" s="7" t="s">
        <v>704</v>
      </c>
      <c r="G45" s="7" t="s">
        <v>705</v>
      </c>
      <c r="H45" s="7" t="s">
        <v>706</v>
      </c>
      <c r="I45" s="7" t="s">
        <v>707</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755</v>
      </c>
      <c r="E46" s="7" t="s">
        <v>708</v>
      </c>
      <c r="F46" s="7" t="s">
        <v>709</v>
      </c>
      <c r="G46" s="7" t="s">
        <v>710</v>
      </c>
      <c r="H46" s="7" t="s">
        <v>711</v>
      </c>
      <c r="I46" s="7" t="s">
        <v>712</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464</v>
      </c>
      <c r="E47" s="7" t="s">
        <v>714</v>
      </c>
      <c r="F47" s="7" t="s">
        <v>715</v>
      </c>
      <c r="G47" s="7" t="s">
        <v>716</v>
      </c>
      <c r="H47" s="7" t="s">
        <v>717</v>
      </c>
      <c r="I47" s="7" t="s">
        <v>718</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756</v>
      </c>
      <c r="E48" s="7" t="s">
        <v>720</v>
      </c>
      <c r="F48" s="7" t="s">
        <v>721</v>
      </c>
      <c r="G48" s="7" t="s">
        <v>722</v>
      </c>
      <c r="H48" s="7" t="s">
        <v>723</v>
      </c>
      <c r="I48" s="7" t="s">
        <v>724</v>
      </c>
      <c r="J48" s="11" t="s">
        <v>28</v>
      </c>
      <c r="K48" s="11" t="s">
        <v>36</v>
      </c>
      <c r="L48" s="11" t="s">
        <v>38</v>
      </c>
      <c r="M48" s="11" t="s">
        <v>40</v>
      </c>
      <c r="N48" s="11" t="s">
        <v>42</v>
      </c>
      <c r="O48" s="9"/>
      <c r="P48" t="str">
        <f t="shared" si="1"/>
        <v/>
      </c>
    </row>
    <row r="49" spans="1:16" ht="34.049999999999997" customHeight="1" x14ac:dyDescent="0.25">
      <c r="A49" s="5" t="s">
        <v>220</v>
      </c>
      <c r="B49" s="5" t="s">
        <v>180</v>
      </c>
      <c r="C49" s="7" t="s">
        <v>725</v>
      </c>
      <c r="D49" s="7" t="s">
        <v>757</v>
      </c>
      <c r="E49" s="7" t="s">
        <v>727</v>
      </c>
      <c r="F49" s="7" t="s">
        <v>728</v>
      </c>
      <c r="G49" s="7" t="s">
        <v>729</v>
      </c>
      <c r="H49" s="7" t="s">
        <v>730</v>
      </c>
      <c r="I49" s="7" t="s">
        <v>731</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629</v>
      </c>
      <c r="E50" s="7" t="s">
        <v>733</v>
      </c>
      <c r="F50" s="7" t="s">
        <v>734</v>
      </c>
      <c r="G50" s="7" t="s">
        <v>735</v>
      </c>
      <c r="H50" s="7" t="s">
        <v>736</v>
      </c>
      <c r="I50" s="7" t="s">
        <v>737</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758</v>
      </c>
      <c r="E51" s="7" t="s">
        <v>738</v>
      </c>
      <c r="F51" s="7" t="s">
        <v>739</v>
      </c>
      <c r="G51" s="7" t="s">
        <v>740</v>
      </c>
      <c r="H51" s="7" t="s">
        <v>741</v>
      </c>
      <c r="I51" s="7" t="s">
        <v>742</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759</v>
      </c>
      <c r="E52" s="7" t="s">
        <v>659</v>
      </c>
      <c r="F52" s="7" t="s">
        <v>660</v>
      </c>
      <c r="G52" s="7" t="s">
        <v>661</v>
      </c>
      <c r="H52" s="7" t="s">
        <v>662</v>
      </c>
      <c r="I52" s="7" t="s">
        <v>663</v>
      </c>
      <c r="J52" s="11" t="s">
        <v>34</v>
      </c>
      <c r="K52" s="11" t="s">
        <v>36</v>
      </c>
      <c r="L52" s="11" t="s">
        <v>38</v>
      </c>
      <c r="M52" s="11" t="s">
        <v>40</v>
      </c>
      <c r="N52" s="11" t="s">
        <v>42</v>
      </c>
      <c r="O52" s="9"/>
      <c r="P52" t="str">
        <f t="shared" si="1"/>
        <v/>
      </c>
    </row>
    <row r="53" spans="1:16" ht="34.049999999999997" customHeight="1" x14ac:dyDescent="0.25">
      <c r="A53" s="5" t="s">
        <v>236</v>
      </c>
      <c r="B53" s="5" t="s">
        <v>92</v>
      </c>
      <c r="C53" s="7" t="s">
        <v>664</v>
      </c>
      <c r="D53" s="7" t="s">
        <v>760</v>
      </c>
      <c r="E53" s="7" t="s">
        <v>665</v>
      </c>
      <c r="F53" s="7" t="s">
        <v>666</v>
      </c>
      <c r="G53" s="7" t="s">
        <v>667</v>
      </c>
      <c r="H53" s="7" t="s">
        <v>668</v>
      </c>
      <c r="I53" s="7" t="s">
        <v>669</v>
      </c>
      <c r="J53" s="11" t="s">
        <v>28</v>
      </c>
      <c r="K53" s="11" t="s">
        <v>30</v>
      </c>
      <c r="L53" s="11" t="s">
        <v>32</v>
      </c>
      <c r="M53" s="11" t="s">
        <v>40</v>
      </c>
      <c r="N53" s="11" t="s">
        <v>42</v>
      </c>
      <c r="O53" s="9"/>
      <c r="P53" t="str">
        <f t="shared" si="1"/>
        <v/>
      </c>
    </row>
    <row r="54" spans="1:16" ht="34.049999999999997" customHeight="1" x14ac:dyDescent="0.25">
      <c r="A54" s="5" t="s">
        <v>236</v>
      </c>
      <c r="B54" s="5" t="s">
        <v>100</v>
      </c>
      <c r="C54" s="7" t="s">
        <v>101</v>
      </c>
      <c r="D54" s="7" t="s">
        <v>255</v>
      </c>
      <c r="E54" s="7" t="s">
        <v>670</v>
      </c>
      <c r="F54" s="7" t="s">
        <v>671</v>
      </c>
      <c r="G54" s="7" t="s">
        <v>672</v>
      </c>
      <c r="H54" s="7" t="s">
        <v>673</v>
      </c>
      <c r="I54" s="7" t="s">
        <v>674</v>
      </c>
      <c r="J54" s="11" t="s">
        <v>30</v>
      </c>
      <c r="K54" s="11" t="s">
        <v>32</v>
      </c>
      <c r="L54" s="11" t="s">
        <v>34</v>
      </c>
      <c r="M54" s="11" t="s">
        <v>36</v>
      </c>
      <c r="N54" s="11" t="s">
        <v>38</v>
      </c>
      <c r="O54" s="9"/>
      <c r="P54" t="str">
        <f t="shared" si="1"/>
        <v/>
      </c>
    </row>
    <row r="55" spans="1:16" ht="34.049999999999997" customHeight="1" x14ac:dyDescent="0.25">
      <c r="A55" s="5" t="s">
        <v>236</v>
      </c>
      <c r="B55" s="5" t="s">
        <v>108</v>
      </c>
      <c r="C55" s="7" t="s">
        <v>109</v>
      </c>
      <c r="D55" s="7" t="s">
        <v>240</v>
      </c>
      <c r="E55" s="7" t="s">
        <v>675</v>
      </c>
      <c r="F55" s="7" t="s">
        <v>676</v>
      </c>
      <c r="G55" s="7" t="s">
        <v>677</v>
      </c>
      <c r="H55" s="7" t="s">
        <v>678</v>
      </c>
      <c r="I55" s="7" t="s">
        <v>679</v>
      </c>
      <c r="J55" s="11" t="s">
        <v>28</v>
      </c>
      <c r="K55" s="11" t="s">
        <v>36</v>
      </c>
      <c r="L55" s="11" t="s">
        <v>38</v>
      </c>
      <c r="M55" s="11" t="s">
        <v>40</v>
      </c>
      <c r="N55" s="11" t="s">
        <v>42</v>
      </c>
      <c r="O55" s="9"/>
      <c r="P55" t="str">
        <f t="shared" si="1"/>
        <v/>
      </c>
    </row>
    <row r="56" spans="1:16" ht="34.049999999999997" customHeight="1" x14ac:dyDescent="0.25">
      <c r="A56" s="5" t="s">
        <v>236</v>
      </c>
      <c r="B56" s="5" t="s">
        <v>116</v>
      </c>
      <c r="C56" s="7" t="s">
        <v>382</v>
      </c>
      <c r="D56" s="7" t="s">
        <v>761</v>
      </c>
      <c r="E56" s="7" t="s">
        <v>681</v>
      </c>
      <c r="F56" s="7" t="s">
        <v>682</v>
      </c>
      <c r="G56" s="7" t="s">
        <v>683</v>
      </c>
      <c r="H56" s="7" t="s">
        <v>684</v>
      </c>
      <c r="I56" s="7" t="s">
        <v>685</v>
      </c>
      <c r="J56" s="11" t="s">
        <v>28</v>
      </c>
      <c r="K56" s="11" t="s">
        <v>30</v>
      </c>
      <c r="L56" s="11" t="s">
        <v>32</v>
      </c>
      <c r="M56" s="11" t="s">
        <v>34</v>
      </c>
      <c r="N56" s="11" t="s">
        <v>42</v>
      </c>
      <c r="O56" s="9"/>
      <c r="P56" t="str">
        <f t="shared" si="1"/>
        <v/>
      </c>
    </row>
    <row r="57" spans="1:16" ht="34.049999999999997" customHeight="1" x14ac:dyDescent="0.25">
      <c r="A57" s="5" t="s">
        <v>236</v>
      </c>
      <c r="B57" s="5" t="s">
        <v>124</v>
      </c>
      <c r="C57" s="7" t="s">
        <v>560</v>
      </c>
      <c r="D57" s="7" t="s">
        <v>467</v>
      </c>
      <c r="E57" s="7" t="s">
        <v>686</v>
      </c>
      <c r="F57" s="7" t="s">
        <v>687</v>
      </c>
      <c r="G57" s="7" t="s">
        <v>688</v>
      </c>
      <c r="H57" s="7" t="s">
        <v>689</v>
      </c>
      <c r="I57" s="7" t="s">
        <v>690</v>
      </c>
      <c r="J57" s="11" t="s">
        <v>32</v>
      </c>
      <c r="K57" s="11" t="s">
        <v>34</v>
      </c>
      <c r="L57" s="11" t="s">
        <v>36</v>
      </c>
      <c r="M57" s="11" t="s">
        <v>38</v>
      </c>
      <c r="N57" s="11" t="s">
        <v>40</v>
      </c>
      <c r="O57" s="9"/>
      <c r="P57" t="str">
        <f t="shared" si="1"/>
        <v/>
      </c>
    </row>
    <row r="58" spans="1:16" ht="34.049999999999997" customHeight="1" x14ac:dyDescent="0.25">
      <c r="A58" s="5" t="s">
        <v>236</v>
      </c>
      <c r="B58" s="5" t="s">
        <v>132</v>
      </c>
      <c r="C58" s="7" t="s">
        <v>396</v>
      </c>
      <c r="D58" s="7" t="s">
        <v>762</v>
      </c>
      <c r="E58" s="7" t="s">
        <v>691</v>
      </c>
      <c r="F58" s="7" t="s">
        <v>692</v>
      </c>
      <c r="G58" s="7" t="s">
        <v>693</v>
      </c>
      <c r="H58" s="7" t="s">
        <v>694</v>
      </c>
      <c r="I58" s="7" t="s">
        <v>695</v>
      </c>
      <c r="J58" s="11" t="s">
        <v>28</v>
      </c>
      <c r="K58" s="11" t="s">
        <v>30</v>
      </c>
      <c r="L58" s="11" t="s">
        <v>38</v>
      </c>
      <c r="M58" s="11" t="s">
        <v>40</v>
      </c>
      <c r="N58" s="11" t="s">
        <v>42</v>
      </c>
      <c r="O58" s="9"/>
      <c r="P58" t="str">
        <f t="shared" si="1"/>
        <v/>
      </c>
    </row>
    <row r="59" spans="1:16" ht="34.049999999999997" customHeight="1" x14ac:dyDescent="0.25">
      <c r="A59" s="5" t="s">
        <v>236</v>
      </c>
      <c r="B59" s="5" t="s">
        <v>140</v>
      </c>
      <c r="C59" s="7" t="s">
        <v>141</v>
      </c>
      <c r="D59" s="7" t="s">
        <v>244</v>
      </c>
      <c r="E59" s="7" t="s">
        <v>697</v>
      </c>
      <c r="F59" s="7" t="s">
        <v>698</v>
      </c>
      <c r="G59" s="7" t="s">
        <v>699</v>
      </c>
      <c r="H59" s="7" t="s">
        <v>700</v>
      </c>
      <c r="I59" s="7" t="s">
        <v>701</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763</v>
      </c>
      <c r="E60" s="7" t="s">
        <v>703</v>
      </c>
      <c r="F60" s="7" t="s">
        <v>704</v>
      </c>
      <c r="G60" s="7" t="s">
        <v>705</v>
      </c>
      <c r="H60" s="7" t="s">
        <v>706</v>
      </c>
      <c r="I60" s="7" t="s">
        <v>707</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764</v>
      </c>
      <c r="E61" s="7" t="s">
        <v>708</v>
      </c>
      <c r="F61" s="7" t="s">
        <v>709</v>
      </c>
      <c r="G61" s="7" t="s">
        <v>710</v>
      </c>
      <c r="H61" s="7" t="s">
        <v>711</v>
      </c>
      <c r="I61" s="7" t="s">
        <v>712</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247</v>
      </c>
      <c r="E62" s="7" t="s">
        <v>714</v>
      </c>
      <c r="F62" s="7" t="s">
        <v>715</v>
      </c>
      <c r="G62" s="7" t="s">
        <v>716</v>
      </c>
      <c r="H62" s="7" t="s">
        <v>717</v>
      </c>
      <c r="I62" s="7" t="s">
        <v>718</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471</v>
      </c>
      <c r="E63" s="7" t="s">
        <v>720</v>
      </c>
      <c r="F63" s="7" t="s">
        <v>721</v>
      </c>
      <c r="G63" s="7" t="s">
        <v>722</v>
      </c>
      <c r="H63" s="7" t="s">
        <v>723</v>
      </c>
      <c r="I63" s="7" t="s">
        <v>724</v>
      </c>
      <c r="J63" s="11" t="s">
        <v>28</v>
      </c>
      <c r="K63" s="11" t="s">
        <v>36</v>
      </c>
      <c r="L63" s="11" t="s">
        <v>38</v>
      </c>
      <c r="M63" s="11" t="s">
        <v>40</v>
      </c>
      <c r="N63" s="11" t="s">
        <v>42</v>
      </c>
      <c r="O63" s="9"/>
      <c r="P63" t="str">
        <f t="shared" si="1"/>
        <v/>
      </c>
    </row>
    <row r="64" spans="1:16" ht="34.049999999999997" customHeight="1" x14ac:dyDescent="0.25">
      <c r="A64" s="5" t="s">
        <v>236</v>
      </c>
      <c r="B64" s="5" t="s">
        <v>180</v>
      </c>
      <c r="C64" s="7" t="s">
        <v>725</v>
      </c>
      <c r="D64" s="7" t="s">
        <v>472</v>
      </c>
      <c r="E64" s="7" t="s">
        <v>727</v>
      </c>
      <c r="F64" s="7" t="s">
        <v>728</v>
      </c>
      <c r="G64" s="7" t="s">
        <v>729</v>
      </c>
      <c r="H64" s="7" t="s">
        <v>730</v>
      </c>
      <c r="I64" s="7" t="s">
        <v>731</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473</v>
      </c>
      <c r="E65" s="7" t="s">
        <v>733</v>
      </c>
      <c r="F65" s="7" t="s">
        <v>734</v>
      </c>
      <c r="G65" s="7" t="s">
        <v>735</v>
      </c>
      <c r="H65" s="7" t="s">
        <v>736</v>
      </c>
      <c r="I65" s="7" t="s">
        <v>737</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251</v>
      </c>
      <c r="E66" s="7" t="s">
        <v>738</v>
      </c>
      <c r="F66" s="7" t="s">
        <v>739</v>
      </c>
      <c r="G66" s="7" t="s">
        <v>740</v>
      </c>
      <c r="H66" s="7" t="s">
        <v>741</v>
      </c>
      <c r="I66" s="7" t="s">
        <v>742</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765</v>
      </c>
      <c r="E67" s="7" t="s">
        <v>659</v>
      </c>
      <c r="F67" s="7" t="s">
        <v>660</v>
      </c>
      <c r="G67" s="7" t="s">
        <v>661</v>
      </c>
      <c r="H67" s="7" t="s">
        <v>662</v>
      </c>
      <c r="I67" s="7" t="s">
        <v>663</v>
      </c>
      <c r="J67" s="11" t="s">
        <v>34</v>
      </c>
      <c r="K67" s="11" t="s">
        <v>36</v>
      </c>
      <c r="L67" s="11" t="s">
        <v>38</v>
      </c>
      <c r="M67" s="11" t="s">
        <v>40</v>
      </c>
      <c r="N67" s="11" t="s">
        <v>42</v>
      </c>
      <c r="O67" s="9"/>
      <c r="P67" t="str">
        <f t="shared" si="1"/>
        <v/>
      </c>
    </row>
    <row r="68" spans="1:16" ht="34.049999999999997" customHeight="1" x14ac:dyDescent="0.25">
      <c r="A68" s="5" t="s">
        <v>252</v>
      </c>
      <c r="B68" s="5" t="s">
        <v>92</v>
      </c>
      <c r="C68" s="7" t="s">
        <v>664</v>
      </c>
      <c r="D68" s="7" t="s">
        <v>766</v>
      </c>
      <c r="E68" s="7" t="s">
        <v>665</v>
      </c>
      <c r="F68" s="7" t="s">
        <v>666</v>
      </c>
      <c r="G68" s="7" t="s">
        <v>667</v>
      </c>
      <c r="H68" s="7" t="s">
        <v>668</v>
      </c>
      <c r="I68" s="7" t="s">
        <v>669</v>
      </c>
      <c r="J68" s="11" t="s">
        <v>28</v>
      </c>
      <c r="K68" s="11" t="s">
        <v>30</v>
      </c>
      <c r="L68" s="11" t="s">
        <v>32</v>
      </c>
      <c r="M68" s="11" t="s">
        <v>40</v>
      </c>
      <c r="N68" s="11" t="s">
        <v>42</v>
      </c>
      <c r="O68" s="9"/>
      <c r="P68" t="str">
        <f t="shared" si="1"/>
        <v/>
      </c>
    </row>
    <row r="69" spans="1:16" ht="34.049999999999997" customHeight="1" x14ac:dyDescent="0.25">
      <c r="A69" s="5" t="s">
        <v>252</v>
      </c>
      <c r="B69" s="5" t="s">
        <v>100</v>
      </c>
      <c r="C69" s="7" t="s">
        <v>101</v>
      </c>
      <c r="D69" s="7" t="s">
        <v>767</v>
      </c>
      <c r="E69" s="7" t="s">
        <v>670</v>
      </c>
      <c r="F69" s="7" t="s">
        <v>671</v>
      </c>
      <c r="G69" s="7" t="s">
        <v>672</v>
      </c>
      <c r="H69" s="7" t="s">
        <v>673</v>
      </c>
      <c r="I69" s="7" t="s">
        <v>674</v>
      </c>
      <c r="J69" s="11" t="s">
        <v>30</v>
      </c>
      <c r="K69" s="11" t="s">
        <v>32</v>
      </c>
      <c r="L69" s="11" t="s">
        <v>34</v>
      </c>
      <c r="M69" s="11" t="s">
        <v>36</v>
      </c>
      <c r="N69" s="11" t="s">
        <v>38</v>
      </c>
      <c r="O69" s="9"/>
      <c r="P69" t="str">
        <f t="shared" si="1"/>
        <v/>
      </c>
    </row>
    <row r="70" spans="1:16" ht="34.049999999999997" customHeight="1" x14ac:dyDescent="0.25">
      <c r="A70" s="5" t="s">
        <v>252</v>
      </c>
      <c r="B70" s="5" t="s">
        <v>108</v>
      </c>
      <c r="C70" s="7" t="s">
        <v>109</v>
      </c>
      <c r="D70" s="7" t="s">
        <v>633</v>
      </c>
      <c r="E70" s="7" t="s">
        <v>675</v>
      </c>
      <c r="F70" s="7" t="s">
        <v>676</v>
      </c>
      <c r="G70" s="7" t="s">
        <v>677</v>
      </c>
      <c r="H70" s="7" t="s">
        <v>678</v>
      </c>
      <c r="I70" s="7" t="s">
        <v>679</v>
      </c>
      <c r="J70" s="11" t="s">
        <v>28</v>
      </c>
      <c r="K70" s="11" t="s">
        <v>36</v>
      </c>
      <c r="L70" s="11" t="s">
        <v>38</v>
      </c>
      <c r="M70" s="11" t="s">
        <v>40</v>
      </c>
      <c r="N70" s="11" t="s">
        <v>42</v>
      </c>
      <c r="O70" s="9"/>
      <c r="P70" t="str">
        <f t="shared" si="1"/>
        <v/>
      </c>
    </row>
    <row r="71" spans="1:16" ht="34.049999999999997" customHeight="1" x14ac:dyDescent="0.25">
      <c r="A71" s="5" t="s">
        <v>252</v>
      </c>
      <c r="B71" s="5" t="s">
        <v>116</v>
      </c>
      <c r="C71" s="7" t="s">
        <v>382</v>
      </c>
      <c r="D71" s="7" t="s">
        <v>768</v>
      </c>
      <c r="E71" s="7" t="s">
        <v>681</v>
      </c>
      <c r="F71" s="7" t="s">
        <v>682</v>
      </c>
      <c r="G71" s="7" t="s">
        <v>683</v>
      </c>
      <c r="H71" s="7" t="s">
        <v>684</v>
      </c>
      <c r="I71" s="7" t="s">
        <v>685</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560</v>
      </c>
      <c r="D72" s="7" t="s">
        <v>634</v>
      </c>
      <c r="E72" s="7" t="s">
        <v>686</v>
      </c>
      <c r="F72" s="7" t="s">
        <v>687</v>
      </c>
      <c r="G72" s="7" t="s">
        <v>688</v>
      </c>
      <c r="H72" s="7" t="s">
        <v>689</v>
      </c>
      <c r="I72" s="7" t="s">
        <v>690</v>
      </c>
      <c r="J72" s="11" t="s">
        <v>32</v>
      </c>
      <c r="K72" s="11" t="s">
        <v>34</v>
      </c>
      <c r="L72" s="11" t="s">
        <v>36</v>
      </c>
      <c r="M72" s="11" t="s">
        <v>38</v>
      </c>
      <c r="N72" s="11" t="s">
        <v>40</v>
      </c>
      <c r="O72" s="9"/>
      <c r="P72" t="str">
        <f t="shared" si="2"/>
        <v/>
      </c>
    </row>
    <row r="73" spans="1:16" ht="34.049999999999997" customHeight="1" x14ac:dyDescent="0.25">
      <c r="A73" s="5" t="s">
        <v>252</v>
      </c>
      <c r="B73" s="5" t="s">
        <v>132</v>
      </c>
      <c r="C73" s="7" t="s">
        <v>396</v>
      </c>
      <c r="D73" s="7" t="s">
        <v>769</v>
      </c>
      <c r="E73" s="7" t="s">
        <v>691</v>
      </c>
      <c r="F73" s="7" t="s">
        <v>692</v>
      </c>
      <c r="G73" s="7" t="s">
        <v>693</v>
      </c>
      <c r="H73" s="7" t="s">
        <v>694</v>
      </c>
      <c r="I73" s="7" t="s">
        <v>695</v>
      </c>
      <c r="J73" s="11" t="s">
        <v>28</v>
      </c>
      <c r="K73" s="11" t="s">
        <v>30</v>
      </c>
      <c r="L73" s="11" t="s">
        <v>38</v>
      </c>
      <c r="M73" s="11" t="s">
        <v>40</v>
      </c>
      <c r="N73" s="11" t="s">
        <v>42</v>
      </c>
      <c r="O73" s="9"/>
      <c r="P73" t="str">
        <f t="shared" si="2"/>
        <v/>
      </c>
    </row>
    <row r="74" spans="1:16" ht="34.049999999999997" customHeight="1" x14ac:dyDescent="0.25">
      <c r="A74" s="5" t="s">
        <v>252</v>
      </c>
      <c r="B74" s="5" t="s">
        <v>140</v>
      </c>
      <c r="C74" s="7" t="s">
        <v>141</v>
      </c>
      <c r="D74" s="7" t="s">
        <v>770</v>
      </c>
      <c r="E74" s="7" t="s">
        <v>697</v>
      </c>
      <c r="F74" s="7" t="s">
        <v>698</v>
      </c>
      <c r="G74" s="7" t="s">
        <v>699</v>
      </c>
      <c r="H74" s="7" t="s">
        <v>700</v>
      </c>
      <c r="I74" s="7" t="s">
        <v>701</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771</v>
      </c>
      <c r="E75" s="7" t="s">
        <v>703</v>
      </c>
      <c r="F75" s="7" t="s">
        <v>704</v>
      </c>
      <c r="G75" s="7" t="s">
        <v>705</v>
      </c>
      <c r="H75" s="7" t="s">
        <v>706</v>
      </c>
      <c r="I75" s="7" t="s">
        <v>707</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480</v>
      </c>
      <c r="E76" s="7" t="s">
        <v>708</v>
      </c>
      <c r="F76" s="7" t="s">
        <v>709</v>
      </c>
      <c r="G76" s="7" t="s">
        <v>710</v>
      </c>
      <c r="H76" s="7" t="s">
        <v>711</v>
      </c>
      <c r="I76" s="7" t="s">
        <v>712</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772</v>
      </c>
      <c r="E77" s="7" t="s">
        <v>714</v>
      </c>
      <c r="F77" s="7" t="s">
        <v>715</v>
      </c>
      <c r="G77" s="7" t="s">
        <v>716</v>
      </c>
      <c r="H77" s="7" t="s">
        <v>717</v>
      </c>
      <c r="I77" s="7" t="s">
        <v>718</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773</v>
      </c>
      <c r="E78" s="7" t="s">
        <v>720</v>
      </c>
      <c r="F78" s="7" t="s">
        <v>721</v>
      </c>
      <c r="G78" s="7" t="s">
        <v>722</v>
      </c>
      <c r="H78" s="7" t="s">
        <v>723</v>
      </c>
      <c r="I78" s="7" t="s">
        <v>724</v>
      </c>
      <c r="J78" s="11" t="s">
        <v>28</v>
      </c>
      <c r="K78" s="11" t="s">
        <v>36</v>
      </c>
      <c r="L78" s="11" t="s">
        <v>38</v>
      </c>
      <c r="M78" s="11" t="s">
        <v>40</v>
      </c>
      <c r="N78" s="11" t="s">
        <v>42</v>
      </c>
      <c r="O78" s="9"/>
      <c r="P78" t="str">
        <f t="shared" si="2"/>
        <v/>
      </c>
    </row>
    <row r="79" spans="1:16" ht="34.049999999999997" customHeight="1" x14ac:dyDescent="0.25">
      <c r="A79" s="5" t="s">
        <v>252</v>
      </c>
      <c r="B79" s="5" t="s">
        <v>180</v>
      </c>
      <c r="C79" s="7" t="s">
        <v>725</v>
      </c>
      <c r="D79" s="7" t="s">
        <v>774</v>
      </c>
      <c r="E79" s="7" t="s">
        <v>727</v>
      </c>
      <c r="F79" s="7" t="s">
        <v>728</v>
      </c>
      <c r="G79" s="7" t="s">
        <v>729</v>
      </c>
      <c r="H79" s="7" t="s">
        <v>730</v>
      </c>
      <c r="I79" s="7" t="s">
        <v>731</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482</v>
      </c>
      <c r="E80" s="7" t="s">
        <v>733</v>
      </c>
      <c r="F80" s="7" t="s">
        <v>734</v>
      </c>
      <c r="G80" s="7" t="s">
        <v>735</v>
      </c>
      <c r="H80" s="7" t="s">
        <v>736</v>
      </c>
      <c r="I80" s="7" t="s">
        <v>737</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775</v>
      </c>
      <c r="E81" s="7" t="s">
        <v>738</v>
      </c>
      <c r="F81" s="7" t="s">
        <v>739</v>
      </c>
      <c r="G81" s="7" t="s">
        <v>740</v>
      </c>
      <c r="H81" s="7" t="s">
        <v>741</v>
      </c>
      <c r="I81" s="7" t="s">
        <v>742</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776</v>
      </c>
      <c r="E82" s="7" t="s">
        <v>659</v>
      </c>
      <c r="F82" s="7" t="s">
        <v>660</v>
      </c>
      <c r="G82" s="7" t="s">
        <v>661</v>
      </c>
      <c r="H82" s="7" t="s">
        <v>662</v>
      </c>
      <c r="I82" s="7" t="s">
        <v>663</v>
      </c>
      <c r="J82" s="11" t="s">
        <v>34</v>
      </c>
      <c r="K82" s="11" t="s">
        <v>36</v>
      </c>
      <c r="L82" s="11" t="s">
        <v>38</v>
      </c>
      <c r="M82" s="11" t="s">
        <v>40</v>
      </c>
      <c r="N82" s="11" t="s">
        <v>42</v>
      </c>
      <c r="O82" s="9"/>
      <c r="P82" t="str">
        <f t="shared" si="2"/>
        <v/>
      </c>
    </row>
    <row r="83" spans="1:16" ht="34.049999999999997" customHeight="1" x14ac:dyDescent="0.25">
      <c r="A83" s="5" t="s">
        <v>268</v>
      </c>
      <c r="B83" s="5" t="s">
        <v>92</v>
      </c>
      <c r="C83" s="7" t="s">
        <v>664</v>
      </c>
      <c r="D83" s="7" t="s">
        <v>639</v>
      </c>
      <c r="E83" s="7" t="s">
        <v>665</v>
      </c>
      <c r="F83" s="7" t="s">
        <v>666</v>
      </c>
      <c r="G83" s="7" t="s">
        <v>667</v>
      </c>
      <c r="H83" s="7" t="s">
        <v>668</v>
      </c>
      <c r="I83" s="7" t="s">
        <v>669</v>
      </c>
      <c r="J83" s="11" t="s">
        <v>28</v>
      </c>
      <c r="K83" s="11" t="s">
        <v>30</v>
      </c>
      <c r="L83" s="11" t="s">
        <v>32</v>
      </c>
      <c r="M83" s="11" t="s">
        <v>40</v>
      </c>
      <c r="N83" s="11" t="s">
        <v>42</v>
      </c>
      <c r="O83" s="9"/>
      <c r="P83" t="str">
        <f t="shared" si="2"/>
        <v/>
      </c>
    </row>
    <row r="84" spans="1:16" ht="34.049999999999997" customHeight="1" x14ac:dyDescent="0.25">
      <c r="A84" s="5" t="s">
        <v>268</v>
      </c>
      <c r="B84" s="5" t="s">
        <v>100</v>
      </c>
      <c r="C84" s="7" t="s">
        <v>101</v>
      </c>
      <c r="D84" s="7" t="s">
        <v>483</v>
      </c>
      <c r="E84" s="7" t="s">
        <v>670</v>
      </c>
      <c r="F84" s="7" t="s">
        <v>671</v>
      </c>
      <c r="G84" s="7" t="s">
        <v>672</v>
      </c>
      <c r="H84" s="7" t="s">
        <v>673</v>
      </c>
      <c r="I84" s="7" t="s">
        <v>674</v>
      </c>
      <c r="J84" s="11" t="s">
        <v>30</v>
      </c>
      <c r="K84" s="11" t="s">
        <v>32</v>
      </c>
      <c r="L84" s="11" t="s">
        <v>34</v>
      </c>
      <c r="M84" s="11" t="s">
        <v>36</v>
      </c>
      <c r="N84" s="11" t="s">
        <v>38</v>
      </c>
      <c r="O84" s="9"/>
      <c r="P84" t="str">
        <f t="shared" si="2"/>
        <v/>
      </c>
    </row>
    <row r="85" spans="1:16" ht="34.049999999999997" customHeight="1" x14ac:dyDescent="0.25">
      <c r="A85" s="5" t="s">
        <v>268</v>
      </c>
      <c r="B85" s="5" t="s">
        <v>108</v>
      </c>
      <c r="C85" s="7" t="s">
        <v>109</v>
      </c>
      <c r="D85" s="7" t="s">
        <v>777</v>
      </c>
      <c r="E85" s="7" t="s">
        <v>675</v>
      </c>
      <c r="F85" s="7" t="s">
        <v>676</v>
      </c>
      <c r="G85" s="7" t="s">
        <v>677</v>
      </c>
      <c r="H85" s="7" t="s">
        <v>678</v>
      </c>
      <c r="I85" s="7" t="s">
        <v>679</v>
      </c>
      <c r="J85" s="11" t="s">
        <v>28</v>
      </c>
      <c r="K85" s="11" t="s">
        <v>36</v>
      </c>
      <c r="L85" s="11" t="s">
        <v>38</v>
      </c>
      <c r="M85" s="11" t="s">
        <v>40</v>
      </c>
      <c r="N85" s="11" t="s">
        <v>42</v>
      </c>
      <c r="O85" s="9"/>
      <c r="P85" t="str">
        <f t="shared" si="2"/>
        <v/>
      </c>
    </row>
    <row r="86" spans="1:16" ht="34.049999999999997" customHeight="1" x14ac:dyDescent="0.25">
      <c r="A86" s="5" t="s">
        <v>268</v>
      </c>
      <c r="B86" s="5" t="s">
        <v>116</v>
      </c>
      <c r="C86" s="7" t="s">
        <v>382</v>
      </c>
      <c r="D86" s="7" t="s">
        <v>778</v>
      </c>
      <c r="E86" s="7" t="s">
        <v>681</v>
      </c>
      <c r="F86" s="7" t="s">
        <v>682</v>
      </c>
      <c r="G86" s="7" t="s">
        <v>683</v>
      </c>
      <c r="H86" s="7" t="s">
        <v>684</v>
      </c>
      <c r="I86" s="7" t="s">
        <v>685</v>
      </c>
      <c r="J86" s="11" t="s">
        <v>28</v>
      </c>
      <c r="K86" s="11" t="s">
        <v>30</v>
      </c>
      <c r="L86" s="11" t="s">
        <v>32</v>
      </c>
      <c r="M86" s="11" t="s">
        <v>34</v>
      </c>
      <c r="N86" s="11" t="s">
        <v>42</v>
      </c>
      <c r="O86" s="9"/>
      <c r="P86" t="str">
        <f t="shared" si="2"/>
        <v/>
      </c>
    </row>
    <row r="87" spans="1:16" ht="34.049999999999997" customHeight="1" x14ac:dyDescent="0.25">
      <c r="A87" s="5" t="s">
        <v>268</v>
      </c>
      <c r="B87" s="5" t="s">
        <v>124</v>
      </c>
      <c r="C87" s="7" t="s">
        <v>560</v>
      </c>
      <c r="D87" s="7" t="s">
        <v>485</v>
      </c>
      <c r="E87" s="7" t="s">
        <v>686</v>
      </c>
      <c r="F87" s="7" t="s">
        <v>687</v>
      </c>
      <c r="G87" s="7" t="s">
        <v>688</v>
      </c>
      <c r="H87" s="7" t="s">
        <v>689</v>
      </c>
      <c r="I87" s="7" t="s">
        <v>690</v>
      </c>
      <c r="J87" s="11" t="s">
        <v>32</v>
      </c>
      <c r="K87" s="11" t="s">
        <v>34</v>
      </c>
      <c r="L87" s="11" t="s">
        <v>36</v>
      </c>
      <c r="M87" s="11" t="s">
        <v>38</v>
      </c>
      <c r="N87" s="11" t="s">
        <v>40</v>
      </c>
      <c r="O87" s="9"/>
      <c r="P87" t="str">
        <f t="shared" si="2"/>
        <v/>
      </c>
    </row>
    <row r="88" spans="1:16" ht="34.049999999999997" customHeight="1" x14ac:dyDescent="0.25">
      <c r="A88" s="5" t="s">
        <v>268</v>
      </c>
      <c r="B88" s="5" t="s">
        <v>132</v>
      </c>
      <c r="C88" s="7" t="s">
        <v>396</v>
      </c>
      <c r="D88" s="7" t="s">
        <v>779</v>
      </c>
      <c r="E88" s="7" t="s">
        <v>691</v>
      </c>
      <c r="F88" s="7" t="s">
        <v>692</v>
      </c>
      <c r="G88" s="7" t="s">
        <v>693</v>
      </c>
      <c r="H88" s="7" t="s">
        <v>694</v>
      </c>
      <c r="I88" s="7" t="s">
        <v>695</v>
      </c>
      <c r="J88" s="11" t="s">
        <v>28</v>
      </c>
      <c r="K88" s="11" t="s">
        <v>30</v>
      </c>
      <c r="L88" s="11" t="s">
        <v>38</v>
      </c>
      <c r="M88" s="11" t="s">
        <v>40</v>
      </c>
      <c r="N88" s="11" t="s">
        <v>42</v>
      </c>
      <c r="O88" s="9"/>
      <c r="P88" t="str">
        <f t="shared" si="2"/>
        <v/>
      </c>
    </row>
    <row r="89" spans="1:16" ht="34.049999999999997" customHeight="1" x14ac:dyDescent="0.25">
      <c r="A89" s="5" t="s">
        <v>268</v>
      </c>
      <c r="B89" s="5" t="s">
        <v>140</v>
      </c>
      <c r="C89" s="7" t="s">
        <v>141</v>
      </c>
      <c r="D89" s="7" t="s">
        <v>276</v>
      </c>
      <c r="E89" s="7" t="s">
        <v>697</v>
      </c>
      <c r="F89" s="7" t="s">
        <v>698</v>
      </c>
      <c r="G89" s="7" t="s">
        <v>699</v>
      </c>
      <c r="H89" s="7" t="s">
        <v>700</v>
      </c>
      <c r="I89" s="7" t="s">
        <v>701</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780</v>
      </c>
      <c r="E90" s="7" t="s">
        <v>703</v>
      </c>
      <c r="F90" s="7" t="s">
        <v>704</v>
      </c>
      <c r="G90" s="7" t="s">
        <v>705</v>
      </c>
      <c r="H90" s="7" t="s">
        <v>706</v>
      </c>
      <c r="I90" s="7" t="s">
        <v>707</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278</v>
      </c>
      <c r="E91" s="7" t="s">
        <v>708</v>
      </c>
      <c r="F91" s="7" t="s">
        <v>709</v>
      </c>
      <c r="G91" s="7" t="s">
        <v>710</v>
      </c>
      <c r="H91" s="7" t="s">
        <v>711</v>
      </c>
      <c r="I91" s="7" t="s">
        <v>712</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279</v>
      </c>
      <c r="E92" s="7" t="s">
        <v>714</v>
      </c>
      <c r="F92" s="7" t="s">
        <v>715</v>
      </c>
      <c r="G92" s="7" t="s">
        <v>716</v>
      </c>
      <c r="H92" s="7" t="s">
        <v>717</v>
      </c>
      <c r="I92" s="7" t="s">
        <v>718</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488</v>
      </c>
      <c r="E93" s="7" t="s">
        <v>720</v>
      </c>
      <c r="F93" s="7" t="s">
        <v>721</v>
      </c>
      <c r="G93" s="7" t="s">
        <v>722</v>
      </c>
      <c r="H93" s="7" t="s">
        <v>723</v>
      </c>
      <c r="I93" s="7" t="s">
        <v>724</v>
      </c>
      <c r="J93" s="11" t="s">
        <v>28</v>
      </c>
      <c r="K93" s="11" t="s">
        <v>36</v>
      </c>
      <c r="L93" s="11" t="s">
        <v>38</v>
      </c>
      <c r="M93" s="11" t="s">
        <v>40</v>
      </c>
      <c r="N93" s="11" t="s">
        <v>42</v>
      </c>
      <c r="O93" s="9"/>
      <c r="P93" t="str">
        <f t="shared" si="2"/>
        <v/>
      </c>
    </row>
    <row r="94" spans="1:16" ht="34.049999999999997" customHeight="1" x14ac:dyDescent="0.25">
      <c r="A94" s="5" t="s">
        <v>268</v>
      </c>
      <c r="B94" s="5" t="s">
        <v>180</v>
      </c>
      <c r="C94" s="7" t="s">
        <v>725</v>
      </c>
      <c r="D94" s="7" t="s">
        <v>781</v>
      </c>
      <c r="E94" s="7" t="s">
        <v>727</v>
      </c>
      <c r="F94" s="7" t="s">
        <v>728</v>
      </c>
      <c r="G94" s="7" t="s">
        <v>729</v>
      </c>
      <c r="H94" s="7" t="s">
        <v>730</v>
      </c>
      <c r="I94" s="7" t="s">
        <v>731</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782</v>
      </c>
      <c r="E95" s="7" t="s">
        <v>733</v>
      </c>
      <c r="F95" s="7" t="s">
        <v>734</v>
      </c>
      <c r="G95" s="7" t="s">
        <v>735</v>
      </c>
      <c r="H95" s="7" t="s">
        <v>736</v>
      </c>
      <c r="I95" s="7" t="s">
        <v>737</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490</v>
      </c>
      <c r="E96" s="7" t="s">
        <v>738</v>
      </c>
      <c r="F96" s="7" t="s">
        <v>739</v>
      </c>
      <c r="G96" s="7" t="s">
        <v>740</v>
      </c>
      <c r="H96" s="7" t="s">
        <v>741</v>
      </c>
      <c r="I96" s="7" t="s">
        <v>742</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783</v>
      </c>
      <c r="E97" s="7" t="s">
        <v>659</v>
      </c>
      <c r="F97" s="7" t="s">
        <v>660</v>
      </c>
      <c r="G97" s="7" t="s">
        <v>661</v>
      </c>
      <c r="H97" s="7" t="s">
        <v>662</v>
      </c>
      <c r="I97" s="7" t="s">
        <v>663</v>
      </c>
      <c r="J97" s="11" t="s">
        <v>34</v>
      </c>
      <c r="K97" s="11" t="s">
        <v>36</v>
      </c>
      <c r="L97" s="11" t="s">
        <v>38</v>
      </c>
      <c r="M97" s="11" t="s">
        <v>40</v>
      </c>
      <c r="N97" s="11" t="s">
        <v>42</v>
      </c>
      <c r="O97" s="9"/>
      <c r="P97" t="str">
        <f t="shared" si="2"/>
        <v/>
      </c>
    </row>
    <row r="98" spans="1:16" ht="34.049999999999997" customHeight="1" x14ac:dyDescent="0.25">
      <c r="A98" s="5" t="s">
        <v>284</v>
      </c>
      <c r="B98" s="5" t="s">
        <v>92</v>
      </c>
      <c r="C98" s="7" t="s">
        <v>664</v>
      </c>
      <c r="D98" s="7" t="s">
        <v>492</v>
      </c>
      <c r="E98" s="7" t="s">
        <v>665</v>
      </c>
      <c r="F98" s="7" t="s">
        <v>666</v>
      </c>
      <c r="G98" s="7" t="s">
        <v>667</v>
      </c>
      <c r="H98" s="7" t="s">
        <v>668</v>
      </c>
      <c r="I98" s="7" t="s">
        <v>669</v>
      </c>
      <c r="J98" s="11" t="s">
        <v>28</v>
      </c>
      <c r="K98" s="11" t="s">
        <v>30</v>
      </c>
      <c r="L98" s="11" t="s">
        <v>32</v>
      </c>
      <c r="M98" s="11" t="s">
        <v>40</v>
      </c>
      <c r="N98" s="11" t="s">
        <v>42</v>
      </c>
      <c r="O98" s="9"/>
      <c r="P98" t="str">
        <f t="shared" si="2"/>
        <v/>
      </c>
    </row>
    <row r="99" spans="1:16" ht="34.049999999999997" customHeight="1" x14ac:dyDescent="0.25">
      <c r="A99" s="5" t="s">
        <v>284</v>
      </c>
      <c r="B99" s="5" t="s">
        <v>100</v>
      </c>
      <c r="C99" s="7" t="s">
        <v>101</v>
      </c>
      <c r="D99" s="7" t="s">
        <v>784</v>
      </c>
      <c r="E99" s="7" t="s">
        <v>670</v>
      </c>
      <c r="F99" s="7" t="s">
        <v>671</v>
      </c>
      <c r="G99" s="7" t="s">
        <v>672</v>
      </c>
      <c r="H99" s="7" t="s">
        <v>673</v>
      </c>
      <c r="I99" s="7" t="s">
        <v>674</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109</v>
      </c>
      <c r="D100" s="7" t="s">
        <v>644</v>
      </c>
      <c r="E100" s="7" t="s">
        <v>675</v>
      </c>
      <c r="F100" s="7" t="s">
        <v>676</v>
      </c>
      <c r="G100" s="7" t="s">
        <v>677</v>
      </c>
      <c r="H100" s="7" t="s">
        <v>678</v>
      </c>
      <c r="I100" s="7" t="s">
        <v>679</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382</v>
      </c>
      <c r="D101" s="7" t="s">
        <v>785</v>
      </c>
      <c r="E101" s="7" t="s">
        <v>681</v>
      </c>
      <c r="F101" s="7" t="s">
        <v>682</v>
      </c>
      <c r="G101" s="7" t="s">
        <v>683</v>
      </c>
      <c r="H101" s="7" t="s">
        <v>684</v>
      </c>
      <c r="I101" s="7" t="s">
        <v>685</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560</v>
      </c>
      <c r="D102" s="7" t="s">
        <v>496</v>
      </c>
      <c r="E102" s="7" t="s">
        <v>686</v>
      </c>
      <c r="F102" s="7" t="s">
        <v>687</v>
      </c>
      <c r="G102" s="7" t="s">
        <v>688</v>
      </c>
      <c r="H102" s="7" t="s">
        <v>689</v>
      </c>
      <c r="I102" s="7" t="s">
        <v>690</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396</v>
      </c>
      <c r="D103" s="7" t="s">
        <v>497</v>
      </c>
      <c r="E103" s="7" t="s">
        <v>691</v>
      </c>
      <c r="F103" s="7" t="s">
        <v>692</v>
      </c>
      <c r="G103" s="7" t="s">
        <v>693</v>
      </c>
      <c r="H103" s="7" t="s">
        <v>694</v>
      </c>
      <c r="I103" s="7" t="s">
        <v>695</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141</v>
      </c>
      <c r="D104" s="7" t="s">
        <v>786</v>
      </c>
      <c r="E104" s="7" t="s">
        <v>697</v>
      </c>
      <c r="F104" s="7" t="s">
        <v>698</v>
      </c>
      <c r="G104" s="7" t="s">
        <v>699</v>
      </c>
      <c r="H104" s="7" t="s">
        <v>700</v>
      </c>
      <c r="I104" s="7" t="s">
        <v>701</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787</v>
      </c>
      <c r="E105" s="7" t="s">
        <v>703</v>
      </c>
      <c r="F105" s="7" t="s">
        <v>704</v>
      </c>
      <c r="G105" s="7" t="s">
        <v>705</v>
      </c>
      <c r="H105" s="7" t="s">
        <v>706</v>
      </c>
      <c r="I105" s="7" t="s">
        <v>707</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788</v>
      </c>
      <c r="E106" s="7" t="s">
        <v>708</v>
      </c>
      <c r="F106" s="7" t="s">
        <v>709</v>
      </c>
      <c r="G106" s="7" t="s">
        <v>710</v>
      </c>
      <c r="H106" s="7" t="s">
        <v>711</v>
      </c>
      <c r="I106" s="7" t="s">
        <v>712</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501</v>
      </c>
      <c r="E107" s="7" t="s">
        <v>714</v>
      </c>
      <c r="F107" s="7" t="s">
        <v>715</v>
      </c>
      <c r="G107" s="7" t="s">
        <v>716</v>
      </c>
      <c r="H107" s="7" t="s">
        <v>717</v>
      </c>
      <c r="I107" s="7" t="s">
        <v>718</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296</v>
      </c>
      <c r="E108" s="7" t="s">
        <v>720</v>
      </c>
      <c r="F108" s="7" t="s">
        <v>721</v>
      </c>
      <c r="G108" s="7" t="s">
        <v>722</v>
      </c>
      <c r="H108" s="7" t="s">
        <v>723</v>
      </c>
      <c r="I108" s="7" t="s">
        <v>724</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725</v>
      </c>
      <c r="D109" s="7" t="s">
        <v>789</v>
      </c>
      <c r="E109" s="7" t="s">
        <v>727</v>
      </c>
      <c r="F109" s="7" t="s">
        <v>728</v>
      </c>
      <c r="G109" s="7" t="s">
        <v>729</v>
      </c>
      <c r="H109" s="7" t="s">
        <v>730</v>
      </c>
      <c r="I109" s="7" t="s">
        <v>731</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503</v>
      </c>
      <c r="E110" s="7" t="s">
        <v>733</v>
      </c>
      <c r="F110" s="7" t="s">
        <v>734</v>
      </c>
      <c r="G110" s="7" t="s">
        <v>735</v>
      </c>
      <c r="H110" s="7" t="s">
        <v>736</v>
      </c>
      <c r="I110" s="7" t="s">
        <v>737</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299</v>
      </c>
      <c r="E111" s="7" t="s">
        <v>738</v>
      </c>
      <c r="F111" s="7" t="s">
        <v>739</v>
      </c>
      <c r="G111" s="7" t="s">
        <v>740</v>
      </c>
      <c r="H111" s="7" t="s">
        <v>741</v>
      </c>
      <c r="I111" s="7" t="s">
        <v>742</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790</v>
      </c>
      <c r="E112" s="7" t="s">
        <v>659</v>
      </c>
      <c r="F112" s="7" t="s">
        <v>660</v>
      </c>
      <c r="G112" s="7" t="s">
        <v>661</v>
      </c>
      <c r="H112" s="7" t="s">
        <v>662</v>
      </c>
      <c r="I112" s="7" t="s">
        <v>663</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664</v>
      </c>
      <c r="D113" s="7" t="s">
        <v>791</v>
      </c>
      <c r="E113" s="7" t="s">
        <v>665</v>
      </c>
      <c r="F113" s="7" t="s">
        <v>666</v>
      </c>
      <c r="G113" s="7" t="s">
        <v>667</v>
      </c>
      <c r="H113" s="7" t="s">
        <v>668</v>
      </c>
      <c r="I113" s="7" t="s">
        <v>669</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101</v>
      </c>
      <c r="D114" s="7" t="s">
        <v>792</v>
      </c>
      <c r="E114" s="7" t="s">
        <v>670</v>
      </c>
      <c r="F114" s="7" t="s">
        <v>671</v>
      </c>
      <c r="G114" s="7" t="s">
        <v>672</v>
      </c>
      <c r="H114" s="7" t="s">
        <v>673</v>
      </c>
      <c r="I114" s="7" t="s">
        <v>674</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109</v>
      </c>
      <c r="D115" s="7" t="s">
        <v>505</v>
      </c>
      <c r="E115" s="7" t="s">
        <v>675</v>
      </c>
      <c r="F115" s="7" t="s">
        <v>676</v>
      </c>
      <c r="G115" s="7" t="s">
        <v>677</v>
      </c>
      <c r="H115" s="7" t="s">
        <v>678</v>
      </c>
      <c r="I115" s="7" t="s">
        <v>679</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382</v>
      </c>
      <c r="D116" s="7" t="s">
        <v>793</v>
      </c>
      <c r="E116" s="7" t="s">
        <v>681</v>
      </c>
      <c r="F116" s="7" t="s">
        <v>682</v>
      </c>
      <c r="G116" s="7" t="s">
        <v>683</v>
      </c>
      <c r="H116" s="7" t="s">
        <v>684</v>
      </c>
      <c r="I116" s="7" t="s">
        <v>685</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560</v>
      </c>
      <c r="D117" s="7" t="s">
        <v>506</v>
      </c>
      <c r="E117" s="7" t="s">
        <v>686</v>
      </c>
      <c r="F117" s="7" t="s">
        <v>687</v>
      </c>
      <c r="G117" s="7" t="s">
        <v>688</v>
      </c>
      <c r="H117" s="7" t="s">
        <v>689</v>
      </c>
      <c r="I117" s="7" t="s">
        <v>690</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396</v>
      </c>
      <c r="D118" s="7" t="s">
        <v>507</v>
      </c>
      <c r="E118" s="7" t="s">
        <v>691</v>
      </c>
      <c r="F118" s="7" t="s">
        <v>692</v>
      </c>
      <c r="G118" s="7" t="s">
        <v>693</v>
      </c>
      <c r="H118" s="7" t="s">
        <v>694</v>
      </c>
      <c r="I118" s="7" t="s">
        <v>695</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141</v>
      </c>
      <c r="D119" s="7" t="s">
        <v>308</v>
      </c>
      <c r="E119" s="7" t="s">
        <v>697</v>
      </c>
      <c r="F119" s="7" t="s">
        <v>698</v>
      </c>
      <c r="G119" s="7" t="s">
        <v>699</v>
      </c>
      <c r="H119" s="7" t="s">
        <v>700</v>
      </c>
      <c r="I119" s="7" t="s">
        <v>701</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794</v>
      </c>
      <c r="E120" s="7" t="s">
        <v>703</v>
      </c>
      <c r="F120" s="7" t="s">
        <v>704</v>
      </c>
      <c r="G120" s="7" t="s">
        <v>705</v>
      </c>
      <c r="H120" s="7" t="s">
        <v>706</v>
      </c>
      <c r="I120" s="7" t="s">
        <v>707</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310</v>
      </c>
      <c r="E121" s="7" t="s">
        <v>708</v>
      </c>
      <c r="F121" s="7" t="s">
        <v>709</v>
      </c>
      <c r="G121" s="7" t="s">
        <v>710</v>
      </c>
      <c r="H121" s="7" t="s">
        <v>711</v>
      </c>
      <c r="I121" s="7" t="s">
        <v>712</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795</v>
      </c>
      <c r="E122" s="7" t="s">
        <v>714</v>
      </c>
      <c r="F122" s="7" t="s">
        <v>715</v>
      </c>
      <c r="G122" s="7" t="s">
        <v>716</v>
      </c>
      <c r="H122" s="7" t="s">
        <v>717</v>
      </c>
      <c r="I122" s="7" t="s">
        <v>718</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796</v>
      </c>
      <c r="E123" s="7" t="s">
        <v>720</v>
      </c>
      <c r="F123" s="7" t="s">
        <v>721</v>
      </c>
      <c r="G123" s="7" t="s">
        <v>722</v>
      </c>
      <c r="H123" s="7" t="s">
        <v>723</v>
      </c>
      <c r="I123" s="7" t="s">
        <v>724</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725</v>
      </c>
      <c r="D124" s="7" t="s">
        <v>797</v>
      </c>
      <c r="E124" s="7" t="s">
        <v>727</v>
      </c>
      <c r="F124" s="7" t="s">
        <v>728</v>
      </c>
      <c r="G124" s="7" t="s">
        <v>729</v>
      </c>
      <c r="H124" s="7" t="s">
        <v>730</v>
      </c>
      <c r="I124" s="7" t="s">
        <v>731</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511</v>
      </c>
      <c r="E125" s="7" t="s">
        <v>733</v>
      </c>
      <c r="F125" s="7" t="s">
        <v>734</v>
      </c>
      <c r="G125" s="7" t="s">
        <v>735</v>
      </c>
      <c r="H125" s="7" t="s">
        <v>736</v>
      </c>
      <c r="I125" s="7" t="s">
        <v>737</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798</v>
      </c>
      <c r="E126" s="7" t="s">
        <v>738</v>
      </c>
      <c r="F126" s="7" t="s">
        <v>739</v>
      </c>
      <c r="G126" s="7" t="s">
        <v>740</v>
      </c>
      <c r="H126" s="7" t="s">
        <v>741</v>
      </c>
      <c r="I126" s="7" t="s">
        <v>742</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513</v>
      </c>
      <c r="E127" s="7" t="s">
        <v>659</v>
      </c>
      <c r="F127" s="7" t="s">
        <v>660</v>
      </c>
      <c r="G127" s="7" t="s">
        <v>661</v>
      </c>
      <c r="H127" s="7" t="s">
        <v>662</v>
      </c>
      <c r="I127" s="7" t="s">
        <v>663</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664</v>
      </c>
      <c r="D128" s="7" t="s">
        <v>799</v>
      </c>
      <c r="E128" s="7" t="s">
        <v>665</v>
      </c>
      <c r="F128" s="7" t="s">
        <v>666</v>
      </c>
      <c r="G128" s="7" t="s">
        <v>667</v>
      </c>
      <c r="H128" s="7" t="s">
        <v>668</v>
      </c>
      <c r="I128" s="7" t="s">
        <v>669</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101</v>
      </c>
      <c r="D129" s="7" t="s">
        <v>335</v>
      </c>
      <c r="E129" s="7" t="s">
        <v>670</v>
      </c>
      <c r="F129" s="7" t="s">
        <v>671</v>
      </c>
      <c r="G129" s="7" t="s">
        <v>672</v>
      </c>
      <c r="H129" s="7" t="s">
        <v>673</v>
      </c>
      <c r="I129" s="7" t="s">
        <v>674</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109</v>
      </c>
      <c r="D130" s="7" t="s">
        <v>800</v>
      </c>
      <c r="E130" s="7" t="s">
        <v>675</v>
      </c>
      <c r="F130" s="7" t="s">
        <v>676</v>
      </c>
      <c r="G130" s="7" t="s">
        <v>677</v>
      </c>
      <c r="H130" s="7" t="s">
        <v>678</v>
      </c>
      <c r="I130" s="7" t="s">
        <v>679</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382</v>
      </c>
      <c r="D131" s="7" t="s">
        <v>801</v>
      </c>
      <c r="E131" s="7" t="s">
        <v>681</v>
      </c>
      <c r="F131" s="7" t="s">
        <v>682</v>
      </c>
      <c r="G131" s="7" t="s">
        <v>683</v>
      </c>
      <c r="H131" s="7" t="s">
        <v>684</v>
      </c>
      <c r="I131" s="7" t="s">
        <v>685</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560</v>
      </c>
      <c r="D132" s="7" t="s">
        <v>515</v>
      </c>
      <c r="E132" s="7" t="s">
        <v>686</v>
      </c>
      <c r="F132" s="7" t="s">
        <v>687</v>
      </c>
      <c r="G132" s="7" t="s">
        <v>688</v>
      </c>
      <c r="H132" s="7" t="s">
        <v>689</v>
      </c>
      <c r="I132" s="7" t="s">
        <v>690</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396</v>
      </c>
      <c r="D133" s="7" t="s">
        <v>802</v>
      </c>
      <c r="E133" s="7" t="s">
        <v>691</v>
      </c>
      <c r="F133" s="7" t="s">
        <v>692</v>
      </c>
      <c r="G133" s="7" t="s">
        <v>693</v>
      </c>
      <c r="H133" s="7" t="s">
        <v>694</v>
      </c>
      <c r="I133" s="7" t="s">
        <v>695</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141</v>
      </c>
      <c r="D134" s="7" t="s">
        <v>324</v>
      </c>
      <c r="E134" s="7" t="s">
        <v>697</v>
      </c>
      <c r="F134" s="7" t="s">
        <v>698</v>
      </c>
      <c r="G134" s="7" t="s">
        <v>699</v>
      </c>
      <c r="H134" s="7" t="s">
        <v>700</v>
      </c>
      <c r="I134" s="7" t="s">
        <v>701</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517</v>
      </c>
      <c r="E135" s="7" t="s">
        <v>703</v>
      </c>
      <c r="F135" s="7" t="s">
        <v>704</v>
      </c>
      <c r="G135" s="7" t="s">
        <v>705</v>
      </c>
      <c r="H135" s="7" t="s">
        <v>706</v>
      </c>
      <c r="I135" s="7" t="s">
        <v>707</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803</v>
      </c>
      <c r="E136" s="7" t="s">
        <v>708</v>
      </c>
      <c r="F136" s="7" t="s">
        <v>709</v>
      </c>
      <c r="G136" s="7" t="s">
        <v>710</v>
      </c>
      <c r="H136" s="7" t="s">
        <v>711</v>
      </c>
      <c r="I136" s="7" t="s">
        <v>712</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327</v>
      </c>
      <c r="E137" s="7" t="s">
        <v>714</v>
      </c>
      <c r="F137" s="7" t="s">
        <v>715</v>
      </c>
      <c r="G137" s="7" t="s">
        <v>716</v>
      </c>
      <c r="H137" s="7" t="s">
        <v>717</v>
      </c>
      <c r="I137" s="7" t="s">
        <v>718</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804</v>
      </c>
      <c r="E138" s="7" t="s">
        <v>720</v>
      </c>
      <c r="F138" s="7" t="s">
        <v>721</v>
      </c>
      <c r="G138" s="7" t="s">
        <v>722</v>
      </c>
      <c r="H138" s="7" t="s">
        <v>723</v>
      </c>
      <c r="I138" s="7" t="s">
        <v>724</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725</v>
      </c>
      <c r="D139" s="7" t="s">
        <v>329</v>
      </c>
      <c r="E139" s="7" t="s">
        <v>727</v>
      </c>
      <c r="F139" s="7" t="s">
        <v>728</v>
      </c>
      <c r="G139" s="7" t="s">
        <v>729</v>
      </c>
      <c r="H139" s="7" t="s">
        <v>730</v>
      </c>
      <c r="I139" s="7" t="s">
        <v>731</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518</v>
      </c>
      <c r="E140" s="7" t="s">
        <v>733</v>
      </c>
      <c r="F140" s="7" t="s">
        <v>734</v>
      </c>
      <c r="G140" s="7" t="s">
        <v>735</v>
      </c>
      <c r="H140" s="7" t="s">
        <v>736</v>
      </c>
      <c r="I140" s="7" t="s">
        <v>737</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519</v>
      </c>
      <c r="E141" s="7" t="s">
        <v>738</v>
      </c>
      <c r="F141" s="7" t="s">
        <v>739</v>
      </c>
      <c r="G141" s="7" t="s">
        <v>740</v>
      </c>
      <c r="H141" s="7" t="s">
        <v>741</v>
      </c>
      <c r="I141" s="7" t="s">
        <v>742</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520</v>
      </c>
      <c r="E142" s="7" t="s">
        <v>659</v>
      </c>
      <c r="F142" s="7" t="s">
        <v>660</v>
      </c>
      <c r="G142" s="7" t="s">
        <v>661</v>
      </c>
      <c r="H142" s="7" t="s">
        <v>662</v>
      </c>
      <c r="I142" s="7" t="s">
        <v>663</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664</v>
      </c>
      <c r="D143" s="7" t="s">
        <v>805</v>
      </c>
      <c r="E143" s="7" t="s">
        <v>665</v>
      </c>
      <c r="F143" s="7" t="s">
        <v>666</v>
      </c>
      <c r="G143" s="7" t="s">
        <v>667</v>
      </c>
      <c r="H143" s="7" t="s">
        <v>668</v>
      </c>
      <c r="I143" s="7" t="s">
        <v>669</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101</v>
      </c>
      <c r="D144" s="7" t="s">
        <v>806</v>
      </c>
      <c r="E144" s="7" t="s">
        <v>670</v>
      </c>
      <c r="F144" s="7" t="s">
        <v>671</v>
      </c>
      <c r="G144" s="7" t="s">
        <v>672</v>
      </c>
      <c r="H144" s="7" t="s">
        <v>673</v>
      </c>
      <c r="I144" s="7" t="s">
        <v>674</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109</v>
      </c>
      <c r="D145" s="7" t="s">
        <v>522</v>
      </c>
      <c r="E145" s="7" t="s">
        <v>675</v>
      </c>
      <c r="F145" s="7" t="s">
        <v>676</v>
      </c>
      <c r="G145" s="7" t="s">
        <v>677</v>
      </c>
      <c r="H145" s="7" t="s">
        <v>678</v>
      </c>
      <c r="I145" s="7" t="s">
        <v>679</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382</v>
      </c>
      <c r="D146" s="7" t="s">
        <v>523</v>
      </c>
      <c r="E146" s="7" t="s">
        <v>681</v>
      </c>
      <c r="F146" s="7" t="s">
        <v>682</v>
      </c>
      <c r="G146" s="7" t="s">
        <v>683</v>
      </c>
      <c r="H146" s="7" t="s">
        <v>684</v>
      </c>
      <c r="I146" s="7" t="s">
        <v>685</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560</v>
      </c>
      <c r="D147" s="7" t="s">
        <v>653</v>
      </c>
      <c r="E147" s="7" t="s">
        <v>686</v>
      </c>
      <c r="F147" s="7" t="s">
        <v>687</v>
      </c>
      <c r="G147" s="7" t="s">
        <v>688</v>
      </c>
      <c r="H147" s="7" t="s">
        <v>689</v>
      </c>
      <c r="I147" s="7" t="s">
        <v>690</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396</v>
      </c>
      <c r="D148" s="7" t="s">
        <v>525</v>
      </c>
      <c r="E148" s="7" t="s">
        <v>691</v>
      </c>
      <c r="F148" s="7" t="s">
        <v>692</v>
      </c>
      <c r="G148" s="7" t="s">
        <v>693</v>
      </c>
      <c r="H148" s="7" t="s">
        <v>694</v>
      </c>
      <c r="I148" s="7" t="s">
        <v>695</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141</v>
      </c>
      <c r="D149" s="7" t="s">
        <v>807</v>
      </c>
      <c r="E149" s="7" t="s">
        <v>697</v>
      </c>
      <c r="F149" s="7" t="s">
        <v>698</v>
      </c>
      <c r="G149" s="7" t="s">
        <v>699</v>
      </c>
      <c r="H149" s="7" t="s">
        <v>700</v>
      </c>
      <c r="I149" s="7" t="s">
        <v>701</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341</v>
      </c>
      <c r="E150" s="7" t="s">
        <v>703</v>
      </c>
      <c r="F150" s="7" t="s">
        <v>704</v>
      </c>
      <c r="G150" s="7" t="s">
        <v>705</v>
      </c>
      <c r="H150" s="7" t="s">
        <v>706</v>
      </c>
      <c r="I150" s="7" t="s">
        <v>707</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808</v>
      </c>
      <c r="E151" s="7" t="s">
        <v>708</v>
      </c>
      <c r="F151" s="7" t="s">
        <v>709</v>
      </c>
      <c r="G151" s="7" t="s">
        <v>710</v>
      </c>
      <c r="H151" s="7" t="s">
        <v>711</v>
      </c>
      <c r="I151" s="7" t="s">
        <v>712</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343</v>
      </c>
      <c r="E152" s="7" t="s">
        <v>714</v>
      </c>
      <c r="F152" s="7" t="s">
        <v>715</v>
      </c>
      <c r="G152" s="7" t="s">
        <v>716</v>
      </c>
      <c r="H152" s="7" t="s">
        <v>717</v>
      </c>
      <c r="I152" s="7" t="s">
        <v>718</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528</v>
      </c>
      <c r="E153" s="7" t="s">
        <v>720</v>
      </c>
      <c r="F153" s="7" t="s">
        <v>721</v>
      </c>
      <c r="G153" s="7" t="s">
        <v>722</v>
      </c>
      <c r="H153" s="7" t="s">
        <v>723</v>
      </c>
      <c r="I153" s="7" t="s">
        <v>724</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725</v>
      </c>
      <c r="D154" s="7" t="s">
        <v>809</v>
      </c>
      <c r="E154" s="7" t="s">
        <v>727</v>
      </c>
      <c r="F154" s="7" t="s">
        <v>728</v>
      </c>
      <c r="G154" s="7" t="s">
        <v>729</v>
      </c>
      <c r="H154" s="7" t="s">
        <v>730</v>
      </c>
      <c r="I154" s="7" t="s">
        <v>731</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810</v>
      </c>
      <c r="E155" s="7" t="s">
        <v>733</v>
      </c>
      <c r="F155" s="7" t="s">
        <v>734</v>
      </c>
      <c r="G155" s="7" t="s">
        <v>735</v>
      </c>
      <c r="H155" s="7" t="s">
        <v>736</v>
      </c>
      <c r="I155" s="7" t="s">
        <v>737</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811</v>
      </c>
      <c r="E156" s="7" t="s">
        <v>738</v>
      </c>
      <c r="F156" s="7" t="s">
        <v>739</v>
      </c>
      <c r="G156" s="7" t="s">
        <v>740</v>
      </c>
      <c r="H156" s="7" t="s">
        <v>741</v>
      </c>
      <c r="I156" s="7" t="s">
        <v>742</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6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600-000001000000}">
      <formula1>"1,2,3,4,5"</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75"/>
  <sheetViews>
    <sheetView showGridLines="0" workbookViewId="0">
      <pane xSplit="4" ySplit="6" topLeftCell="E7" activePane="bottomRight" state="frozen"/>
      <selection pane="topRight"/>
      <selection pane="bottomLeft"/>
      <selection pane="bottomRight"/>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812</v>
      </c>
      <c r="B1" s="18"/>
      <c r="C1" s="18"/>
      <c r="D1" s="18"/>
      <c r="E1" s="18"/>
      <c r="F1" s="18"/>
      <c r="G1" s="18"/>
      <c r="H1" s="18"/>
      <c r="I1" s="18"/>
      <c r="J1" s="18"/>
      <c r="K1" s="18"/>
      <c r="L1" s="18"/>
      <c r="M1" s="18"/>
      <c r="N1" s="18"/>
    </row>
    <row r="2" spans="1:19" x14ac:dyDescent="0.25">
      <c r="A2" s="25" t="s">
        <v>813</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814</v>
      </c>
      <c r="E7" s="7" t="s">
        <v>815</v>
      </c>
      <c r="F7" s="7" t="s">
        <v>816</v>
      </c>
      <c r="G7" s="7" t="s">
        <v>817</v>
      </c>
      <c r="H7" s="7" t="s">
        <v>818</v>
      </c>
      <c r="I7" s="7" t="s">
        <v>819</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820</v>
      </c>
      <c r="D8" s="7" t="s">
        <v>821</v>
      </c>
      <c r="E8" s="7" t="s">
        <v>822</v>
      </c>
      <c r="F8" s="7" t="s">
        <v>823</v>
      </c>
      <c r="G8" s="7" t="s">
        <v>824</v>
      </c>
      <c r="H8" s="7" t="s">
        <v>825</v>
      </c>
      <c r="I8" s="7" t="s">
        <v>826</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827</v>
      </c>
      <c r="D9" s="7" t="s">
        <v>207</v>
      </c>
      <c r="E9" s="7" t="s">
        <v>828</v>
      </c>
      <c r="F9" s="7" t="s">
        <v>829</v>
      </c>
      <c r="G9" s="7" t="s">
        <v>830</v>
      </c>
      <c r="H9" s="7" t="s">
        <v>831</v>
      </c>
      <c r="I9" s="7" t="s">
        <v>832</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833</v>
      </c>
      <c r="D10" s="7" t="s">
        <v>834</v>
      </c>
      <c r="E10" s="7" t="s">
        <v>835</v>
      </c>
      <c r="F10" s="7" t="s">
        <v>836</v>
      </c>
      <c r="G10" s="7" t="s">
        <v>837</v>
      </c>
      <c r="H10" s="7" t="s">
        <v>838</v>
      </c>
      <c r="I10" s="7" t="s">
        <v>839</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840</v>
      </c>
      <c r="D11" s="7" t="s">
        <v>841</v>
      </c>
      <c r="E11" s="7" t="s">
        <v>842</v>
      </c>
      <c r="F11" s="7" t="s">
        <v>843</v>
      </c>
      <c r="G11" s="7" t="s">
        <v>844</v>
      </c>
      <c r="H11" s="7" t="s">
        <v>845</v>
      </c>
      <c r="I11" s="7" t="s">
        <v>846</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560</v>
      </c>
      <c r="D12" s="7" t="s">
        <v>847</v>
      </c>
      <c r="E12" s="7" t="s">
        <v>848</v>
      </c>
      <c r="F12" s="7" t="s">
        <v>849</v>
      </c>
      <c r="G12" s="7" t="s">
        <v>850</v>
      </c>
      <c r="H12" s="7" t="s">
        <v>851</v>
      </c>
      <c r="I12" s="7" t="s">
        <v>852</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396</v>
      </c>
      <c r="D13" s="7" t="s">
        <v>397</v>
      </c>
      <c r="E13" s="7" t="s">
        <v>853</v>
      </c>
      <c r="F13" s="7" t="s">
        <v>854</v>
      </c>
      <c r="G13" s="7" t="s">
        <v>855</v>
      </c>
      <c r="H13" s="7" t="s">
        <v>856</v>
      </c>
      <c r="I13" s="7" t="s">
        <v>857</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858</v>
      </c>
      <c r="D14" s="7" t="s">
        <v>859</v>
      </c>
      <c r="E14" s="7" t="s">
        <v>860</v>
      </c>
      <c r="F14" s="7" t="s">
        <v>861</v>
      </c>
      <c r="G14" s="7" t="s">
        <v>862</v>
      </c>
      <c r="H14" s="7" t="s">
        <v>863</v>
      </c>
      <c r="I14" s="7" t="s">
        <v>864</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865</v>
      </c>
      <c r="E15" s="7" t="s">
        <v>866</v>
      </c>
      <c r="F15" s="7" t="s">
        <v>867</v>
      </c>
      <c r="G15" s="7" t="s">
        <v>868</v>
      </c>
      <c r="H15" s="7" t="s">
        <v>869</v>
      </c>
      <c r="I15" s="7" t="s">
        <v>870</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415</v>
      </c>
      <c r="E16" s="7" t="s">
        <v>871</v>
      </c>
      <c r="F16" s="7" t="s">
        <v>872</v>
      </c>
      <c r="G16" s="7" t="s">
        <v>873</v>
      </c>
      <c r="H16" s="7" t="s">
        <v>874</v>
      </c>
      <c r="I16" s="7" t="s">
        <v>875</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713</v>
      </c>
      <c r="E17" s="7" t="s">
        <v>876</v>
      </c>
      <c r="F17" s="7" t="s">
        <v>877</v>
      </c>
      <c r="G17" s="7" t="s">
        <v>878</v>
      </c>
      <c r="H17" s="7" t="s">
        <v>879</v>
      </c>
      <c r="I17" s="7" t="s">
        <v>880</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881</v>
      </c>
      <c r="E18" s="7" t="s">
        <v>882</v>
      </c>
      <c r="F18" s="7" t="s">
        <v>883</v>
      </c>
      <c r="G18" s="7" t="s">
        <v>884</v>
      </c>
      <c r="H18" s="7" t="s">
        <v>885</v>
      </c>
      <c r="I18" s="7" t="s">
        <v>886</v>
      </c>
      <c r="J18" s="11" t="s">
        <v>28</v>
      </c>
      <c r="K18" s="11" t="s">
        <v>36</v>
      </c>
      <c r="L18" s="11" t="s">
        <v>38</v>
      </c>
      <c r="M18" s="11" t="s">
        <v>40</v>
      </c>
      <c r="N18" s="11" t="s">
        <v>42</v>
      </c>
      <c r="O18" s="9"/>
      <c r="P18" t="str">
        <f t="shared" si="0"/>
        <v/>
      </c>
    </row>
    <row r="19" spans="1:16" ht="34.049999999999997" customHeight="1" x14ac:dyDescent="0.25">
      <c r="A19" s="5" t="s">
        <v>66</v>
      </c>
      <c r="B19" s="5" t="s">
        <v>180</v>
      </c>
      <c r="C19" s="7" t="s">
        <v>725</v>
      </c>
      <c r="D19" s="7" t="s">
        <v>726</v>
      </c>
      <c r="E19" s="7" t="s">
        <v>887</v>
      </c>
      <c r="F19" s="7" t="s">
        <v>888</v>
      </c>
      <c r="G19" s="7" t="s">
        <v>889</v>
      </c>
      <c r="H19" s="7" t="s">
        <v>890</v>
      </c>
      <c r="I19" s="7" t="s">
        <v>891</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437</v>
      </c>
      <c r="E20" s="7" t="s">
        <v>892</v>
      </c>
      <c r="F20" s="7" t="s">
        <v>893</v>
      </c>
      <c r="G20" s="7" t="s">
        <v>894</v>
      </c>
      <c r="H20" s="7" t="s">
        <v>895</v>
      </c>
      <c r="I20" s="7" t="s">
        <v>896</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897</v>
      </c>
      <c r="E21" s="7" t="s">
        <v>898</v>
      </c>
      <c r="F21" s="7" t="s">
        <v>899</v>
      </c>
      <c r="G21" s="7" t="s">
        <v>900</v>
      </c>
      <c r="H21" s="7" t="s">
        <v>901</v>
      </c>
      <c r="I21" s="7" t="s">
        <v>902</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903</v>
      </c>
      <c r="E22" s="7" t="s">
        <v>815</v>
      </c>
      <c r="F22" s="7" t="s">
        <v>816</v>
      </c>
      <c r="G22" s="7" t="s">
        <v>817</v>
      </c>
      <c r="H22" s="7" t="s">
        <v>818</v>
      </c>
      <c r="I22" s="7" t="s">
        <v>819</v>
      </c>
      <c r="J22" s="11" t="s">
        <v>34</v>
      </c>
      <c r="K22" s="11" t="s">
        <v>36</v>
      </c>
      <c r="L22" s="11" t="s">
        <v>38</v>
      </c>
      <c r="M22" s="11" t="s">
        <v>40</v>
      </c>
      <c r="N22" s="11" t="s">
        <v>42</v>
      </c>
      <c r="O22" s="9"/>
      <c r="P22" t="str">
        <f t="shared" si="0"/>
        <v/>
      </c>
    </row>
    <row r="23" spans="1:16" ht="34.049999999999997" customHeight="1" x14ac:dyDescent="0.25">
      <c r="A23" s="5" t="s">
        <v>204</v>
      </c>
      <c r="B23" s="5" t="s">
        <v>92</v>
      </c>
      <c r="C23" s="7" t="s">
        <v>820</v>
      </c>
      <c r="D23" s="7" t="s">
        <v>904</v>
      </c>
      <c r="E23" s="7" t="s">
        <v>822</v>
      </c>
      <c r="F23" s="7" t="s">
        <v>823</v>
      </c>
      <c r="G23" s="7" t="s">
        <v>824</v>
      </c>
      <c r="H23" s="7" t="s">
        <v>825</v>
      </c>
      <c r="I23" s="7" t="s">
        <v>826</v>
      </c>
      <c r="J23" s="11" t="s">
        <v>28</v>
      </c>
      <c r="K23" s="11" t="s">
        <v>30</v>
      </c>
      <c r="L23" s="11" t="s">
        <v>32</v>
      </c>
      <c r="M23" s="11" t="s">
        <v>40</v>
      </c>
      <c r="N23" s="11" t="s">
        <v>42</v>
      </c>
      <c r="O23" s="9"/>
      <c r="P23" t="str">
        <f t="shared" si="0"/>
        <v/>
      </c>
    </row>
    <row r="24" spans="1:16" ht="34.049999999999997" customHeight="1" x14ac:dyDescent="0.25">
      <c r="A24" s="5" t="s">
        <v>204</v>
      </c>
      <c r="B24" s="5" t="s">
        <v>100</v>
      </c>
      <c r="C24" s="7" t="s">
        <v>827</v>
      </c>
      <c r="D24" s="7" t="s">
        <v>905</v>
      </c>
      <c r="E24" s="7" t="s">
        <v>828</v>
      </c>
      <c r="F24" s="7" t="s">
        <v>829</v>
      </c>
      <c r="G24" s="7" t="s">
        <v>830</v>
      </c>
      <c r="H24" s="7" t="s">
        <v>831</v>
      </c>
      <c r="I24" s="7" t="s">
        <v>832</v>
      </c>
      <c r="J24" s="11" t="s">
        <v>30</v>
      </c>
      <c r="K24" s="11" t="s">
        <v>32</v>
      </c>
      <c r="L24" s="11" t="s">
        <v>34</v>
      </c>
      <c r="M24" s="11" t="s">
        <v>36</v>
      </c>
      <c r="N24" s="11" t="s">
        <v>38</v>
      </c>
      <c r="O24" s="9"/>
      <c r="P24" t="str">
        <f t="shared" si="0"/>
        <v/>
      </c>
    </row>
    <row r="25" spans="1:16" ht="34.049999999999997" customHeight="1" x14ac:dyDescent="0.25">
      <c r="A25" s="5" t="s">
        <v>204</v>
      </c>
      <c r="B25" s="5" t="s">
        <v>108</v>
      </c>
      <c r="C25" s="7" t="s">
        <v>833</v>
      </c>
      <c r="D25" s="7" t="s">
        <v>906</v>
      </c>
      <c r="E25" s="7" t="s">
        <v>835</v>
      </c>
      <c r="F25" s="7" t="s">
        <v>836</v>
      </c>
      <c r="G25" s="7" t="s">
        <v>837</v>
      </c>
      <c r="H25" s="7" t="s">
        <v>838</v>
      </c>
      <c r="I25" s="7" t="s">
        <v>839</v>
      </c>
      <c r="J25" s="11" t="s">
        <v>28</v>
      </c>
      <c r="K25" s="11" t="s">
        <v>36</v>
      </c>
      <c r="L25" s="11" t="s">
        <v>38</v>
      </c>
      <c r="M25" s="11" t="s">
        <v>40</v>
      </c>
      <c r="N25" s="11" t="s">
        <v>42</v>
      </c>
      <c r="O25" s="9"/>
      <c r="P25" t="str">
        <f t="shared" si="0"/>
        <v/>
      </c>
    </row>
    <row r="26" spans="1:16" ht="34.049999999999997" customHeight="1" x14ac:dyDescent="0.25">
      <c r="A26" s="5" t="s">
        <v>204</v>
      </c>
      <c r="B26" s="5" t="s">
        <v>116</v>
      </c>
      <c r="C26" s="7" t="s">
        <v>840</v>
      </c>
      <c r="D26" s="7" t="s">
        <v>907</v>
      </c>
      <c r="E26" s="7" t="s">
        <v>842</v>
      </c>
      <c r="F26" s="7" t="s">
        <v>843</v>
      </c>
      <c r="G26" s="7" t="s">
        <v>844</v>
      </c>
      <c r="H26" s="7" t="s">
        <v>845</v>
      </c>
      <c r="I26" s="7" t="s">
        <v>846</v>
      </c>
      <c r="J26" s="11" t="s">
        <v>28</v>
      </c>
      <c r="K26" s="11" t="s">
        <v>30</v>
      </c>
      <c r="L26" s="11" t="s">
        <v>32</v>
      </c>
      <c r="M26" s="11" t="s">
        <v>34</v>
      </c>
      <c r="N26" s="11" t="s">
        <v>42</v>
      </c>
      <c r="O26" s="9"/>
      <c r="P26" t="str">
        <f t="shared" si="0"/>
        <v/>
      </c>
    </row>
    <row r="27" spans="1:16" ht="34.049999999999997" customHeight="1" x14ac:dyDescent="0.25">
      <c r="A27" s="5" t="s">
        <v>204</v>
      </c>
      <c r="B27" s="5" t="s">
        <v>124</v>
      </c>
      <c r="C27" s="7" t="s">
        <v>560</v>
      </c>
      <c r="D27" s="7" t="s">
        <v>908</v>
      </c>
      <c r="E27" s="7" t="s">
        <v>848</v>
      </c>
      <c r="F27" s="7" t="s">
        <v>849</v>
      </c>
      <c r="G27" s="7" t="s">
        <v>850</v>
      </c>
      <c r="H27" s="7" t="s">
        <v>851</v>
      </c>
      <c r="I27" s="7" t="s">
        <v>852</v>
      </c>
      <c r="J27" s="11" t="s">
        <v>32</v>
      </c>
      <c r="K27" s="11" t="s">
        <v>34</v>
      </c>
      <c r="L27" s="11" t="s">
        <v>36</v>
      </c>
      <c r="M27" s="11" t="s">
        <v>38</v>
      </c>
      <c r="N27" s="11" t="s">
        <v>40</v>
      </c>
      <c r="O27" s="9"/>
      <c r="P27" t="str">
        <f t="shared" si="0"/>
        <v/>
      </c>
    </row>
    <row r="28" spans="1:16" ht="34.049999999999997" customHeight="1" x14ac:dyDescent="0.25">
      <c r="A28" s="5" t="s">
        <v>204</v>
      </c>
      <c r="B28" s="5" t="s">
        <v>132</v>
      </c>
      <c r="C28" s="7" t="s">
        <v>396</v>
      </c>
      <c r="D28" s="7" t="s">
        <v>452</v>
      </c>
      <c r="E28" s="7" t="s">
        <v>853</v>
      </c>
      <c r="F28" s="7" t="s">
        <v>854</v>
      </c>
      <c r="G28" s="7" t="s">
        <v>855</v>
      </c>
      <c r="H28" s="7" t="s">
        <v>856</v>
      </c>
      <c r="I28" s="7" t="s">
        <v>857</v>
      </c>
      <c r="J28" s="11" t="s">
        <v>28</v>
      </c>
      <c r="K28" s="11" t="s">
        <v>30</v>
      </c>
      <c r="L28" s="11" t="s">
        <v>38</v>
      </c>
      <c r="M28" s="11" t="s">
        <v>40</v>
      </c>
      <c r="N28" s="11" t="s">
        <v>42</v>
      </c>
      <c r="O28" s="9"/>
      <c r="P28" t="str">
        <f t="shared" si="0"/>
        <v/>
      </c>
    </row>
    <row r="29" spans="1:16" ht="34.049999999999997" customHeight="1" x14ac:dyDescent="0.25">
      <c r="A29" s="5" t="s">
        <v>204</v>
      </c>
      <c r="B29" s="5" t="s">
        <v>140</v>
      </c>
      <c r="C29" s="7" t="s">
        <v>858</v>
      </c>
      <c r="D29" s="7" t="s">
        <v>212</v>
      </c>
      <c r="E29" s="7" t="s">
        <v>860</v>
      </c>
      <c r="F29" s="7" t="s">
        <v>861</v>
      </c>
      <c r="G29" s="7" t="s">
        <v>862</v>
      </c>
      <c r="H29" s="7" t="s">
        <v>863</v>
      </c>
      <c r="I29" s="7" t="s">
        <v>864</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909</v>
      </c>
      <c r="E30" s="7" t="s">
        <v>866</v>
      </c>
      <c r="F30" s="7" t="s">
        <v>867</v>
      </c>
      <c r="G30" s="7" t="s">
        <v>868</v>
      </c>
      <c r="H30" s="7" t="s">
        <v>869</v>
      </c>
      <c r="I30" s="7" t="s">
        <v>870</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454</v>
      </c>
      <c r="E31" s="7" t="s">
        <v>871</v>
      </c>
      <c r="F31" s="7" t="s">
        <v>872</v>
      </c>
      <c r="G31" s="7" t="s">
        <v>873</v>
      </c>
      <c r="H31" s="7" t="s">
        <v>874</v>
      </c>
      <c r="I31" s="7" t="s">
        <v>875</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910</v>
      </c>
      <c r="E32" s="7" t="s">
        <v>876</v>
      </c>
      <c r="F32" s="7" t="s">
        <v>877</v>
      </c>
      <c r="G32" s="7" t="s">
        <v>878</v>
      </c>
      <c r="H32" s="7" t="s">
        <v>879</v>
      </c>
      <c r="I32" s="7" t="s">
        <v>880</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911</v>
      </c>
      <c r="E33" s="7" t="s">
        <v>882</v>
      </c>
      <c r="F33" s="7" t="s">
        <v>883</v>
      </c>
      <c r="G33" s="7" t="s">
        <v>884</v>
      </c>
      <c r="H33" s="7" t="s">
        <v>885</v>
      </c>
      <c r="I33" s="7" t="s">
        <v>886</v>
      </c>
      <c r="J33" s="11" t="s">
        <v>28</v>
      </c>
      <c r="K33" s="11" t="s">
        <v>36</v>
      </c>
      <c r="L33" s="11" t="s">
        <v>38</v>
      </c>
      <c r="M33" s="11" t="s">
        <v>40</v>
      </c>
      <c r="N33" s="11" t="s">
        <v>42</v>
      </c>
      <c r="O33" s="9"/>
      <c r="P33" t="str">
        <f t="shared" si="0"/>
        <v/>
      </c>
    </row>
    <row r="34" spans="1:16" ht="34.049999999999997" customHeight="1" x14ac:dyDescent="0.25">
      <c r="A34" s="5" t="s">
        <v>204</v>
      </c>
      <c r="B34" s="5" t="s">
        <v>180</v>
      </c>
      <c r="C34" s="7" t="s">
        <v>725</v>
      </c>
      <c r="D34" s="7" t="s">
        <v>912</v>
      </c>
      <c r="E34" s="7" t="s">
        <v>887</v>
      </c>
      <c r="F34" s="7" t="s">
        <v>888</v>
      </c>
      <c r="G34" s="7" t="s">
        <v>889</v>
      </c>
      <c r="H34" s="7" t="s">
        <v>890</v>
      </c>
      <c r="I34" s="7" t="s">
        <v>891</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457</v>
      </c>
      <c r="E35" s="7" t="s">
        <v>892</v>
      </c>
      <c r="F35" s="7" t="s">
        <v>893</v>
      </c>
      <c r="G35" s="7" t="s">
        <v>894</v>
      </c>
      <c r="H35" s="7" t="s">
        <v>895</v>
      </c>
      <c r="I35" s="7" t="s">
        <v>896</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913</v>
      </c>
      <c r="E36" s="7" t="s">
        <v>898</v>
      </c>
      <c r="F36" s="7" t="s">
        <v>899</v>
      </c>
      <c r="G36" s="7" t="s">
        <v>900</v>
      </c>
      <c r="H36" s="7" t="s">
        <v>901</v>
      </c>
      <c r="I36" s="7" t="s">
        <v>902</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751</v>
      </c>
      <c r="E37" s="7" t="s">
        <v>815</v>
      </c>
      <c r="F37" s="7" t="s">
        <v>816</v>
      </c>
      <c r="G37" s="7" t="s">
        <v>817</v>
      </c>
      <c r="H37" s="7" t="s">
        <v>818</v>
      </c>
      <c r="I37" s="7" t="s">
        <v>819</v>
      </c>
      <c r="J37" s="11" t="s">
        <v>34</v>
      </c>
      <c r="K37" s="11" t="s">
        <v>36</v>
      </c>
      <c r="L37" s="11" t="s">
        <v>38</v>
      </c>
      <c r="M37" s="11" t="s">
        <v>40</v>
      </c>
      <c r="N37" s="11" t="s">
        <v>42</v>
      </c>
      <c r="O37" s="9"/>
      <c r="P37" t="str">
        <f t="shared" si="0"/>
        <v/>
      </c>
    </row>
    <row r="38" spans="1:16" ht="34.049999999999997" customHeight="1" x14ac:dyDescent="0.25">
      <c r="A38" s="5" t="s">
        <v>220</v>
      </c>
      <c r="B38" s="5" t="s">
        <v>92</v>
      </c>
      <c r="C38" s="7" t="s">
        <v>820</v>
      </c>
      <c r="D38" s="7" t="s">
        <v>914</v>
      </c>
      <c r="E38" s="7" t="s">
        <v>822</v>
      </c>
      <c r="F38" s="7" t="s">
        <v>823</v>
      </c>
      <c r="G38" s="7" t="s">
        <v>824</v>
      </c>
      <c r="H38" s="7" t="s">
        <v>825</v>
      </c>
      <c r="I38" s="7" t="s">
        <v>826</v>
      </c>
      <c r="J38" s="11" t="s">
        <v>28</v>
      </c>
      <c r="K38" s="11" t="s">
        <v>30</v>
      </c>
      <c r="L38" s="11" t="s">
        <v>32</v>
      </c>
      <c r="M38" s="11" t="s">
        <v>40</v>
      </c>
      <c r="N38" s="11" t="s">
        <v>42</v>
      </c>
      <c r="O38" s="9"/>
      <c r="P38" t="str">
        <f t="shared" si="0"/>
        <v/>
      </c>
    </row>
    <row r="39" spans="1:16" ht="34.049999999999997" customHeight="1" x14ac:dyDescent="0.25">
      <c r="A39" s="5" t="s">
        <v>220</v>
      </c>
      <c r="B39" s="5" t="s">
        <v>100</v>
      </c>
      <c r="C39" s="7" t="s">
        <v>827</v>
      </c>
      <c r="D39" s="7" t="s">
        <v>915</v>
      </c>
      <c r="E39" s="7" t="s">
        <v>828</v>
      </c>
      <c r="F39" s="7" t="s">
        <v>829</v>
      </c>
      <c r="G39" s="7" t="s">
        <v>830</v>
      </c>
      <c r="H39" s="7" t="s">
        <v>831</v>
      </c>
      <c r="I39" s="7" t="s">
        <v>832</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833</v>
      </c>
      <c r="D40" s="7" t="s">
        <v>916</v>
      </c>
      <c r="E40" s="7" t="s">
        <v>835</v>
      </c>
      <c r="F40" s="7" t="s">
        <v>836</v>
      </c>
      <c r="G40" s="7" t="s">
        <v>837</v>
      </c>
      <c r="H40" s="7" t="s">
        <v>838</v>
      </c>
      <c r="I40" s="7" t="s">
        <v>839</v>
      </c>
      <c r="J40" s="11" t="s">
        <v>28</v>
      </c>
      <c r="K40" s="11" t="s">
        <v>36</v>
      </c>
      <c r="L40" s="11" t="s">
        <v>38</v>
      </c>
      <c r="M40" s="11" t="s">
        <v>40</v>
      </c>
      <c r="N40" s="11" t="s">
        <v>42</v>
      </c>
      <c r="O40" s="9"/>
      <c r="P40" t="str">
        <f t="shared" si="1"/>
        <v/>
      </c>
    </row>
    <row r="41" spans="1:16" ht="34.049999999999997" customHeight="1" x14ac:dyDescent="0.25">
      <c r="A41" s="5" t="s">
        <v>220</v>
      </c>
      <c r="B41" s="5" t="s">
        <v>116</v>
      </c>
      <c r="C41" s="7" t="s">
        <v>840</v>
      </c>
      <c r="D41" s="7" t="s">
        <v>753</v>
      </c>
      <c r="E41" s="7" t="s">
        <v>842</v>
      </c>
      <c r="F41" s="7" t="s">
        <v>843</v>
      </c>
      <c r="G41" s="7" t="s">
        <v>844</v>
      </c>
      <c r="H41" s="7" t="s">
        <v>845</v>
      </c>
      <c r="I41" s="7" t="s">
        <v>846</v>
      </c>
      <c r="J41" s="11" t="s">
        <v>28</v>
      </c>
      <c r="K41" s="11" t="s">
        <v>30</v>
      </c>
      <c r="L41" s="11" t="s">
        <v>32</v>
      </c>
      <c r="M41" s="11" t="s">
        <v>34</v>
      </c>
      <c r="N41" s="11" t="s">
        <v>42</v>
      </c>
      <c r="O41" s="9"/>
      <c r="P41" t="str">
        <f t="shared" si="1"/>
        <v/>
      </c>
    </row>
    <row r="42" spans="1:16" ht="34.049999999999997" customHeight="1" x14ac:dyDescent="0.25">
      <c r="A42" s="5" t="s">
        <v>220</v>
      </c>
      <c r="B42" s="5" t="s">
        <v>124</v>
      </c>
      <c r="C42" s="7" t="s">
        <v>560</v>
      </c>
      <c r="D42" s="7" t="s">
        <v>226</v>
      </c>
      <c r="E42" s="7" t="s">
        <v>848</v>
      </c>
      <c r="F42" s="7" t="s">
        <v>849</v>
      </c>
      <c r="G42" s="7" t="s">
        <v>850</v>
      </c>
      <c r="H42" s="7" t="s">
        <v>851</v>
      </c>
      <c r="I42" s="7" t="s">
        <v>852</v>
      </c>
      <c r="J42" s="11" t="s">
        <v>32</v>
      </c>
      <c r="K42" s="11" t="s">
        <v>34</v>
      </c>
      <c r="L42" s="11" t="s">
        <v>36</v>
      </c>
      <c r="M42" s="11" t="s">
        <v>38</v>
      </c>
      <c r="N42" s="11" t="s">
        <v>40</v>
      </c>
      <c r="O42" s="9"/>
      <c r="P42" t="str">
        <f t="shared" si="1"/>
        <v/>
      </c>
    </row>
    <row r="43" spans="1:16" ht="34.049999999999997" customHeight="1" x14ac:dyDescent="0.25">
      <c r="A43" s="5" t="s">
        <v>220</v>
      </c>
      <c r="B43" s="5" t="s">
        <v>132</v>
      </c>
      <c r="C43" s="7" t="s">
        <v>396</v>
      </c>
      <c r="D43" s="7" t="s">
        <v>461</v>
      </c>
      <c r="E43" s="7" t="s">
        <v>853</v>
      </c>
      <c r="F43" s="7" t="s">
        <v>854</v>
      </c>
      <c r="G43" s="7" t="s">
        <v>855</v>
      </c>
      <c r="H43" s="7" t="s">
        <v>856</v>
      </c>
      <c r="I43" s="7" t="s">
        <v>857</v>
      </c>
      <c r="J43" s="11" t="s">
        <v>28</v>
      </c>
      <c r="K43" s="11" t="s">
        <v>30</v>
      </c>
      <c r="L43" s="11" t="s">
        <v>38</v>
      </c>
      <c r="M43" s="11" t="s">
        <v>40</v>
      </c>
      <c r="N43" s="11" t="s">
        <v>42</v>
      </c>
      <c r="O43" s="9"/>
      <c r="P43" t="str">
        <f t="shared" si="1"/>
        <v/>
      </c>
    </row>
    <row r="44" spans="1:16" ht="34.049999999999997" customHeight="1" x14ac:dyDescent="0.25">
      <c r="A44" s="5" t="s">
        <v>220</v>
      </c>
      <c r="B44" s="5" t="s">
        <v>140</v>
      </c>
      <c r="C44" s="7" t="s">
        <v>858</v>
      </c>
      <c r="D44" s="7" t="s">
        <v>917</v>
      </c>
      <c r="E44" s="7" t="s">
        <v>860</v>
      </c>
      <c r="F44" s="7" t="s">
        <v>861</v>
      </c>
      <c r="G44" s="7" t="s">
        <v>862</v>
      </c>
      <c r="H44" s="7" t="s">
        <v>863</v>
      </c>
      <c r="I44" s="7" t="s">
        <v>864</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918</v>
      </c>
      <c r="E45" s="7" t="s">
        <v>866</v>
      </c>
      <c r="F45" s="7" t="s">
        <v>867</v>
      </c>
      <c r="G45" s="7" t="s">
        <v>868</v>
      </c>
      <c r="H45" s="7" t="s">
        <v>869</v>
      </c>
      <c r="I45" s="7" t="s">
        <v>870</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919</v>
      </c>
      <c r="E46" s="7" t="s">
        <v>871</v>
      </c>
      <c r="F46" s="7" t="s">
        <v>872</v>
      </c>
      <c r="G46" s="7" t="s">
        <v>873</v>
      </c>
      <c r="H46" s="7" t="s">
        <v>874</v>
      </c>
      <c r="I46" s="7" t="s">
        <v>875</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464</v>
      </c>
      <c r="E47" s="7" t="s">
        <v>876</v>
      </c>
      <c r="F47" s="7" t="s">
        <v>877</v>
      </c>
      <c r="G47" s="7" t="s">
        <v>878</v>
      </c>
      <c r="H47" s="7" t="s">
        <v>879</v>
      </c>
      <c r="I47" s="7" t="s">
        <v>880</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920</v>
      </c>
      <c r="E48" s="7" t="s">
        <v>882</v>
      </c>
      <c r="F48" s="7" t="s">
        <v>883</v>
      </c>
      <c r="G48" s="7" t="s">
        <v>884</v>
      </c>
      <c r="H48" s="7" t="s">
        <v>885</v>
      </c>
      <c r="I48" s="7" t="s">
        <v>886</v>
      </c>
      <c r="J48" s="11" t="s">
        <v>28</v>
      </c>
      <c r="K48" s="11" t="s">
        <v>36</v>
      </c>
      <c r="L48" s="11" t="s">
        <v>38</v>
      </c>
      <c r="M48" s="11" t="s">
        <v>40</v>
      </c>
      <c r="N48" s="11" t="s">
        <v>42</v>
      </c>
      <c r="O48" s="9"/>
      <c r="P48" t="str">
        <f t="shared" si="1"/>
        <v/>
      </c>
    </row>
    <row r="49" spans="1:16" ht="34.049999999999997" customHeight="1" x14ac:dyDescent="0.25">
      <c r="A49" s="5" t="s">
        <v>220</v>
      </c>
      <c r="B49" s="5" t="s">
        <v>180</v>
      </c>
      <c r="C49" s="7" t="s">
        <v>725</v>
      </c>
      <c r="D49" s="7" t="s">
        <v>757</v>
      </c>
      <c r="E49" s="7" t="s">
        <v>887</v>
      </c>
      <c r="F49" s="7" t="s">
        <v>888</v>
      </c>
      <c r="G49" s="7" t="s">
        <v>889</v>
      </c>
      <c r="H49" s="7" t="s">
        <v>890</v>
      </c>
      <c r="I49" s="7" t="s">
        <v>891</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921</v>
      </c>
      <c r="E50" s="7" t="s">
        <v>892</v>
      </c>
      <c r="F50" s="7" t="s">
        <v>893</v>
      </c>
      <c r="G50" s="7" t="s">
        <v>894</v>
      </c>
      <c r="H50" s="7" t="s">
        <v>895</v>
      </c>
      <c r="I50" s="7" t="s">
        <v>896</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922</v>
      </c>
      <c r="E51" s="7" t="s">
        <v>898</v>
      </c>
      <c r="F51" s="7" t="s">
        <v>899</v>
      </c>
      <c r="G51" s="7" t="s">
        <v>900</v>
      </c>
      <c r="H51" s="7" t="s">
        <v>901</v>
      </c>
      <c r="I51" s="7" t="s">
        <v>902</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923</v>
      </c>
      <c r="E52" s="7" t="s">
        <v>815</v>
      </c>
      <c r="F52" s="7" t="s">
        <v>816</v>
      </c>
      <c r="G52" s="7" t="s">
        <v>817</v>
      </c>
      <c r="H52" s="7" t="s">
        <v>818</v>
      </c>
      <c r="I52" s="7" t="s">
        <v>819</v>
      </c>
      <c r="J52" s="11" t="s">
        <v>34</v>
      </c>
      <c r="K52" s="11" t="s">
        <v>36</v>
      </c>
      <c r="L52" s="11" t="s">
        <v>38</v>
      </c>
      <c r="M52" s="11" t="s">
        <v>40</v>
      </c>
      <c r="N52" s="11" t="s">
        <v>42</v>
      </c>
      <c r="O52" s="9"/>
      <c r="P52" t="str">
        <f t="shared" si="1"/>
        <v/>
      </c>
    </row>
    <row r="53" spans="1:16" ht="34.049999999999997" customHeight="1" x14ac:dyDescent="0.25">
      <c r="A53" s="5" t="s">
        <v>236</v>
      </c>
      <c r="B53" s="5" t="s">
        <v>92</v>
      </c>
      <c r="C53" s="7" t="s">
        <v>820</v>
      </c>
      <c r="D53" s="7" t="s">
        <v>924</v>
      </c>
      <c r="E53" s="7" t="s">
        <v>822</v>
      </c>
      <c r="F53" s="7" t="s">
        <v>823</v>
      </c>
      <c r="G53" s="7" t="s">
        <v>824</v>
      </c>
      <c r="H53" s="7" t="s">
        <v>825</v>
      </c>
      <c r="I53" s="7" t="s">
        <v>826</v>
      </c>
      <c r="J53" s="11" t="s">
        <v>28</v>
      </c>
      <c r="K53" s="11" t="s">
        <v>30</v>
      </c>
      <c r="L53" s="11" t="s">
        <v>32</v>
      </c>
      <c r="M53" s="11" t="s">
        <v>40</v>
      </c>
      <c r="N53" s="11" t="s">
        <v>42</v>
      </c>
      <c r="O53" s="9"/>
      <c r="P53" t="str">
        <f t="shared" si="1"/>
        <v/>
      </c>
    </row>
    <row r="54" spans="1:16" ht="34.049999999999997" customHeight="1" x14ac:dyDescent="0.25">
      <c r="A54" s="5" t="s">
        <v>236</v>
      </c>
      <c r="B54" s="5" t="s">
        <v>100</v>
      </c>
      <c r="C54" s="7" t="s">
        <v>827</v>
      </c>
      <c r="D54" s="7" t="s">
        <v>255</v>
      </c>
      <c r="E54" s="7" t="s">
        <v>828</v>
      </c>
      <c r="F54" s="7" t="s">
        <v>829</v>
      </c>
      <c r="G54" s="7" t="s">
        <v>830</v>
      </c>
      <c r="H54" s="7" t="s">
        <v>831</v>
      </c>
      <c r="I54" s="7" t="s">
        <v>832</v>
      </c>
      <c r="J54" s="11" t="s">
        <v>30</v>
      </c>
      <c r="K54" s="11" t="s">
        <v>32</v>
      </c>
      <c r="L54" s="11" t="s">
        <v>34</v>
      </c>
      <c r="M54" s="11" t="s">
        <v>36</v>
      </c>
      <c r="N54" s="11" t="s">
        <v>38</v>
      </c>
      <c r="O54" s="9"/>
      <c r="P54" t="str">
        <f t="shared" si="1"/>
        <v/>
      </c>
    </row>
    <row r="55" spans="1:16" ht="34.049999999999997" customHeight="1" x14ac:dyDescent="0.25">
      <c r="A55" s="5" t="s">
        <v>236</v>
      </c>
      <c r="B55" s="5" t="s">
        <v>108</v>
      </c>
      <c r="C55" s="7" t="s">
        <v>833</v>
      </c>
      <c r="D55" s="7" t="s">
        <v>925</v>
      </c>
      <c r="E55" s="7" t="s">
        <v>835</v>
      </c>
      <c r="F55" s="7" t="s">
        <v>836</v>
      </c>
      <c r="G55" s="7" t="s">
        <v>837</v>
      </c>
      <c r="H55" s="7" t="s">
        <v>838</v>
      </c>
      <c r="I55" s="7" t="s">
        <v>839</v>
      </c>
      <c r="J55" s="11" t="s">
        <v>28</v>
      </c>
      <c r="K55" s="11" t="s">
        <v>36</v>
      </c>
      <c r="L55" s="11" t="s">
        <v>38</v>
      </c>
      <c r="M55" s="11" t="s">
        <v>40</v>
      </c>
      <c r="N55" s="11" t="s">
        <v>42</v>
      </c>
      <c r="O55" s="9"/>
      <c r="P55" t="str">
        <f t="shared" si="1"/>
        <v/>
      </c>
    </row>
    <row r="56" spans="1:16" ht="34.049999999999997" customHeight="1" x14ac:dyDescent="0.25">
      <c r="A56" s="5" t="s">
        <v>236</v>
      </c>
      <c r="B56" s="5" t="s">
        <v>116</v>
      </c>
      <c r="C56" s="7" t="s">
        <v>840</v>
      </c>
      <c r="D56" s="7" t="s">
        <v>926</v>
      </c>
      <c r="E56" s="7" t="s">
        <v>842</v>
      </c>
      <c r="F56" s="7" t="s">
        <v>843</v>
      </c>
      <c r="G56" s="7" t="s">
        <v>844</v>
      </c>
      <c r="H56" s="7" t="s">
        <v>845</v>
      </c>
      <c r="I56" s="7" t="s">
        <v>846</v>
      </c>
      <c r="J56" s="11" t="s">
        <v>28</v>
      </c>
      <c r="K56" s="11" t="s">
        <v>30</v>
      </c>
      <c r="L56" s="11" t="s">
        <v>32</v>
      </c>
      <c r="M56" s="11" t="s">
        <v>34</v>
      </c>
      <c r="N56" s="11" t="s">
        <v>42</v>
      </c>
      <c r="O56" s="9"/>
      <c r="P56" t="str">
        <f t="shared" si="1"/>
        <v/>
      </c>
    </row>
    <row r="57" spans="1:16" ht="34.049999999999997" customHeight="1" x14ac:dyDescent="0.25">
      <c r="A57" s="5" t="s">
        <v>236</v>
      </c>
      <c r="B57" s="5" t="s">
        <v>124</v>
      </c>
      <c r="C57" s="7" t="s">
        <v>560</v>
      </c>
      <c r="D57" s="7" t="s">
        <v>927</v>
      </c>
      <c r="E57" s="7" t="s">
        <v>848</v>
      </c>
      <c r="F57" s="7" t="s">
        <v>849</v>
      </c>
      <c r="G57" s="7" t="s">
        <v>850</v>
      </c>
      <c r="H57" s="7" t="s">
        <v>851</v>
      </c>
      <c r="I57" s="7" t="s">
        <v>852</v>
      </c>
      <c r="J57" s="11" t="s">
        <v>32</v>
      </c>
      <c r="K57" s="11" t="s">
        <v>34</v>
      </c>
      <c r="L57" s="11" t="s">
        <v>36</v>
      </c>
      <c r="M57" s="11" t="s">
        <v>38</v>
      </c>
      <c r="N57" s="11" t="s">
        <v>40</v>
      </c>
      <c r="O57" s="9"/>
      <c r="P57" t="str">
        <f t="shared" si="1"/>
        <v/>
      </c>
    </row>
    <row r="58" spans="1:16" ht="34.049999999999997" customHeight="1" x14ac:dyDescent="0.25">
      <c r="A58" s="5" t="s">
        <v>236</v>
      </c>
      <c r="B58" s="5" t="s">
        <v>132</v>
      </c>
      <c r="C58" s="7" t="s">
        <v>396</v>
      </c>
      <c r="D58" s="7" t="s">
        <v>928</v>
      </c>
      <c r="E58" s="7" t="s">
        <v>853</v>
      </c>
      <c r="F58" s="7" t="s">
        <v>854</v>
      </c>
      <c r="G58" s="7" t="s">
        <v>855</v>
      </c>
      <c r="H58" s="7" t="s">
        <v>856</v>
      </c>
      <c r="I58" s="7" t="s">
        <v>857</v>
      </c>
      <c r="J58" s="11" t="s">
        <v>28</v>
      </c>
      <c r="K58" s="11" t="s">
        <v>30</v>
      </c>
      <c r="L58" s="11" t="s">
        <v>38</v>
      </c>
      <c r="M58" s="11" t="s">
        <v>40</v>
      </c>
      <c r="N58" s="11" t="s">
        <v>42</v>
      </c>
      <c r="O58" s="9"/>
      <c r="P58" t="str">
        <f t="shared" si="1"/>
        <v/>
      </c>
    </row>
    <row r="59" spans="1:16" ht="34.049999999999997" customHeight="1" x14ac:dyDescent="0.25">
      <c r="A59" s="5" t="s">
        <v>236</v>
      </c>
      <c r="B59" s="5" t="s">
        <v>140</v>
      </c>
      <c r="C59" s="7" t="s">
        <v>858</v>
      </c>
      <c r="D59" s="7" t="s">
        <v>929</v>
      </c>
      <c r="E59" s="7" t="s">
        <v>860</v>
      </c>
      <c r="F59" s="7" t="s">
        <v>861</v>
      </c>
      <c r="G59" s="7" t="s">
        <v>862</v>
      </c>
      <c r="H59" s="7" t="s">
        <v>863</v>
      </c>
      <c r="I59" s="7" t="s">
        <v>864</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930</v>
      </c>
      <c r="E60" s="7" t="s">
        <v>866</v>
      </c>
      <c r="F60" s="7" t="s">
        <v>867</v>
      </c>
      <c r="G60" s="7" t="s">
        <v>868</v>
      </c>
      <c r="H60" s="7" t="s">
        <v>869</v>
      </c>
      <c r="I60" s="7" t="s">
        <v>870</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931</v>
      </c>
      <c r="E61" s="7" t="s">
        <v>871</v>
      </c>
      <c r="F61" s="7" t="s">
        <v>872</v>
      </c>
      <c r="G61" s="7" t="s">
        <v>873</v>
      </c>
      <c r="H61" s="7" t="s">
        <v>874</v>
      </c>
      <c r="I61" s="7" t="s">
        <v>875</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247</v>
      </c>
      <c r="E62" s="7" t="s">
        <v>876</v>
      </c>
      <c r="F62" s="7" t="s">
        <v>877</v>
      </c>
      <c r="G62" s="7" t="s">
        <v>878</v>
      </c>
      <c r="H62" s="7" t="s">
        <v>879</v>
      </c>
      <c r="I62" s="7" t="s">
        <v>880</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932</v>
      </c>
      <c r="E63" s="7" t="s">
        <v>882</v>
      </c>
      <c r="F63" s="7" t="s">
        <v>883</v>
      </c>
      <c r="G63" s="7" t="s">
        <v>884</v>
      </c>
      <c r="H63" s="7" t="s">
        <v>885</v>
      </c>
      <c r="I63" s="7" t="s">
        <v>886</v>
      </c>
      <c r="J63" s="11" t="s">
        <v>28</v>
      </c>
      <c r="K63" s="11" t="s">
        <v>36</v>
      </c>
      <c r="L63" s="11" t="s">
        <v>38</v>
      </c>
      <c r="M63" s="11" t="s">
        <v>40</v>
      </c>
      <c r="N63" s="11" t="s">
        <v>42</v>
      </c>
      <c r="O63" s="9"/>
      <c r="P63" t="str">
        <f t="shared" si="1"/>
        <v/>
      </c>
    </row>
    <row r="64" spans="1:16" ht="34.049999999999997" customHeight="1" x14ac:dyDescent="0.25">
      <c r="A64" s="5" t="s">
        <v>236</v>
      </c>
      <c r="B64" s="5" t="s">
        <v>180</v>
      </c>
      <c r="C64" s="7" t="s">
        <v>725</v>
      </c>
      <c r="D64" s="7" t="s">
        <v>472</v>
      </c>
      <c r="E64" s="7" t="s">
        <v>887</v>
      </c>
      <c r="F64" s="7" t="s">
        <v>888</v>
      </c>
      <c r="G64" s="7" t="s">
        <v>889</v>
      </c>
      <c r="H64" s="7" t="s">
        <v>890</v>
      </c>
      <c r="I64" s="7" t="s">
        <v>891</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933</v>
      </c>
      <c r="E65" s="7" t="s">
        <v>892</v>
      </c>
      <c r="F65" s="7" t="s">
        <v>893</v>
      </c>
      <c r="G65" s="7" t="s">
        <v>894</v>
      </c>
      <c r="H65" s="7" t="s">
        <v>895</v>
      </c>
      <c r="I65" s="7" t="s">
        <v>896</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934</v>
      </c>
      <c r="E66" s="7" t="s">
        <v>898</v>
      </c>
      <c r="F66" s="7" t="s">
        <v>899</v>
      </c>
      <c r="G66" s="7" t="s">
        <v>900</v>
      </c>
      <c r="H66" s="7" t="s">
        <v>901</v>
      </c>
      <c r="I66" s="7" t="s">
        <v>902</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935</v>
      </c>
      <c r="E67" s="7" t="s">
        <v>815</v>
      </c>
      <c r="F67" s="7" t="s">
        <v>816</v>
      </c>
      <c r="G67" s="7" t="s">
        <v>817</v>
      </c>
      <c r="H67" s="7" t="s">
        <v>818</v>
      </c>
      <c r="I67" s="7" t="s">
        <v>819</v>
      </c>
      <c r="J67" s="11" t="s">
        <v>34</v>
      </c>
      <c r="K67" s="11" t="s">
        <v>36</v>
      </c>
      <c r="L67" s="11" t="s">
        <v>38</v>
      </c>
      <c r="M67" s="11" t="s">
        <v>40</v>
      </c>
      <c r="N67" s="11" t="s">
        <v>42</v>
      </c>
      <c r="O67" s="9"/>
      <c r="P67" t="str">
        <f t="shared" si="1"/>
        <v/>
      </c>
    </row>
    <row r="68" spans="1:16" ht="34.049999999999997" customHeight="1" x14ac:dyDescent="0.25">
      <c r="A68" s="5" t="s">
        <v>252</v>
      </c>
      <c r="B68" s="5" t="s">
        <v>92</v>
      </c>
      <c r="C68" s="7" t="s">
        <v>820</v>
      </c>
      <c r="D68" s="7" t="s">
        <v>936</v>
      </c>
      <c r="E68" s="7" t="s">
        <v>822</v>
      </c>
      <c r="F68" s="7" t="s">
        <v>823</v>
      </c>
      <c r="G68" s="7" t="s">
        <v>824</v>
      </c>
      <c r="H68" s="7" t="s">
        <v>825</v>
      </c>
      <c r="I68" s="7" t="s">
        <v>826</v>
      </c>
      <c r="J68" s="11" t="s">
        <v>28</v>
      </c>
      <c r="K68" s="11" t="s">
        <v>30</v>
      </c>
      <c r="L68" s="11" t="s">
        <v>32</v>
      </c>
      <c r="M68" s="11" t="s">
        <v>40</v>
      </c>
      <c r="N68" s="11" t="s">
        <v>42</v>
      </c>
      <c r="O68" s="9"/>
      <c r="P68" t="str">
        <f t="shared" si="1"/>
        <v/>
      </c>
    </row>
    <row r="69" spans="1:16" ht="34.049999999999997" customHeight="1" x14ac:dyDescent="0.25">
      <c r="A69" s="5" t="s">
        <v>252</v>
      </c>
      <c r="B69" s="5" t="s">
        <v>100</v>
      </c>
      <c r="C69" s="7" t="s">
        <v>827</v>
      </c>
      <c r="D69" s="7" t="s">
        <v>767</v>
      </c>
      <c r="E69" s="7" t="s">
        <v>828</v>
      </c>
      <c r="F69" s="7" t="s">
        <v>829</v>
      </c>
      <c r="G69" s="7" t="s">
        <v>830</v>
      </c>
      <c r="H69" s="7" t="s">
        <v>831</v>
      </c>
      <c r="I69" s="7" t="s">
        <v>832</v>
      </c>
      <c r="J69" s="11" t="s">
        <v>30</v>
      </c>
      <c r="K69" s="11" t="s">
        <v>32</v>
      </c>
      <c r="L69" s="11" t="s">
        <v>34</v>
      </c>
      <c r="M69" s="11" t="s">
        <v>36</v>
      </c>
      <c r="N69" s="11" t="s">
        <v>38</v>
      </c>
      <c r="O69" s="9"/>
      <c r="P69" t="str">
        <f t="shared" si="1"/>
        <v/>
      </c>
    </row>
    <row r="70" spans="1:16" ht="34.049999999999997" customHeight="1" x14ac:dyDescent="0.25">
      <c r="A70" s="5" t="s">
        <v>252</v>
      </c>
      <c r="B70" s="5" t="s">
        <v>108</v>
      </c>
      <c r="C70" s="7" t="s">
        <v>833</v>
      </c>
      <c r="D70" s="7" t="s">
        <v>937</v>
      </c>
      <c r="E70" s="7" t="s">
        <v>835</v>
      </c>
      <c r="F70" s="7" t="s">
        <v>836</v>
      </c>
      <c r="G70" s="7" t="s">
        <v>837</v>
      </c>
      <c r="H70" s="7" t="s">
        <v>838</v>
      </c>
      <c r="I70" s="7" t="s">
        <v>839</v>
      </c>
      <c r="J70" s="11" t="s">
        <v>28</v>
      </c>
      <c r="K70" s="11" t="s">
        <v>36</v>
      </c>
      <c r="L70" s="11" t="s">
        <v>38</v>
      </c>
      <c r="M70" s="11" t="s">
        <v>40</v>
      </c>
      <c r="N70" s="11" t="s">
        <v>42</v>
      </c>
      <c r="O70" s="9"/>
      <c r="P70" t="str">
        <f t="shared" si="1"/>
        <v/>
      </c>
    </row>
    <row r="71" spans="1:16" ht="34.049999999999997" customHeight="1" x14ac:dyDescent="0.25">
      <c r="A71" s="5" t="s">
        <v>252</v>
      </c>
      <c r="B71" s="5" t="s">
        <v>116</v>
      </c>
      <c r="C71" s="7" t="s">
        <v>840</v>
      </c>
      <c r="D71" s="7" t="s">
        <v>938</v>
      </c>
      <c r="E71" s="7" t="s">
        <v>842</v>
      </c>
      <c r="F71" s="7" t="s">
        <v>843</v>
      </c>
      <c r="G71" s="7" t="s">
        <v>844</v>
      </c>
      <c r="H71" s="7" t="s">
        <v>845</v>
      </c>
      <c r="I71" s="7" t="s">
        <v>846</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560</v>
      </c>
      <c r="D72" s="7" t="s">
        <v>634</v>
      </c>
      <c r="E72" s="7" t="s">
        <v>848</v>
      </c>
      <c r="F72" s="7" t="s">
        <v>849</v>
      </c>
      <c r="G72" s="7" t="s">
        <v>850</v>
      </c>
      <c r="H72" s="7" t="s">
        <v>851</v>
      </c>
      <c r="I72" s="7" t="s">
        <v>852</v>
      </c>
      <c r="J72" s="11" t="s">
        <v>32</v>
      </c>
      <c r="K72" s="11" t="s">
        <v>34</v>
      </c>
      <c r="L72" s="11" t="s">
        <v>36</v>
      </c>
      <c r="M72" s="11" t="s">
        <v>38</v>
      </c>
      <c r="N72" s="11" t="s">
        <v>40</v>
      </c>
      <c r="O72" s="9"/>
      <c r="P72" t="str">
        <f t="shared" si="2"/>
        <v/>
      </c>
    </row>
    <row r="73" spans="1:16" ht="34.049999999999997" customHeight="1" x14ac:dyDescent="0.25">
      <c r="A73" s="5" t="s">
        <v>252</v>
      </c>
      <c r="B73" s="5" t="s">
        <v>132</v>
      </c>
      <c r="C73" s="7" t="s">
        <v>396</v>
      </c>
      <c r="D73" s="7" t="s">
        <v>939</v>
      </c>
      <c r="E73" s="7" t="s">
        <v>853</v>
      </c>
      <c r="F73" s="7" t="s">
        <v>854</v>
      </c>
      <c r="G73" s="7" t="s">
        <v>855</v>
      </c>
      <c r="H73" s="7" t="s">
        <v>856</v>
      </c>
      <c r="I73" s="7" t="s">
        <v>857</v>
      </c>
      <c r="J73" s="11" t="s">
        <v>28</v>
      </c>
      <c r="K73" s="11" t="s">
        <v>30</v>
      </c>
      <c r="L73" s="11" t="s">
        <v>38</v>
      </c>
      <c r="M73" s="11" t="s">
        <v>40</v>
      </c>
      <c r="N73" s="11" t="s">
        <v>42</v>
      </c>
      <c r="O73" s="9"/>
      <c r="P73" t="str">
        <f t="shared" si="2"/>
        <v/>
      </c>
    </row>
    <row r="74" spans="1:16" ht="34.049999999999997" customHeight="1" x14ac:dyDescent="0.25">
      <c r="A74" s="5" t="s">
        <v>252</v>
      </c>
      <c r="B74" s="5" t="s">
        <v>140</v>
      </c>
      <c r="C74" s="7" t="s">
        <v>858</v>
      </c>
      <c r="D74" s="7" t="s">
        <v>940</v>
      </c>
      <c r="E74" s="7" t="s">
        <v>860</v>
      </c>
      <c r="F74" s="7" t="s">
        <v>861</v>
      </c>
      <c r="G74" s="7" t="s">
        <v>862</v>
      </c>
      <c r="H74" s="7" t="s">
        <v>863</v>
      </c>
      <c r="I74" s="7" t="s">
        <v>864</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941</v>
      </c>
      <c r="E75" s="7" t="s">
        <v>866</v>
      </c>
      <c r="F75" s="7" t="s">
        <v>867</v>
      </c>
      <c r="G75" s="7" t="s">
        <v>868</v>
      </c>
      <c r="H75" s="7" t="s">
        <v>869</v>
      </c>
      <c r="I75" s="7" t="s">
        <v>870</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480</v>
      </c>
      <c r="E76" s="7" t="s">
        <v>871</v>
      </c>
      <c r="F76" s="7" t="s">
        <v>872</v>
      </c>
      <c r="G76" s="7" t="s">
        <v>873</v>
      </c>
      <c r="H76" s="7" t="s">
        <v>874</v>
      </c>
      <c r="I76" s="7" t="s">
        <v>875</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942</v>
      </c>
      <c r="E77" s="7" t="s">
        <v>876</v>
      </c>
      <c r="F77" s="7" t="s">
        <v>877</v>
      </c>
      <c r="G77" s="7" t="s">
        <v>878</v>
      </c>
      <c r="H77" s="7" t="s">
        <v>879</v>
      </c>
      <c r="I77" s="7" t="s">
        <v>880</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943</v>
      </c>
      <c r="E78" s="7" t="s">
        <v>882</v>
      </c>
      <c r="F78" s="7" t="s">
        <v>883</v>
      </c>
      <c r="G78" s="7" t="s">
        <v>884</v>
      </c>
      <c r="H78" s="7" t="s">
        <v>885</v>
      </c>
      <c r="I78" s="7" t="s">
        <v>886</v>
      </c>
      <c r="J78" s="11" t="s">
        <v>28</v>
      </c>
      <c r="K78" s="11" t="s">
        <v>36</v>
      </c>
      <c r="L78" s="11" t="s">
        <v>38</v>
      </c>
      <c r="M78" s="11" t="s">
        <v>40</v>
      </c>
      <c r="N78" s="11" t="s">
        <v>42</v>
      </c>
      <c r="O78" s="9"/>
      <c r="P78" t="str">
        <f t="shared" si="2"/>
        <v/>
      </c>
    </row>
    <row r="79" spans="1:16" ht="34.049999999999997" customHeight="1" x14ac:dyDescent="0.25">
      <c r="A79" s="5" t="s">
        <v>252</v>
      </c>
      <c r="B79" s="5" t="s">
        <v>180</v>
      </c>
      <c r="C79" s="7" t="s">
        <v>725</v>
      </c>
      <c r="D79" s="7" t="s">
        <v>774</v>
      </c>
      <c r="E79" s="7" t="s">
        <v>887</v>
      </c>
      <c r="F79" s="7" t="s">
        <v>888</v>
      </c>
      <c r="G79" s="7" t="s">
        <v>889</v>
      </c>
      <c r="H79" s="7" t="s">
        <v>890</v>
      </c>
      <c r="I79" s="7" t="s">
        <v>891</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482</v>
      </c>
      <c r="E80" s="7" t="s">
        <v>892</v>
      </c>
      <c r="F80" s="7" t="s">
        <v>893</v>
      </c>
      <c r="G80" s="7" t="s">
        <v>894</v>
      </c>
      <c r="H80" s="7" t="s">
        <v>895</v>
      </c>
      <c r="I80" s="7" t="s">
        <v>896</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944</v>
      </c>
      <c r="E81" s="7" t="s">
        <v>898</v>
      </c>
      <c r="F81" s="7" t="s">
        <v>899</v>
      </c>
      <c r="G81" s="7" t="s">
        <v>900</v>
      </c>
      <c r="H81" s="7" t="s">
        <v>901</v>
      </c>
      <c r="I81" s="7" t="s">
        <v>902</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269</v>
      </c>
      <c r="E82" s="7" t="s">
        <v>815</v>
      </c>
      <c r="F82" s="7" t="s">
        <v>816</v>
      </c>
      <c r="G82" s="7" t="s">
        <v>817</v>
      </c>
      <c r="H82" s="7" t="s">
        <v>818</v>
      </c>
      <c r="I82" s="7" t="s">
        <v>819</v>
      </c>
      <c r="J82" s="11" t="s">
        <v>34</v>
      </c>
      <c r="K82" s="11" t="s">
        <v>36</v>
      </c>
      <c r="L82" s="11" t="s">
        <v>38</v>
      </c>
      <c r="M82" s="11" t="s">
        <v>40</v>
      </c>
      <c r="N82" s="11" t="s">
        <v>42</v>
      </c>
      <c r="O82" s="9"/>
      <c r="P82" t="str">
        <f t="shared" si="2"/>
        <v/>
      </c>
    </row>
    <row r="83" spans="1:16" ht="34.049999999999997" customHeight="1" x14ac:dyDescent="0.25">
      <c r="A83" s="5" t="s">
        <v>268</v>
      </c>
      <c r="B83" s="5" t="s">
        <v>92</v>
      </c>
      <c r="C83" s="7" t="s">
        <v>820</v>
      </c>
      <c r="D83" s="7" t="s">
        <v>945</v>
      </c>
      <c r="E83" s="7" t="s">
        <v>822</v>
      </c>
      <c r="F83" s="7" t="s">
        <v>823</v>
      </c>
      <c r="G83" s="7" t="s">
        <v>824</v>
      </c>
      <c r="H83" s="7" t="s">
        <v>825</v>
      </c>
      <c r="I83" s="7" t="s">
        <v>826</v>
      </c>
      <c r="J83" s="11" t="s">
        <v>28</v>
      </c>
      <c r="K83" s="11" t="s">
        <v>30</v>
      </c>
      <c r="L83" s="11" t="s">
        <v>32</v>
      </c>
      <c r="M83" s="11" t="s">
        <v>40</v>
      </c>
      <c r="N83" s="11" t="s">
        <v>42</v>
      </c>
      <c r="O83" s="9"/>
      <c r="P83" t="str">
        <f t="shared" si="2"/>
        <v/>
      </c>
    </row>
    <row r="84" spans="1:16" ht="34.049999999999997" customHeight="1" x14ac:dyDescent="0.25">
      <c r="A84" s="5" t="s">
        <v>268</v>
      </c>
      <c r="B84" s="5" t="s">
        <v>100</v>
      </c>
      <c r="C84" s="7" t="s">
        <v>827</v>
      </c>
      <c r="D84" s="7" t="s">
        <v>483</v>
      </c>
      <c r="E84" s="7" t="s">
        <v>828</v>
      </c>
      <c r="F84" s="7" t="s">
        <v>829</v>
      </c>
      <c r="G84" s="7" t="s">
        <v>830</v>
      </c>
      <c r="H84" s="7" t="s">
        <v>831</v>
      </c>
      <c r="I84" s="7" t="s">
        <v>832</v>
      </c>
      <c r="J84" s="11" t="s">
        <v>30</v>
      </c>
      <c r="K84" s="11" t="s">
        <v>32</v>
      </c>
      <c r="L84" s="11" t="s">
        <v>34</v>
      </c>
      <c r="M84" s="11" t="s">
        <v>36</v>
      </c>
      <c r="N84" s="11" t="s">
        <v>38</v>
      </c>
      <c r="O84" s="9"/>
      <c r="P84" t="str">
        <f t="shared" si="2"/>
        <v/>
      </c>
    </row>
    <row r="85" spans="1:16" ht="34.049999999999997" customHeight="1" x14ac:dyDescent="0.25">
      <c r="A85" s="5" t="s">
        <v>268</v>
      </c>
      <c r="B85" s="5" t="s">
        <v>108</v>
      </c>
      <c r="C85" s="7" t="s">
        <v>833</v>
      </c>
      <c r="D85" s="7" t="s">
        <v>946</v>
      </c>
      <c r="E85" s="7" t="s">
        <v>835</v>
      </c>
      <c r="F85" s="7" t="s">
        <v>836</v>
      </c>
      <c r="G85" s="7" t="s">
        <v>837</v>
      </c>
      <c r="H85" s="7" t="s">
        <v>838</v>
      </c>
      <c r="I85" s="7" t="s">
        <v>839</v>
      </c>
      <c r="J85" s="11" t="s">
        <v>28</v>
      </c>
      <c r="K85" s="11" t="s">
        <v>36</v>
      </c>
      <c r="L85" s="11" t="s">
        <v>38</v>
      </c>
      <c r="M85" s="11" t="s">
        <v>40</v>
      </c>
      <c r="N85" s="11" t="s">
        <v>42</v>
      </c>
      <c r="O85" s="9"/>
      <c r="P85" t="str">
        <f t="shared" si="2"/>
        <v/>
      </c>
    </row>
    <row r="86" spans="1:16" ht="34.049999999999997" customHeight="1" x14ac:dyDescent="0.25">
      <c r="A86" s="5" t="s">
        <v>268</v>
      </c>
      <c r="B86" s="5" t="s">
        <v>116</v>
      </c>
      <c r="C86" s="7" t="s">
        <v>840</v>
      </c>
      <c r="D86" s="7" t="s">
        <v>947</v>
      </c>
      <c r="E86" s="7" t="s">
        <v>842</v>
      </c>
      <c r="F86" s="7" t="s">
        <v>843</v>
      </c>
      <c r="G86" s="7" t="s">
        <v>844</v>
      </c>
      <c r="H86" s="7" t="s">
        <v>845</v>
      </c>
      <c r="I86" s="7" t="s">
        <v>846</v>
      </c>
      <c r="J86" s="11" t="s">
        <v>28</v>
      </c>
      <c r="K86" s="11" t="s">
        <v>30</v>
      </c>
      <c r="L86" s="11" t="s">
        <v>32</v>
      </c>
      <c r="M86" s="11" t="s">
        <v>34</v>
      </c>
      <c r="N86" s="11" t="s">
        <v>42</v>
      </c>
      <c r="O86" s="9"/>
      <c r="P86" t="str">
        <f t="shared" si="2"/>
        <v/>
      </c>
    </row>
    <row r="87" spans="1:16" ht="34.049999999999997" customHeight="1" x14ac:dyDescent="0.25">
      <c r="A87" s="5" t="s">
        <v>268</v>
      </c>
      <c r="B87" s="5" t="s">
        <v>124</v>
      </c>
      <c r="C87" s="7" t="s">
        <v>560</v>
      </c>
      <c r="D87" s="7" t="s">
        <v>948</v>
      </c>
      <c r="E87" s="7" t="s">
        <v>848</v>
      </c>
      <c r="F87" s="7" t="s">
        <v>849</v>
      </c>
      <c r="G87" s="7" t="s">
        <v>850</v>
      </c>
      <c r="H87" s="7" t="s">
        <v>851</v>
      </c>
      <c r="I87" s="7" t="s">
        <v>852</v>
      </c>
      <c r="J87" s="11" t="s">
        <v>32</v>
      </c>
      <c r="K87" s="11" t="s">
        <v>34</v>
      </c>
      <c r="L87" s="11" t="s">
        <v>36</v>
      </c>
      <c r="M87" s="11" t="s">
        <v>38</v>
      </c>
      <c r="N87" s="11" t="s">
        <v>40</v>
      </c>
      <c r="O87" s="9"/>
      <c r="P87" t="str">
        <f t="shared" si="2"/>
        <v/>
      </c>
    </row>
    <row r="88" spans="1:16" ht="34.049999999999997" customHeight="1" x14ac:dyDescent="0.25">
      <c r="A88" s="5" t="s">
        <v>268</v>
      </c>
      <c r="B88" s="5" t="s">
        <v>132</v>
      </c>
      <c r="C88" s="7" t="s">
        <v>396</v>
      </c>
      <c r="D88" s="7" t="s">
        <v>949</v>
      </c>
      <c r="E88" s="7" t="s">
        <v>853</v>
      </c>
      <c r="F88" s="7" t="s">
        <v>854</v>
      </c>
      <c r="G88" s="7" t="s">
        <v>855</v>
      </c>
      <c r="H88" s="7" t="s">
        <v>856</v>
      </c>
      <c r="I88" s="7" t="s">
        <v>857</v>
      </c>
      <c r="J88" s="11" t="s">
        <v>28</v>
      </c>
      <c r="K88" s="11" t="s">
        <v>30</v>
      </c>
      <c r="L88" s="11" t="s">
        <v>38</v>
      </c>
      <c r="M88" s="11" t="s">
        <v>40</v>
      </c>
      <c r="N88" s="11" t="s">
        <v>42</v>
      </c>
      <c r="O88" s="9"/>
      <c r="P88" t="str">
        <f t="shared" si="2"/>
        <v/>
      </c>
    </row>
    <row r="89" spans="1:16" ht="34.049999999999997" customHeight="1" x14ac:dyDescent="0.25">
      <c r="A89" s="5" t="s">
        <v>268</v>
      </c>
      <c r="B89" s="5" t="s">
        <v>140</v>
      </c>
      <c r="C89" s="7" t="s">
        <v>858</v>
      </c>
      <c r="D89" s="7" t="s">
        <v>950</v>
      </c>
      <c r="E89" s="7" t="s">
        <v>860</v>
      </c>
      <c r="F89" s="7" t="s">
        <v>861</v>
      </c>
      <c r="G89" s="7" t="s">
        <v>862</v>
      </c>
      <c r="H89" s="7" t="s">
        <v>863</v>
      </c>
      <c r="I89" s="7" t="s">
        <v>864</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951</v>
      </c>
      <c r="E90" s="7" t="s">
        <v>866</v>
      </c>
      <c r="F90" s="7" t="s">
        <v>867</v>
      </c>
      <c r="G90" s="7" t="s">
        <v>868</v>
      </c>
      <c r="H90" s="7" t="s">
        <v>869</v>
      </c>
      <c r="I90" s="7" t="s">
        <v>870</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952</v>
      </c>
      <c r="E91" s="7" t="s">
        <v>871</v>
      </c>
      <c r="F91" s="7" t="s">
        <v>872</v>
      </c>
      <c r="G91" s="7" t="s">
        <v>873</v>
      </c>
      <c r="H91" s="7" t="s">
        <v>874</v>
      </c>
      <c r="I91" s="7" t="s">
        <v>875</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279</v>
      </c>
      <c r="E92" s="7" t="s">
        <v>876</v>
      </c>
      <c r="F92" s="7" t="s">
        <v>877</v>
      </c>
      <c r="G92" s="7" t="s">
        <v>878</v>
      </c>
      <c r="H92" s="7" t="s">
        <v>879</v>
      </c>
      <c r="I92" s="7" t="s">
        <v>880</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488</v>
      </c>
      <c r="E93" s="7" t="s">
        <v>882</v>
      </c>
      <c r="F93" s="7" t="s">
        <v>883</v>
      </c>
      <c r="G93" s="7" t="s">
        <v>884</v>
      </c>
      <c r="H93" s="7" t="s">
        <v>885</v>
      </c>
      <c r="I93" s="7" t="s">
        <v>886</v>
      </c>
      <c r="J93" s="11" t="s">
        <v>28</v>
      </c>
      <c r="K93" s="11" t="s">
        <v>36</v>
      </c>
      <c r="L93" s="11" t="s">
        <v>38</v>
      </c>
      <c r="M93" s="11" t="s">
        <v>40</v>
      </c>
      <c r="N93" s="11" t="s">
        <v>42</v>
      </c>
      <c r="O93" s="9"/>
      <c r="P93" t="str">
        <f t="shared" si="2"/>
        <v/>
      </c>
    </row>
    <row r="94" spans="1:16" ht="34.049999999999997" customHeight="1" x14ac:dyDescent="0.25">
      <c r="A94" s="5" t="s">
        <v>268</v>
      </c>
      <c r="B94" s="5" t="s">
        <v>180</v>
      </c>
      <c r="C94" s="7" t="s">
        <v>725</v>
      </c>
      <c r="D94" s="7" t="s">
        <v>781</v>
      </c>
      <c r="E94" s="7" t="s">
        <v>887</v>
      </c>
      <c r="F94" s="7" t="s">
        <v>888</v>
      </c>
      <c r="G94" s="7" t="s">
        <v>889</v>
      </c>
      <c r="H94" s="7" t="s">
        <v>890</v>
      </c>
      <c r="I94" s="7" t="s">
        <v>891</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953</v>
      </c>
      <c r="E95" s="7" t="s">
        <v>892</v>
      </c>
      <c r="F95" s="7" t="s">
        <v>893</v>
      </c>
      <c r="G95" s="7" t="s">
        <v>894</v>
      </c>
      <c r="H95" s="7" t="s">
        <v>895</v>
      </c>
      <c r="I95" s="7" t="s">
        <v>896</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954</v>
      </c>
      <c r="E96" s="7" t="s">
        <v>898</v>
      </c>
      <c r="F96" s="7" t="s">
        <v>899</v>
      </c>
      <c r="G96" s="7" t="s">
        <v>900</v>
      </c>
      <c r="H96" s="7" t="s">
        <v>901</v>
      </c>
      <c r="I96" s="7" t="s">
        <v>902</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955</v>
      </c>
      <c r="E97" s="7" t="s">
        <v>815</v>
      </c>
      <c r="F97" s="7" t="s">
        <v>816</v>
      </c>
      <c r="G97" s="7" t="s">
        <v>817</v>
      </c>
      <c r="H97" s="7" t="s">
        <v>818</v>
      </c>
      <c r="I97" s="7" t="s">
        <v>819</v>
      </c>
      <c r="J97" s="11" t="s">
        <v>34</v>
      </c>
      <c r="K97" s="11" t="s">
        <v>36</v>
      </c>
      <c r="L97" s="11" t="s">
        <v>38</v>
      </c>
      <c r="M97" s="11" t="s">
        <v>40</v>
      </c>
      <c r="N97" s="11" t="s">
        <v>42</v>
      </c>
      <c r="O97" s="9"/>
      <c r="P97" t="str">
        <f t="shared" si="2"/>
        <v/>
      </c>
    </row>
    <row r="98" spans="1:16" ht="34.049999999999997" customHeight="1" x14ac:dyDescent="0.25">
      <c r="A98" s="5" t="s">
        <v>284</v>
      </c>
      <c r="B98" s="5" t="s">
        <v>92</v>
      </c>
      <c r="C98" s="7" t="s">
        <v>820</v>
      </c>
      <c r="D98" s="7" t="s">
        <v>956</v>
      </c>
      <c r="E98" s="7" t="s">
        <v>822</v>
      </c>
      <c r="F98" s="7" t="s">
        <v>823</v>
      </c>
      <c r="G98" s="7" t="s">
        <v>824</v>
      </c>
      <c r="H98" s="7" t="s">
        <v>825</v>
      </c>
      <c r="I98" s="7" t="s">
        <v>826</v>
      </c>
      <c r="J98" s="11" t="s">
        <v>28</v>
      </c>
      <c r="K98" s="11" t="s">
        <v>30</v>
      </c>
      <c r="L98" s="11" t="s">
        <v>32</v>
      </c>
      <c r="M98" s="11" t="s">
        <v>40</v>
      </c>
      <c r="N98" s="11" t="s">
        <v>42</v>
      </c>
      <c r="O98" s="9"/>
      <c r="P98" t="str">
        <f t="shared" si="2"/>
        <v/>
      </c>
    </row>
    <row r="99" spans="1:16" ht="34.049999999999997" customHeight="1" x14ac:dyDescent="0.25">
      <c r="A99" s="5" t="s">
        <v>284</v>
      </c>
      <c r="B99" s="5" t="s">
        <v>100</v>
      </c>
      <c r="C99" s="7" t="s">
        <v>827</v>
      </c>
      <c r="D99" s="7" t="s">
        <v>957</v>
      </c>
      <c r="E99" s="7" t="s">
        <v>828</v>
      </c>
      <c r="F99" s="7" t="s">
        <v>829</v>
      </c>
      <c r="G99" s="7" t="s">
        <v>830</v>
      </c>
      <c r="H99" s="7" t="s">
        <v>831</v>
      </c>
      <c r="I99" s="7" t="s">
        <v>832</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833</v>
      </c>
      <c r="D100" s="7" t="s">
        <v>958</v>
      </c>
      <c r="E100" s="7" t="s">
        <v>835</v>
      </c>
      <c r="F100" s="7" t="s">
        <v>836</v>
      </c>
      <c r="G100" s="7" t="s">
        <v>837</v>
      </c>
      <c r="H100" s="7" t="s">
        <v>838</v>
      </c>
      <c r="I100" s="7" t="s">
        <v>839</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840</v>
      </c>
      <c r="D101" s="7" t="s">
        <v>959</v>
      </c>
      <c r="E101" s="7" t="s">
        <v>842</v>
      </c>
      <c r="F101" s="7" t="s">
        <v>843</v>
      </c>
      <c r="G101" s="7" t="s">
        <v>844</v>
      </c>
      <c r="H101" s="7" t="s">
        <v>845</v>
      </c>
      <c r="I101" s="7" t="s">
        <v>846</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560</v>
      </c>
      <c r="D102" s="7" t="s">
        <v>496</v>
      </c>
      <c r="E102" s="7" t="s">
        <v>848</v>
      </c>
      <c r="F102" s="7" t="s">
        <v>849</v>
      </c>
      <c r="G102" s="7" t="s">
        <v>850</v>
      </c>
      <c r="H102" s="7" t="s">
        <v>851</v>
      </c>
      <c r="I102" s="7" t="s">
        <v>852</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396</v>
      </c>
      <c r="D103" s="7" t="s">
        <v>497</v>
      </c>
      <c r="E103" s="7" t="s">
        <v>853</v>
      </c>
      <c r="F103" s="7" t="s">
        <v>854</v>
      </c>
      <c r="G103" s="7" t="s">
        <v>855</v>
      </c>
      <c r="H103" s="7" t="s">
        <v>856</v>
      </c>
      <c r="I103" s="7" t="s">
        <v>857</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858</v>
      </c>
      <c r="D104" s="7" t="s">
        <v>960</v>
      </c>
      <c r="E104" s="7" t="s">
        <v>860</v>
      </c>
      <c r="F104" s="7" t="s">
        <v>861</v>
      </c>
      <c r="G104" s="7" t="s">
        <v>862</v>
      </c>
      <c r="H104" s="7" t="s">
        <v>863</v>
      </c>
      <c r="I104" s="7" t="s">
        <v>864</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961</v>
      </c>
      <c r="E105" s="7" t="s">
        <v>866</v>
      </c>
      <c r="F105" s="7" t="s">
        <v>867</v>
      </c>
      <c r="G105" s="7" t="s">
        <v>868</v>
      </c>
      <c r="H105" s="7" t="s">
        <v>869</v>
      </c>
      <c r="I105" s="7" t="s">
        <v>870</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962</v>
      </c>
      <c r="E106" s="7" t="s">
        <v>871</v>
      </c>
      <c r="F106" s="7" t="s">
        <v>872</v>
      </c>
      <c r="G106" s="7" t="s">
        <v>873</v>
      </c>
      <c r="H106" s="7" t="s">
        <v>874</v>
      </c>
      <c r="I106" s="7" t="s">
        <v>875</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501</v>
      </c>
      <c r="E107" s="7" t="s">
        <v>876</v>
      </c>
      <c r="F107" s="7" t="s">
        <v>877</v>
      </c>
      <c r="G107" s="7" t="s">
        <v>878</v>
      </c>
      <c r="H107" s="7" t="s">
        <v>879</v>
      </c>
      <c r="I107" s="7" t="s">
        <v>880</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296</v>
      </c>
      <c r="E108" s="7" t="s">
        <v>882</v>
      </c>
      <c r="F108" s="7" t="s">
        <v>883</v>
      </c>
      <c r="G108" s="7" t="s">
        <v>884</v>
      </c>
      <c r="H108" s="7" t="s">
        <v>885</v>
      </c>
      <c r="I108" s="7" t="s">
        <v>886</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725</v>
      </c>
      <c r="D109" s="7" t="s">
        <v>963</v>
      </c>
      <c r="E109" s="7" t="s">
        <v>887</v>
      </c>
      <c r="F109" s="7" t="s">
        <v>888</v>
      </c>
      <c r="G109" s="7" t="s">
        <v>889</v>
      </c>
      <c r="H109" s="7" t="s">
        <v>890</v>
      </c>
      <c r="I109" s="7" t="s">
        <v>891</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503</v>
      </c>
      <c r="E110" s="7" t="s">
        <v>892</v>
      </c>
      <c r="F110" s="7" t="s">
        <v>893</v>
      </c>
      <c r="G110" s="7" t="s">
        <v>894</v>
      </c>
      <c r="H110" s="7" t="s">
        <v>895</v>
      </c>
      <c r="I110" s="7" t="s">
        <v>896</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964</v>
      </c>
      <c r="E111" s="7" t="s">
        <v>898</v>
      </c>
      <c r="F111" s="7" t="s">
        <v>899</v>
      </c>
      <c r="G111" s="7" t="s">
        <v>900</v>
      </c>
      <c r="H111" s="7" t="s">
        <v>901</v>
      </c>
      <c r="I111" s="7" t="s">
        <v>902</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965</v>
      </c>
      <c r="E112" s="7" t="s">
        <v>815</v>
      </c>
      <c r="F112" s="7" t="s">
        <v>816</v>
      </c>
      <c r="G112" s="7" t="s">
        <v>817</v>
      </c>
      <c r="H112" s="7" t="s">
        <v>818</v>
      </c>
      <c r="I112" s="7" t="s">
        <v>819</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820</v>
      </c>
      <c r="D113" s="7" t="s">
        <v>966</v>
      </c>
      <c r="E113" s="7" t="s">
        <v>822</v>
      </c>
      <c r="F113" s="7" t="s">
        <v>823</v>
      </c>
      <c r="G113" s="7" t="s">
        <v>824</v>
      </c>
      <c r="H113" s="7" t="s">
        <v>825</v>
      </c>
      <c r="I113" s="7" t="s">
        <v>826</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827</v>
      </c>
      <c r="D114" s="7" t="s">
        <v>967</v>
      </c>
      <c r="E114" s="7" t="s">
        <v>828</v>
      </c>
      <c r="F114" s="7" t="s">
        <v>829</v>
      </c>
      <c r="G114" s="7" t="s">
        <v>830</v>
      </c>
      <c r="H114" s="7" t="s">
        <v>831</v>
      </c>
      <c r="I114" s="7" t="s">
        <v>832</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833</v>
      </c>
      <c r="D115" s="7" t="s">
        <v>968</v>
      </c>
      <c r="E115" s="7" t="s">
        <v>835</v>
      </c>
      <c r="F115" s="7" t="s">
        <v>836</v>
      </c>
      <c r="G115" s="7" t="s">
        <v>837</v>
      </c>
      <c r="H115" s="7" t="s">
        <v>838</v>
      </c>
      <c r="I115" s="7" t="s">
        <v>839</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840</v>
      </c>
      <c r="D116" s="7" t="s">
        <v>969</v>
      </c>
      <c r="E116" s="7" t="s">
        <v>842</v>
      </c>
      <c r="F116" s="7" t="s">
        <v>843</v>
      </c>
      <c r="G116" s="7" t="s">
        <v>844</v>
      </c>
      <c r="H116" s="7" t="s">
        <v>845</v>
      </c>
      <c r="I116" s="7" t="s">
        <v>846</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560</v>
      </c>
      <c r="D117" s="7" t="s">
        <v>970</v>
      </c>
      <c r="E117" s="7" t="s">
        <v>848</v>
      </c>
      <c r="F117" s="7" t="s">
        <v>849</v>
      </c>
      <c r="G117" s="7" t="s">
        <v>850</v>
      </c>
      <c r="H117" s="7" t="s">
        <v>851</v>
      </c>
      <c r="I117" s="7" t="s">
        <v>852</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396</v>
      </c>
      <c r="D118" s="7" t="s">
        <v>507</v>
      </c>
      <c r="E118" s="7" t="s">
        <v>853</v>
      </c>
      <c r="F118" s="7" t="s">
        <v>854</v>
      </c>
      <c r="G118" s="7" t="s">
        <v>855</v>
      </c>
      <c r="H118" s="7" t="s">
        <v>856</v>
      </c>
      <c r="I118" s="7" t="s">
        <v>857</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858</v>
      </c>
      <c r="D119" s="7" t="s">
        <v>971</v>
      </c>
      <c r="E119" s="7" t="s">
        <v>860</v>
      </c>
      <c r="F119" s="7" t="s">
        <v>861</v>
      </c>
      <c r="G119" s="7" t="s">
        <v>862</v>
      </c>
      <c r="H119" s="7" t="s">
        <v>863</v>
      </c>
      <c r="I119" s="7" t="s">
        <v>864</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972</v>
      </c>
      <c r="E120" s="7" t="s">
        <v>866</v>
      </c>
      <c r="F120" s="7" t="s">
        <v>867</v>
      </c>
      <c r="G120" s="7" t="s">
        <v>868</v>
      </c>
      <c r="H120" s="7" t="s">
        <v>869</v>
      </c>
      <c r="I120" s="7" t="s">
        <v>870</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973</v>
      </c>
      <c r="E121" s="7" t="s">
        <v>871</v>
      </c>
      <c r="F121" s="7" t="s">
        <v>872</v>
      </c>
      <c r="G121" s="7" t="s">
        <v>873</v>
      </c>
      <c r="H121" s="7" t="s">
        <v>874</v>
      </c>
      <c r="I121" s="7" t="s">
        <v>875</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795</v>
      </c>
      <c r="E122" s="7" t="s">
        <v>876</v>
      </c>
      <c r="F122" s="7" t="s">
        <v>877</v>
      </c>
      <c r="G122" s="7" t="s">
        <v>878</v>
      </c>
      <c r="H122" s="7" t="s">
        <v>879</v>
      </c>
      <c r="I122" s="7" t="s">
        <v>880</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974</v>
      </c>
      <c r="E123" s="7" t="s">
        <v>882</v>
      </c>
      <c r="F123" s="7" t="s">
        <v>883</v>
      </c>
      <c r="G123" s="7" t="s">
        <v>884</v>
      </c>
      <c r="H123" s="7" t="s">
        <v>885</v>
      </c>
      <c r="I123" s="7" t="s">
        <v>886</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725</v>
      </c>
      <c r="D124" s="7" t="s">
        <v>797</v>
      </c>
      <c r="E124" s="7" t="s">
        <v>887</v>
      </c>
      <c r="F124" s="7" t="s">
        <v>888</v>
      </c>
      <c r="G124" s="7" t="s">
        <v>889</v>
      </c>
      <c r="H124" s="7" t="s">
        <v>890</v>
      </c>
      <c r="I124" s="7" t="s">
        <v>891</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511</v>
      </c>
      <c r="E125" s="7" t="s">
        <v>892</v>
      </c>
      <c r="F125" s="7" t="s">
        <v>893</v>
      </c>
      <c r="G125" s="7" t="s">
        <v>894</v>
      </c>
      <c r="H125" s="7" t="s">
        <v>895</v>
      </c>
      <c r="I125" s="7" t="s">
        <v>896</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975</v>
      </c>
      <c r="E126" s="7" t="s">
        <v>898</v>
      </c>
      <c r="F126" s="7" t="s">
        <v>899</v>
      </c>
      <c r="G126" s="7" t="s">
        <v>900</v>
      </c>
      <c r="H126" s="7" t="s">
        <v>901</v>
      </c>
      <c r="I126" s="7" t="s">
        <v>902</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513</v>
      </c>
      <c r="E127" s="7" t="s">
        <v>815</v>
      </c>
      <c r="F127" s="7" t="s">
        <v>816</v>
      </c>
      <c r="G127" s="7" t="s">
        <v>817</v>
      </c>
      <c r="H127" s="7" t="s">
        <v>818</v>
      </c>
      <c r="I127" s="7" t="s">
        <v>819</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820</v>
      </c>
      <c r="D128" s="7" t="s">
        <v>976</v>
      </c>
      <c r="E128" s="7" t="s">
        <v>822</v>
      </c>
      <c r="F128" s="7" t="s">
        <v>823</v>
      </c>
      <c r="G128" s="7" t="s">
        <v>824</v>
      </c>
      <c r="H128" s="7" t="s">
        <v>825</v>
      </c>
      <c r="I128" s="7" t="s">
        <v>826</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827</v>
      </c>
      <c r="D129" s="7" t="s">
        <v>335</v>
      </c>
      <c r="E129" s="7" t="s">
        <v>828</v>
      </c>
      <c r="F129" s="7" t="s">
        <v>829</v>
      </c>
      <c r="G129" s="7" t="s">
        <v>830</v>
      </c>
      <c r="H129" s="7" t="s">
        <v>831</v>
      </c>
      <c r="I129" s="7" t="s">
        <v>832</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833</v>
      </c>
      <c r="D130" s="7" t="s">
        <v>977</v>
      </c>
      <c r="E130" s="7" t="s">
        <v>835</v>
      </c>
      <c r="F130" s="7" t="s">
        <v>836</v>
      </c>
      <c r="G130" s="7" t="s">
        <v>837</v>
      </c>
      <c r="H130" s="7" t="s">
        <v>838</v>
      </c>
      <c r="I130" s="7" t="s">
        <v>839</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840</v>
      </c>
      <c r="D131" s="7" t="s">
        <v>978</v>
      </c>
      <c r="E131" s="7" t="s">
        <v>842</v>
      </c>
      <c r="F131" s="7" t="s">
        <v>843</v>
      </c>
      <c r="G131" s="7" t="s">
        <v>844</v>
      </c>
      <c r="H131" s="7" t="s">
        <v>845</v>
      </c>
      <c r="I131" s="7" t="s">
        <v>846</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560</v>
      </c>
      <c r="D132" s="7" t="s">
        <v>515</v>
      </c>
      <c r="E132" s="7" t="s">
        <v>848</v>
      </c>
      <c r="F132" s="7" t="s">
        <v>849</v>
      </c>
      <c r="G132" s="7" t="s">
        <v>850</v>
      </c>
      <c r="H132" s="7" t="s">
        <v>851</v>
      </c>
      <c r="I132" s="7" t="s">
        <v>852</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396</v>
      </c>
      <c r="D133" s="7" t="s">
        <v>979</v>
      </c>
      <c r="E133" s="7" t="s">
        <v>853</v>
      </c>
      <c r="F133" s="7" t="s">
        <v>854</v>
      </c>
      <c r="G133" s="7" t="s">
        <v>855</v>
      </c>
      <c r="H133" s="7" t="s">
        <v>856</v>
      </c>
      <c r="I133" s="7" t="s">
        <v>857</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858</v>
      </c>
      <c r="D134" s="7" t="s">
        <v>324</v>
      </c>
      <c r="E134" s="7" t="s">
        <v>860</v>
      </c>
      <c r="F134" s="7" t="s">
        <v>861</v>
      </c>
      <c r="G134" s="7" t="s">
        <v>862</v>
      </c>
      <c r="H134" s="7" t="s">
        <v>863</v>
      </c>
      <c r="I134" s="7" t="s">
        <v>864</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517</v>
      </c>
      <c r="E135" s="7" t="s">
        <v>866</v>
      </c>
      <c r="F135" s="7" t="s">
        <v>867</v>
      </c>
      <c r="G135" s="7" t="s">
        <v>868</v>
      </c>
      <c r="H135" s="7" t="s">
        <v>869</v>
      </c>
      <c r="I135" s="7" t="s">
        <v>870</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980</v>
      </c>
      <c r="E136" s="7" t="s">
        <v>871</v>
      </c>
      <c r="F136" s="7" t="s">
        <v>872</v>
      </c>
      <c r="G136" s="7" t="s">
        <v>873</v>
      </c>
      <c r="H136" s="7" t="s">
        <v>874</v>
      </c>
      <c r="I136" s="7" t="s">
        <v>875</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327</v>
      </c>
      <c r="E137" s="7" t="s">
        <v>876</v>
      </c>
      <c r="F137" s="7" t="s">
        <v>877</v>
      </c>
      <c r="G137" s="7" t="s">
        <v>878</v>
      </c>
      <c r="H137" s="7" t="s">
        <v>879</v>
      </c>
      <c r="I137" s="7" t="s">
        <v>880</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981</v>
      </c>
      <c r="E138" s="7" t="s">
        <v>882</v>
      </c>
      <c r="F138" s="7" t="s">
        <v>883</v>
      </c>
      <c r="G138" s="7" t="s">
        <v>884</v>
      </c>
      <c r="H138" s="7" t="s">
        <v>885</v>
      </c>
      <c r="I138" s="7" t="s">
        <v>886</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725</v>
      </c>
      <c r="D139" s="7" t="s">
        <v>982</v>
      </c>
      <c r="E139" s="7" t="s">
        <v>887</v>
      </c>
      <c r="F139" s="7" t="s">
        <v>888</v>
      </c>
      <c r="G139" s="7" t="s">
        <v>889</v>
      </c>
      <c r="H139" s="7" t="s">
        <v>890</v>
      </c>
      <c r="I139" s="7" t="s">
        <v>891</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518</v>
      </c>
      <c r="E140" s="7" t="s">
        <v>892</v>
      </c>
      <c r="F140" s="7" t="s">
        <v>893</v>
      </c>
      <c r="G140" s="7" t="s">
        <v>894</v>
      </c>
      <c r="H140" s="7" t="s">
        <v>895</v>
      </c>
      <c r="I140" s="7" t="s">
        <v>896</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983</v>
      </c>
      <c r="E141" s="7" t="s">
        <v>898</v>
      </c>
      <c r="F141" s="7" t="s">
        <v>899</v>
      </c>
      <c r="G141" s="7" t="s">
        <v>900</v>
      </c>
      <c r="H141" s="7" t="s">
        <v>901</v>
      </c>
      <c r="I141" s="7" t="s">
        <v>902</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520</v>
      </c>
      <c r="E142" s="7" t="s">
        <v>815</v>
      </c>
      <c r="F142" s="7" t="s">
        <v>816</v>
      </c>
      <c r="G142" s="7" t="s">
        <v>817</v>
      </c>
      <c r="H142" s="7" t="s">
        <v>818</v>
      </c>
      <c r="I142" s="7" t="s">
        <v>819</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820</v>
      </c>
      <c r="D143" s="7" t="s">
        <v>984</v>
      </c>
      <c r="E143" s="7" t="s">
        <v>822</v>
      </c>
      <c r="F143" s="7" t="s">
        <v>823</v>
      </c>
      <c r="G143" s="7" t="s">
        <v>824</v>
      </c>
      <c r="H143" s="7" t="s">
        <v>825</v>
      </c>
      <c r="I143" s="7" t="s">
        <v>826</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827</v>
      </c>
      <c r="D144" s="7" t="s">
        <v>985</v>
      </c>
      <c r="E144" s="7" t="s">
        <v>828</v>
      </c>
      <c r="F144" s="7" t="s">
        <v>829</v>
      </c>
      <c r="G144" s="7" t="s">
        <v>830</v>
      </c>
      <c r="H144" s="7" t="s">
        <v>831</v>
      </c>
      <c r="I144" s="7" t="s">
        <v>832</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833</v>
      </c>
      <c r="D145" s="7" t="s">
        <v>986</v>
      </c>
      <c r="E145" s="7" t="s">
        <v>835</v>
      </c>
      <c r="F145" s="7" t="s">
        <v>836</v>
      </c>
      <c r="G145" s="7" t="s">
        <v>837</v>
      </c>
      <c r="H145" s="7" t="s">
        <v>838</v>
      </c>
      <c r="I145" s="7" t="s">
        <v>839</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840</v>
      </c>
      <c r="D146" s="7" t="s">
        <v>523</v>
      </c>
      <c r="E146" s="7" t="s">
        <v>842</v>
      </c>
      <c r="F146" s="7" t="s">
        <v>843</v>
      </c>
      <c r="G146" s="7" t="s">
        <v>844</v>
      </c>
      <c r="H146" s="7" t="s">
        <v>845</v>
      </c>
      <c r="I146" s="7" t="s">
        <v>846</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560</v>
      </c>
      <c r="D147" s="7" t="s">
        <v>653</v>
      </c>
      <c r="E147" s="7" t="s">
        <v>848</v>
      </c>
      <c r="F147" s="7" t="s">
        <v>849</v>
      </c>
      <c r="G147" s="7" t="s">
        <v>850</v>
      </c>
      <c r="H147" s="7" t="s">
        <v>851</v>
      </c>
      <c r="I147" s="7" t="s">
        <v>852</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396</v>
      </c>
      <c r="D148" s="7" t="s">
        <v>525</v>
      </c>
      <c r="E148" s="7" t="s">
        <v>853</v>
      </c>
      <c r="F148" s="7" t="s">
        <v>854</v>
      </c>
      <c r="G148" s="7" t="s">
        <v>855</v>
      </c>
      <c r="H148" s="7" t="s">
        <v>856</v>
      </c>
      <c r="I148" s="7" t="s">
        <v>857</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858</v>
      </c>
      <c r="D149" s="7" t="s">
        <v>987</v>
      </c>
      <c r="E149" s="7" t="s">
        <v>860</v>
      </c>
      <c r="F149" s="7" t="s">
        <v>861</v>
      </c>
      <c r="G149" s="7" t="s">
        <v>862</v>
      </c>
      <c r="H149" s="7" t="s">
        <v>863</v>
      </c>
      <c r="I149" s="7" t="s">
        <v>864</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988</v>
      </c>
      <c r="E150" s="7" t="s">
        <v>866</v>
      </c>
      <c r="F150" s="7" t="s">
        <v>867</v>
      </c>
      <c r="G150" s="7" t="s">
        <v>868</v>
      </c>
      <c r="H150" s="7" t="s">
        <v>869</v>
      </c>
      <c r="I150" s="7" t="s">
        <v>870</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989</v>
      </c>
      <c r="E151" s="7" t="s">
        <v>871</v>
      </c>
      <c r="F151" s="7" t="s">
        <v>872</v>
      </c>
      <c r="G151" s="7" t="s">
        <v>873</v>
      </c>
      <c r="H151" s="7" t="s">
        <v>874</v>
      </c>
      <c r="I151" s="7" t="s">
        <v>875</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343</v>
      </c>
      <c r="E152" s="7" t="s">
        <v>876</v>
      </c>
      <c r="F152" s="7" t="s">
        <v>877</v>
      </c>
      <c r="G152" s="7" t="s">
        <v>878</v>
      </c>
      <c r="H152" s="7" t="s">
        <v>879</v>
      </c>
      <c r="I152" s="7" t="s">
        <v>880</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528</v>
      </c>
      <c r="E153" s="7" t="s">
        <v>882</v>
      </c>
      <c r="F153" s="7" t="s">
        <v>883</v>
      </c>
      <c r="G153" s="7" t="s">
        <v>884</v>
      </c>
      <c r="H153" s="7" t="s">
        <v>885</v>
      </c>
      <c r="I153" s="7" t="s">
        <v>886</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725</v>
      </c>
      <c r="D154" s="7" t="s">
        <v>809</v>
      </c>
      <c r="E154" s="7" t="s">
        <v>887</v>
      </c>
      <c r="F154" s="7" t="s">
        <v>888</v>
      </c>
      <c r="G154" s="7" t="s">
        <v>889</v>
      </c>
      <c r="H154" s="7" t="s">
        <v>890</v>
      </c>
      <c r="I154" s="7" t="s">
        <v>891</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990</v>
      </c>
      <c r="E155" s="7" t="s">
        <v>892</v>
      </c>
      <c r="F155" s="7" t="s">
        <v>893</v>
      </c>
      <c r="G155" s="7" t="s">
        <v>894</v>
      </c>
      <c r="H155" s="7" t="s">
        <v>895</v>
      </c>
      <c r="I155" s="7" t="s">
        <v>896</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991</v>
      </c>
      <c r="E156" s="7" t="s">
        <v>898</v>
      </c>
      <c r="F156" s="7" t="s">
        <v>899</v>
      </c>
      <c r="G156" s="7" t="s">
        <v>900</v>
      </c>
      <c r="H156" s="7" t="s">
        <v>901</v>
      </c>
      <c r="I156" s="7" t="s">
        <v>902</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7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700-000001000000}">
      <formula1>"1,2,3,4,5"</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75"/>
  <sheetViews>
    <sheetView showGridLines="0" workbookViewId="0">
      <pane xSplit="4" ySplit="6" topLeftCell="E7" activePane="bottomRight" state="frozen"/>
      <selection pane="topRight"/>
      <selection pane="bottomLeft"/>
      <selection pane="bottomRight"/>
    </sheetView>
  </sheetViews>
  <sheetFormatPr defaultRowHeight="13.2" x14ac:dyDescent="0.25"/>
  <cols>
    <col min="1" max="1" width="9" customWidth="1"/>
    <col min="2" max="2" width="6" customWidth="1"/>
    <col min="3" max="3" width="16" customWidth="1"/>
    <col min="4" max="4" width="32" customWidth="1"/>
    <col min="5" max="9" width="24" customWidth="1"/>
    <col min="10" max="14" width="13" hidden="1" customWidth="1"/>
    <col min="15" max="15" width="15" customWidth="1"/>
    <col min="16" max="16" width="13" hidden="1" customWidth="1"/>
    <col min="18" max="19" width="13" hidden="1" customWidth="1"/>
    <col min="21" max="21" width="13" hidden="1" customWidth="1"/>
  </cols>
  <sheetData>
    <row r="1" spans="1:19" ht="25.95" customHeight="1" x14ac:dyDescent="0.25">
      <c r="A1" s="20" t="s">
        <v>992</v>
      </c>
      <c r="B1" s="18"/>
      <c r="C1" s="18"/>
      <c r="D1" s="18"/>
      <c r="E1" s="18"/>
      <c r="F1" s="18"/>
      <c r="G1" s="18"/>
      <c r="H1" s="18"/>
      <c r="I1" s="18"/>
      <c r="J1" s="18"/>
      <c r="K1" s="18"/>
      <c r="L1" s="18"/>
      <c r="M1" s="18"/>
      <c r="N1" s="18"/>
    </row>
    <row r="2" spans="1:19" x14ac:dyDescent="0.25">
      <c r="A2" s="25" t="s">
        <v>993</v>
      </c>
      <c r="B2" s="18"/>
      <c r="C2" s="18"/>
      <c r="D2" s="18"/>
      <c r="E2" s="18"/>
      <c r="F2" s="18"/>
      <c r="G2" s="18"/>
      <c r="H2" s="18"/>
      <c r="I2" s="18"/>
      <c r="J2" s="18"/>
      <c r="K2" s="18"/>
      <c r="L2" s="18"/>
      <c r="M2" s="18"/>
      <c r="N2" s="18"/>
    </row>
    <row r="4" spans="1:19" ht="14.4" x14ac:dyDescent="0.3">
      <c r="A4" s="8" t="s">
        <v>65</v>
      </c>
      <c r="B4" s="9" t="s">
        <v>66</v>
      </c>
      <c r="C4" s="25" t="s">
        <v>67</v>
      </c>
      <c r="D4" s="18"/>
      <c r="E4" s="18"/>
      <c r="F4" s="18"/>
      <c r="G4" s="18"/>
      <c r="H4" s="18"/>
    </row>
    <row r="6" spans="1:19" ht="14.4" x14ac:dyDescent="0.25">
      <c r="A6" s="3" t="s">
        <v>68</v>
      </c>
      <c r="B6" s="3" t="s">
        <v>69</v>
      </c>
      <c r="C6" s="3" t="s">
        <v>70</v>
      </c>
      <c r="D6" s="3" t="s">
        <v>71</v>
      </c>
      <c r="E6" s="3" t="s">
        <v>72</v>
      </c>
      <c r="F6" s="3" t="s">
        <v>73</v>
      </c>
      <c r="G6" s="3" t="s">
        <v>74</v>
      </c>
      <c r="H6" s="3" t="s">
        <v>75</v>
      </c>
      <c r="I6" s="3" t="s">
        <v>76</v>
      </c>
      <c r="J6" s="3" t="s">
        <v>77</v>
      </c>
      <c r="K6" s="3" t="s">
        <v>78</v>
      </c>
      <c r="L6" s="3" t="s">
        <v>79</v>
      </c>
      <c r="M6" s="3" t="s">
        <v>80</v>
      </c>
      <c r="N6" s="3" t="s">
        <v>81</v>
      </c>
      <c r="O6" s="3" t="s">
        <v>82</v>
      </c>
      <c r="P6" s="10" t="s">
        <v>45</v>
      </c>
      <c r="R6" t="s">
        <v>45</v>
      </c>
      <c r="S6" t="s">
        <v>83</v>
      </c>
    </row>
    <row r="7" spans="1:19" ht="34.049999999999997" customHeight="1" x14ac:dyDescent="0.25">
      <c r="A7" s="5" t="s">
        <v>66</v>
      </c>
      <c r="B7" s="5" t="s">
        <v>84</v>
      </c>
      <c r="C7" s="7" t="s">
        <v>85</v>
      </c>
      <c r="D7" s="7" t="s">
        <v>994</v>
      </c>
      <c r="E7" s="7" t="s">
        <v>995</v>
      </c>
      <c r="F7" s="7" t="s">
        <v>996</v>
      </c>
      <c r="G7" s="7" t="s">
        <v>997</v>
      </c>
      <c r="H7" s="7" t="s">
        <v>998</v>
      </c>
      <c r="I7" s="7" t="s">
        <v>999</v>
      </c>
      <c r="J7" s="11" t="s">
        <v>34</v>
      </c>
      <c r="K7" s="11" t="s">
        <v>36</v>
      </c>
      <c r="L7" s="11" t="s">
        <v>38</v>
      </c>
      <c r="M7" s="11" t="s">
        <v>40</v>
      </c>
      <c r="N7" s="11" t="s">
        <v>42</v>
      </c>
      <c r="O7" s="9"/>
      <c r="P7" t="str">
        <f t="shared" ref="P7:P38" si="0">IF(O7="","",INDEX(J7:N7,1,O7))</f>
        <v/>
      </c>
      <c r="R7" t="s">
        <v>28</v>
      </c>
      <c r="S7">
        <f>$D$160+0.0000008</f>
        <v>7.9999999999999996E-7</v>
      </c>
    </row>
    <row r="8" spans="1:19" ht="34.049999999999997" customHeight="1" x14ac:dyDescent="0.25">
      <c r="A8" s="5" t="s">
        <v>66</v>
      </c>
      <c r="B8" s="5" t="s">
        <v>92</v>
      </c>
      <c r="C8" s="7" t="s">
        <v>820</v>
      </c>
      <c r="D8" s="7" t="s">
        <v>1000</v>
      </c>
      <c r="E8" s="7" t="s">
        <v>1001</v>
      </c>
      <c r="F8" s="7" t="s">
        <v>1002</v>
      </c>
      <c r="G8" s="7" t="s">
        <v>1003</v>
      </c>
      <c r="H8" s="7" t="s">
        <v>1004</v>
      </c>
      <c r="I8" s="7" t="s">
        <v>1005</v>
      </c>
      <c r="J8" s="11" t="s">
        <v>28</v>
      </c>
      <c r="K8" s="11" t="s">
        <v>30</v>
      </c>
      <c r="L8" s="11" t="s">
        <v>32</v>
      </c>
      <c r="M8" s="11" t="s">
        <v>40</v>
      </c>
      <c r="N8" s="11" t="s">
        <v>42</v>
      </c>
      <c r="O8" s="9"/>
      <c r="P8" t="str">
        <f t="shared" si="0"/>
        <v/>
      </c>
      <c r="R8" t="s">
        <v>30</v>
      </c>
      <c r="S8">
        <f>$D$161+0.0000007</f>
        <v>6.9999999999999997E-7</v>
      </c>
    </row>
    <row r="9" spans="1:19" ht="34.049999999999997" customHeight="1" x14ac:dyDescent="0.25">
      <c r="A9" s="5" t="s">
        <v>66</v>
      </c>
      <c r="B9" s="5" t="s">
        <v>100</v>
      </c>
      <c r="C9" s="7" t="s">
        <v>1006</v>
      </c>
      <c r="D9" s="7" t="s">
        <v>1007</v>
      </c>
      <c r="E9" s="7" t="s">
        <v>1008</v>
      </c>
      <c r="F9" s="7" t="s">
        <v>1009</v>
      </c>
      <c r="G9" s="7" t="s">
        <v>1010</v>
      </c>
      <c r="H9" s="7" t="s">
        <v>1011</v>
      </c>
      <c r="I9" s="7" t="s">
        <v>1012</v>
      </c>
      <c r="J9" s="11" t="s">
        <v>30</v>
      </c>
      <c r="K9" s="11" t="s">
        <v>32</v>
      </c>
      <c r="L9" s="11" t="s">
        <v>34</v>
      </c>
      <c r="M9" s="11" t="s">
        <v>36</v>
      </c>
      <c r="N9" s="11" t="s">
        <v>38</v>
      </c>
      <c r="O9" s="9"/>
      <c r="P9" t="str">
        <f t="shared" si="0"/>
        <v/>
      </c>
      <c r="R9" t="s">
        <v>32</v>
      </c>
      <c r="S9">
        <f>$D$162+0.0000006</f>
        <v>5.9999999999999997E-7</v>
      </c>
    </row>
    <row r="10" spans="1:19" ht="34.049999999999997" customHeight="1" x14ac:dyDescent="0.25">
      <c r="A10" s="5" t="s">
        <v>66</v>
      </c>
      <c r="B10" s="5" t="s">
        <v>108</v>
      </c>
      <c r="C10" s="7" t="s">
        <v>833</v>
      </c>
      <c r="D10" s="7" t="s">
        <v>834</v>
      </c>
      <c r="E10" s="7" t="s">
        <v>1013</v>
      </c>
      <c r="F10" s="7" t="s">
        <v>1014</v>
      </c>
      <c r="G10" s="7" t="s">
        <v>1015</v>
      </c>
      <c r="H10" s="7" t="s">
        <v>1016</v>
      </c>
      <c r="I10" s="7" t="s">
        <v>1017</v>
      </c>
      <c r="J10" s="11" t="s">
        <v>28</v>
      </c>
      <c r="K10" s="11" t="s">
        <v>36</v>
      </c>
      <c r="L10" s="11" t="s">
        <v>38</v>
      </c>
      <c r="M10" s="11" t="s">
        <v>40</v>
      </c>
      <c r="N10" s="11" t="s">
        <v>42</v>
      </c>
      <c r="O10" s="9"/>
      <c r="P10" t="str">
        <f t="shared" si="0"/>
        <v/>
      </c>
      <c r="R10" t="s">
        <v>34</v>
      </c>
      <c r="S10">
        <f>$D$163+0.0000005</f>
        <v>4.9999999999999998E-7</v>
      </c>
    </row>
    <row r="11" spans="1:19" ht="34.049999999999997" customHeight="1" x14ac:dyDescent="0.25">
      <c r="A11" s="5" t="s">
        <v>66</v>
      </c>
      <c r="B11" s="5" t="s">
        <v>116</v>
      </c>
      <c r="C11" s="7" t="s">
        <v>1018</v>
      </c>
      <c r="D11" s="7" t="s">
        <v>841</v>
      </c>
      <c r="E11" s="7" t="s">
        <v>1019</v>
      </c>
      <c r="F11" s="7" t="s">
        <v>1020</v>
      </c>
      <c r="G11" s="7" t="s">
        <v>1021</v>
      </c>
      <c r="H11" s="7" t="s">
        <v>1022</v>
      </c>
      <c r="I11" s="7" t="s">
        <v>1023</v>
      </c>
      <c r="J11" s="11" t="s">
        <v>28</v>
      </c>
      <c r="K11" s="11" t="s">
        <v>30</v>
      </c>
      <c r="L11" s="11" t="s">
        <v>32</v>
      </c>
      <c r="M11" s="11" t="s">
        <v>34</v>
      </c>
      <c r="N11" s="11" t="s">
        <v>42</v>
      </c>
      <c r="O11" s="9"/>
      <c r="P11" t="str">
        <f t="shared" si="0"/>
        <v/>
      </c>
      <c r="R11" t="s">
        <v>36</v>
      </c>
      <c r="S11">
        <f>$D$164+0.0000004</f>
        <v>3.9999999999999998E-7</v>
      </c>
    </row>
    <row r="12" spans="1:19" ht="34.049999999999997" customHeight="1" x14ac:dyDescent="0.25">
      <c r="A12" s="5" t="s">
        <v>66</v>
      </c>
      <c r="B12" s="5" t="s">
        <v>124</v>
      </c>
      <c r="C12" s="7" t="s">
        <v>560</v>
      </c>
      <c r="D12" s="7" t="s">
        <v>847</v>
      </c>
      <c r="E12" s="7" t="s">
        <v>1024</v>
      </c>
      <c r="F12" s="7" t="s">
        <v>1025</v>
      </c>
      <c r="G12" s="7" t="s">
        <v>1026</v>
      </c>
      <c r="H12" s="7" t="s">
        <v>1027</v>
      </c>
      <c r="I12" s="7" t="s">
        <v>1028</v>
      </c>
      <c r="J12" s="11" t="s">
        <v>32</v>
      </c>
      <c r="K12" s="11" t="s">
        <v>34</v>
      </c>
      <c r="L12" s="11" t="s">
        <v>36</v>
      </c>
      <c r="M12" s="11" t="s">
        <v>38</v>
      </c>
      <c r="N12" s="11" t="s">
        <v>40</v>
      </c>
      <c r="O12" s="9"/>
      <c r="P12" t="str">
        <f t="shared" si="0"/>
        <v/>
      </c>
      <c r="R12" t="s">
        <v>38</v>
      </c>
      <c r="S12">
        <f>$D$165+0.0000003</f>
        <v>2.9999999999999999E-7</v>
      </c>
    </row>
    <row r="13" spans="1:19" ht="34.049999999999997" customHeight="1" x14ac:dyDescent="0.25">
      <c r="A13" s="5" t="s">
        <v>66</v>
      </c>
      <c r="B13" s="5" t="s">
        <v>132</v>
      </c>
      <c r="C13" s="7" t="s">
        <v>396</v>
      </c>
      <c r="D13" s="7" t="s">
        <v>397</v>
      </c>
      <c r="E13" s="7" t="s">
        <v>1029</v>
      </c>
      <c r="F13" s="7" t="s">
        <v>1030</v>
      </c>
      <c r="G13" s="7" t="s">
        <v>1031</v>
      </c>
      <c r="H13" s="7" t="s">
        <v>1032</v>
      </c>
      <c r="I13" s="7" t="s">
        <v>1033</v>
      </c>
      <c r="J13" s="11" t="s">
        <v>28</v>
      </c>
      <c r="K13" s="11" t="s">
        <v>30</v>
      </c>
      <c r="L13" s="11" t="s">
        <v>38</v>
      </c>
      <c r="M13" s="11" t="s">
        <v>40</v>
      </c>
      <c r="N13" s="11" t="s">
        <v>42</v>
      </c>
      <c r="O13" s="9"/>
      <c r="P13" t="str">
        <f t="shared" si="0"/>
        <v/>
      </c>
      <c r="R13" t="s">
        <v>40</v>
      </c>
      <c r="S13">
        <f>$D$166+0.0000002</f>
        <v>1.9999999999999999E-7</v>
      </c>
    </row>
    <row r="14" spans="1:19" ht="34.049999999999997" customHeight="1" x14ac:dyDescent="0.25">
      <c r="A14" s="5" t="s">
        <v>66</v>
      </c>
      <c r="B14" s="5" t="s">
        <v>140</v>
      </c>
      <c r="C14" s="7" t="s">
        <v>858</v>
      </c>
      <c r="D14" s="7" t="s">
        <v>859</v>
      </c>
      <c r="E14" s="7" t="s">
        <v>1034</v>
      </c>
      <c r="F14" s="7" t="s">
        <v>1035</v>
      </c>
      <c r="G14" s="7" t="s">
        <v>1036</v>
      </c>
      <c r="H14" s="7" t="s">
        <v>1037</v>
      </c>
      <c r="I14" s="7" t="s">
        <v>1038</v>
      </c>
      <c r="J14" s="11" t="s">
        <v>28</v>
      </c>
      <c r="K14" s="11" t="s">
        <v>30</v>
      </c>
      <c r="L14" s="11" t="s">
        <v>32</v>
      </c>
      <c r="M14" s="11" t="s">
        <v>34</v>
      </c>
      <c r="N14" s="11" t="s">
        <v>36</v>
      </c>
      <c r="O14" s="9"/>
      <c r="P14" t="str">
        <f t="shared" si="0"/>
        <v/>
      </c>
      <c r="R14" t="s">
        <v>42</v>
      </c>
      <c r="S14">
        <f>$D$167+0.0000001</f>
        <v>9.9999999999999995E-8</v>
      </c>
    </row>
    <row r="15" spans="1:19" ht="34.049999999999997" customHeight="1" x14ac:dyDescent="0.25">
      <c r="A15" s="5" t="s">
        <v>66</v>
      </c>
      <c r="B15" s="5" t="s">
        <v>148</v>
      </c>
      <c r="C15" s="7" t="s">
        <v>149</v>
      </c>
      <c r="D15" s="7" t="s">
        <v>1039</v>
      </c>
      <c r="E15" s="7" t="s">
        <v>1040</v>
      </c>
      <c r="F15" s="7" t="s">
        <v>1041</v>
      </c>
      <c r="G15" s="7" t="s">
        <v>1042</v>
      </c>
      <c r="H15" s="7" t="s">
        <v>1043</v>
      </c>
      <c r="I15" s="7" t="s">
        <v>1044</v>
      </c>
      <c r="J15" s="11" t="s">
        <v>34</v>
      </c>
      <c r="K15" s="11" t="s">
        <v>36</v>
      </c>
      <c r="L15" s="11" t="s">
        <v>38</v>
      </c>
      <c r="M15" s="11" t="s">
        <v>40</v>
      </c>
      <c r="N15" s="11" t="s">
        <v>42</v>
      </c>
      <c r="O15" s="9"/>
      <c r="P15" t="str">
        <f t="shared" si="0"/>
        <v/>
      </c>
    </row>
    <row r="16" spans="1:19" ht="34.049999999999997" customHeight="1" x14ac:dyDescent="0.25">
      <c r="A16" s="5" t="s">
        <v>66</v>
      </c>
      <c r="B16" s="5" t="s">
        <v>156</v>
      </c>
      <c r="C16" s="7" t="s">
        <v>157</v>
      </c>
      <c r="D16" s="7" t="s">
        <v>1045</v>
      </c>
      <c r="E16" s="7" t="s">
        <v>1046</v>
      </c>
      <c r="F16" s="7" t="s">
        <v>1047</v>
      </c>
      <c r="G16" s="7" t="s">
        <v>1048</v>
      </c>
      <c r="H16" s="7" t="s">
        <v>1049</v>
      </c>
      <c r="I16" s="7" t="s">
        <v>1050</v>
      </c>
      <c r="J16" s="11" t="s">
        <v>28</v>
      </c>
      <c r="K16" s="11" t="s">
        <v>30</v>
      </c>
      <c r="L16" s="11" t="s">
        <v>32</v>
      </c>
      <c r="M16" s="11" t="s">
        <v>40</v>
      </c>
      <c r="N16" s="11" t="s">
        <v>42</v>
      </c>
      <c r="O16" s="9"/>
      <c r="P16" t="str">
        <f t="shared" si="0"/>
        <v/>
      </c>
    </row>
    <row r="17" spans="1:16" ht="34.049999999999997" customHeight="1" x14ac:dyDescent="0.25">
      <c r="A17" s="5" t="s">
        <v>66</v>
      </c>
      <c r="B17" s="5" t="s">
        <v>164</v>
      </c>
      <c r="C17" s="7" t="s">
        <v>165</v>
      </c>
      <c r="D17" s="7" t="s">
        <v>1051</v>
      </c>
      <c r="E17" s="7" t="s">
        <v>1052</v>
      </c>
      <c r="F17" s="7" t="s">
        <v>1053</v>
      </c>
      <c r="G17" s="7" t="s">
        <v>1054</v>
      </c>
      <c r="H17" s="7" t="s">
        <v>1055</v>
      </c>
      <c r="I17" s="7" t="s">
        <v>1056</v>
      </c>
      <c r="J17" s="11" t="s">
        <v>30</v>
      </c>
      <c r="K17" s="11" t="s">
        <v>32</v>
      </c>
      <c r="L17" s="11" t="s">
        <v>34</v>
      </c>
      <c r="M17" s="11" t="s">
        <v>36</v>
      </c>
      <c r="N17" s="11" t="s">
        <v>38</v>
      </c>
      <c r="O17" s="9"/>
      <c r="P17" t="str">
        <f t="shared" si="0"/>
        <v/>
      </c>
    </row>
    <row r="18" spans="1:16" ht="34.049999999999997" customHeight="1" x14ac:dyDescent="0.25">
      <c r="A18" s="5" t="s">
        <v>66</v>
      </c>
      <c r="B18" s="5" t="s">
        <v>172</v>
      </c>
      <c r="C18" s="7" t="s">
        <v>173</v>
      </c>
      <c r="D18" s="7" t="s">
        <v>1057</v>
      </c>
      <c r="E18" s="7" t="s">
        <v>1058</v>
      </c>
      <c r="F18" s="7" t="s">
        <v>1059</v>
      </c>
      <c r="G18" s="7" t="s">
        <v>1060</v>
      </c>
      <c r="H18" s="7" t="s">
        <v>1061</v>
      </c>
      <c r="I18" s="7" t="s">
        <v>1062</v>
      </c>
      <c r="J18" s="11" t="s">
        <v>28</v>
      </c>
      <c r="K18" s="11" t="s">
        <v>36</v>
      </c>
      <c r="L18" s="11" t="s">
        <v>38</v>
      </c>
      <c r="M18" s="11" t="s">
        <v>40</v>
      </c>
      <c r="N18" s="11" t="s">
        <v>42</v>
      </c>
      <c r="O18" s="9"/>
      <c r="P18" t="str">
        <f t="shared" si="0"/>
        <v/>
      </c>
    </row>
    <row r="19" spans="1:16" ht="34.049999999999997" customHeight="1" x14ac:dyDescent="0.25">
      <c r="A19" s="5" t="s">
        <v>66</v>
      </c>
      <c r="B19" s="5" t="s">
        <v>180</v>
      </c>
      <c r="C19" s="7" t="s">
        <v>1063</v>
      </c>
      <c r="D19" s="7" t="s">
        <v>1064</v>
      </c>
      <c r="E19" s="7" t="s">
        <v>1065</v>
      </c>
      <c r="F19" s="7" t="s">
        <v>1066</v>
      </c>
      <c r="G19" s="7" t="s">
        <v>1067</v>
      </c>
      <c r="H19" s="7" t="s">
        <v>1068</v>
      </c>
      <c r="I19" s="7" t="s">
        <v>1069</v>
      </c>
      <c r="J19" s="11" t="s">
        <v>28</v>
      </c>
      <c r="K19" s="11" t="s">
        <v>30</v>
      </c>
      <c r="L19" s="11" t="s">
        <v>32</v>
      </c>
      <c r="M19" s="11" t="s">
        <v>34</v>
      </c>
      <c r="N19" s="11" t="s">
        <v>42</v>
      </c>
      <c r="O19" s="9"/>
      <c r="P19" t="str">
        <f t="shared" si="0"/>
        <v/>
      </c>
    </row>
    <row r="20" spans="1:16" ht="34.049999999999997" customHeight="1" x14ac:dyDescent="0.25">
      <c r="A20" s="5" t="s">
        <v>66</v>
      </c>
      <c r="B20" s="5" t="s">
        <v>188</v>
      </c>
      <c r="C20" s="7" t="s">
        <v>189</v>
      </c>
      <c r="D20" s="7" t="s">
        <v>437</v>
      </c>
      <c r="E20" s="7" t="s">
        <v>1070</v>
      </c>
      <c r="F20" s="7" t="s">
        <v>1071</v>
      </c>
      <c r="G20" s="7" t="s">
        <v>1072</v>
      </c>
      <c r="H20" s="7" t="s">
        <v>1073</v>
      </c>
      <c r="I20" s="7" t="s">
        <v>1074</v>
      </c>
      <c r="J20" s="11" t="s">
        <v>32</v>
      </c>
      <c r="K20" s="11" t="s">
        <v>34</v>
      </c>
      <c r="L20" s="11" t="s">
        <v>36</v>
      </c>
      <c r="M20" s="11" t="s">
        <v>38</v>
      </c>
      <c r="N20" s="11" t="s">
        <v>40</v>
      </c>
      <c r="O20" s="9"/>
      <c r="P20" t="str">
        <f t="shared" si="0"/>
        <v/>
      </c>
    </row>
    <row r="21" spans="1:16" ht="34.049999999999997" customHeight="1" x14ac:dyDescent="0.25">
      <c r="A21" s="5" t="s">
        <v>66</v>
      </c>
      <c r="B21" s="5" t="s">
        <v>196</v>
      </c>
      <c r="C21" s="7" t="s">
        <v>197</v>
      </c>
      <c r="D21" s="7" t="s">
        <v>897</v>
      </c>
      <c r="E21" s="7" t="s">
        <v>1075</v>
      </c>
      <c r="F21" s="7" t="s">
        <v>1076</v>
      </c>
      <c r="G21" s="7" t="s">
        <v>1077</v>
      </c>
      <c r="H21" s="7" t="s">
        <v>1078</v>
      </c>
      <c r="I21" s="7" t="s">
        <v>1079</v>
      </c>
      <c r="J21" s="11" t="s">
        <v>28</v>
      </c>
      <c r="K21" s="11" t="s">
        <v>30</v>
      </c>
      <c r="L21" s="11" t="s">
        <v>38</v>
      </c>
      <c r="M21" s="11" t="s">
        <v>40</v>
      </c>
      <c r="N21" s="11" t="s">
        <v>42</v>
      </c>
      <c r="O21" s="9"/>
      <c r="P21" t="str">
        <f t="shared" si="0"/>
        <v/>
      </c>
    </row>
    <row r="22" spans="1:16" ht="34.049999999999997" customHeight="1" x14ac:dyDescent="0.25">
      <c r="A22" s="5" t="s">
        <v>204</v>
      </c>
      <c r="B22" s="5" t="s">
        <v>84</v>
      </c>
      <c r="C22" s="7" t="s">
        <v>85</v>
      </c>
      <c r="D22" s="7" t="s">
        <v>903</v>
      </c>
      <c r="E22" s="7" t="s">
        <v>995</v>
      </c>
      <c r="F22" s="7" t="s">
        <v>996</v>
      </c>
      <c r="G22" s="7" t="s">
        <v>997</v>
      </c>
      <c r="H22" s="7" t="s">
        <v>998</v>
      </c>
      <c r="I22" s="7" t="s">
        <v>999</v>
      </c>
      <c r="J22" s="11" t="s">
        <v>34</v>
      </c>
      <c r="K22" s="11" t="s">
        <v>36</v>
      </c>
      <c r="L22" s="11" t="s">
        <v>38</v>
      </c>
      <c r="M22" s="11" t="s">
        <v>40</v>
      </c>
      <c r="N22" s="11" t="s">
        <v>42</v>
      </c>
      <c r="O22" s="9"/>
      <c r="P22" t="str">
        <f t="shared" si="0"/>
        <v/>
      </c>
    </row>
    <row r="23" spans="1:16" ht="34.049999999999997" customHeight="1" x14ac:dyDescent="0.25">
      <c r="A23" s="5" t="s">
        <v>204</v>
      </c>
      <c r="B23" s="5" t="s">
        <v>92</v>
      </c>
      <c r="C23" s="7" t="s">
        <v>820</v>
      </c>
      <c r="D23" s="7" t="s">
        <v>904</v>
      </c>
      <c r="E23" s="7" t="s">
        <v>1001</v>
      </c>
      <c r="F23" s="7" t="s">
        <v>1002</v>
      </c>
      <c r="G23" s="7" t="s">
        <v>1003</v>
      </c>
      <c r="H23" s="7" t="s">
        <v>1004</v>
      </c>
      <c r="I23" s="7" t="s">
        <v>1005</v>
      </c>
      <c r="J23" s="11" t="s">
        <v>28</v>
      </c>
      <c r="K23" s="11" t="s">
        <v>30</v>
      </c>
      <c r="L23" s="11" t="s">
        <v>32</v>
      </c>
      <c r="M23" s="11" t="s">
        <v>40</v>
      </c>
      <c r="N23" s="11" t="s">
        <v>42</v>
      </c>
      <c r="O23" s="9"/>
      <c r="P23" t="str">
        <f t="shared" si="0"/>
        <v/>
      </c>
    </row>
    <row r="24" spans="1:16" ht="34.049999999999997" customHeight="1" x14ac:dyDescent="0.25">
      <c r="A24" s="5" t="s">
        <v>204</v>
      </c>
      <c r="B24" s="5" t="s">
        <v>100</v>
      </c>
      <c r="C24" s="7" t="s">
        <v>1006</v>
      </c>
      <c r="D24" s="7" t="s">
        <v>1080</v>
      </c>
      <c r="E24" s="7" t="s">
        <v>1008</v>
      </c>
      <c r="F24" s="7" t="s">
        <v>1009</v>
      </c>
      <c r="G24" s="7" t="s">
        <v>1010</v>
      </c>
      <c r="H24" s="7" t="s">
        <v>1011</v>
      </c>
      <c r="I24" s="7" t="s">
        <v>1012</v>
      </c>
      <c r="J24" s="11" t="s">
        <v>30</v>
      </c>
      <c r="K24" s="11" t="s">
        <v>32</v>
      </c>
      <c r="L24" s="11" t="s">
        <v>34</v>
      </c>
      <c r="M24" s="11" t="s">
        <v>36</v>
      </c>
      <c r="N24" s="11" t="s">
        <v>38</v>
      </c>
      <c r="O24" s="9"/>
      <c r="P24" t="str">
        <f t="shared" si="0"/>
        <v/>
      </c>
    </row>
    <row r="25" spans="1:16" ht="34.049999999999997" customHeight="1" x14ac:dyDescent="0.25">
      <c r="A25" s="5" t="s">
        <v>204</v>
      </c>
      <c r="B25" s="5" t="s">
        <v>108</v>
      </c>
      <c r="C25" s="7" t="s">
        <v>833</v>
      </c>
      <c r="D25" s="7" t="s">
        <v>906</v>
      </c>
      <c r="E25" s="7" t="s">
        <v>1013</v>
      </c>
      <c r="F25" s="7" t="s">
        <v>1014</v>
      </c>
      <c r="G25" s="7" t="s">
        <v>1015</v>
      </c>
      <c r="H25" s="7" t="s">
        <v>1016</v>
      </c>
      <c r="I25" s="7" t="s">
        <v>1017</v>
      </c>
      <c r="J25" s="11" t="s">
        <v>28</v>
      </c>
      <c r="K25" s="11" t="s">
        <v>36</v>
      </c>
      <c r="L25" s="11" t="s">
        <v>38</v>
      </c>
      <c r="M25" s="11" t="s">
        <v>40</v>
      </c>
      <c r="N25" s="11" t="s">
        <v>42</v>
      </c>
      <c r="O25" s="9"/>
      <c r="P25" t="str">
        <f t="shared" si="0"/>
        <v/>
      </c>
    </row>
    <row r="26" spans="1:16" ht="34.049999999999997" customHeight="1" x14ac:dyDescent="0.25">
      <c r="A26" s="5" t="s">
        <v>204</v>
      </c>
      <c r="B26" s="5" t="s">
        <v>116</v>
      </c>
      <c r="C26" s="7" t="s">
        <v>1018</v>
      </c>
      <c r="D26" s="7" t="s">
        <v>1081</v>
      </c>
      <c r="E26" s="7" t="s">
        <v>1019</v>
      </c>
      <c r="F26" s="7" t="s">
        <v>1020</v>
      </c>
      <c r="G26" s="7" t="s">
        <v>1021</v>
      </c>
      <c r="H26" s="7" t="s">
        <v>1022</v>
      </c>
      <c r="I26" s="7" t="s">
        <v>1023</v>
      </c>
      <c r="J26" s="11" t="s">
        <v>28</v>
      </c>
      <c r="K26" s="11" t="s">
        <v>30</v>
      </c>
      <c r="L26" s="11" t="s">
        <v>32</v>
      </c>
      <c r="M26" s="11" t="s">
        <v>34</v>
      </c>
      <c r="N26" s="11" t="s">
        <v>42</v>
      </c>
      <c r="O26" s="9"/>
      <c r="P26" t="str">
        <f t="shared" si="0"/>
        <v/>
      </c>
    </row>
    <row r="27" spans="1:16" ht="34.049999999999997" customHeight="1" x14ac:dyDescent="0.25">
      <c r="A27" s="5" t="s">
        <v>204</v>
      </c>
      <c r="B27" s="5" t="s">
        <v>124</v>
      </c>
      <c r="C27" s="7" t="s">
        <v>560</v>
      </c>
      <c r="D27" s="7" t="s">
        <v>908</v>
      </c>
      <c r="E27" s="7" t="s">
        <v>1024</v>
      </c>
      <c r="F27" s="7" t="s">
        <v>1025</v>
      </c>
      <c r="G27" s="7" t="s">
        <v>1026</v>
      </c>
      <c r="H27" s="7" t="s">
        <v>1027</v>
      </c>
      <c r="I27" s="7" t="s">
        <v>1028</v>
      </c>
      <c r="J27" s="11" t="s">
        <v>32</v>
      </c>
      <c r="K27" s="11" t="s">
        <v>34</v>
      </c>
      <c r="L27" s="11" t="s">
        <v>36</v>
      </c>
      <c r="M27" s="11" t="s">
        <v>38</v>
      </c>
      <c r="N27" s="11" t="s">
        <v>40</v>
      </c>
      <c r="O27" s="9"/>
      <c r="P27" t="str">
        <f t="shared" si="0"/>
        <v/>
      </c>
    </row>
    <row r="28" spans="1:16" ht="34.049999999999997" customHeight="1" x14ac:dyDescent="0.25">
      <c r="A28" s="5" t="s">
        <v>204</v>
      </c>
      <c r="B28" s="5" t="s">
        <v>132</v>
      </c>
      <c r="C28" s="7" t="s">
        <v>396</v>
      </c>
      <c r="D28" s="7" t="s">
        <v>452</v>
      </c>
      <c r="E28" s="7" t="s">
        <v>1029</v>
      </c>
      <c r="F28" s="7" t="s">
        <v>1030</v>
      </c>
      <c r="G28" s="7" t="s">
        <v>1031</v>
      </c>
      <c r="H28" s="7" t="s">
        <v>1032</v>
      </c>
      <c r="I28" s="7" t="s">
        <v>1033</v>
      </c>
      <c r="J28" s="11" t="s">
        <v>28</v>
      </c>
      <c r="K28" s="11" t="s">
        <v>30</v>
      </c>
      <c r="L28" s="11" t="s">
        <v>38</v>
      </c>
      <c r="M28" s="11" t="s">
        <v>40</v>
      </c>
      <c r="N28" s="11" t="s">
        <v>42</v>
      </c>
      <c r="O28" s="9"/>
      <c r="P28" t="str">
        <f t="shared" si="0"/>
        <v/>
      </c>
    </row>
    <row r="29" spans="1:16" ht="34.049999999999997" customHeight="1" x14ac:dyDescent="0.25">
      <c r="A29" s="5" t="s">
        <v>204</v>
      </c>
      <c r="B29" s="5" t="s">
        <v>140</v>
      </c>
      <c r="C29" s="7" t="s">
        <v>858</v>
      </c>
      <c r="D29" s="7" t="s">
        <v>212</v>
      </c>
      <c r="E29" s="7" t="s">
        <v>1034</v>
      </c>
      <c r="F29" s="7" t="s">
        <v>1035</v>
      </c>
      <c r="G29" s="7" t="s">
        <v>1036</v>
      </c>
      <c r="H29" s="7" t="s">
        <v>1037</v>
      </c>
      <c r="I29" s="7" t="s">
        <v>1038</v>
      </c>
      <c r="J29" s="11" t="s">
        <v>28</v>
      </c>
      <c r="K29" s="11" t="s">
        <v>30</v>
      </c>
      <c r="L29" s="11" t="s">
        <v>32</v>
      </c>
      <c r="M29" s="11" t="s">
        <v>34</v>
      </c>
      <c r="N29" s="11" t="s">
        <v>36</v>
      </c>
      <c r="O29" s="9"/>
      <c r="P29" t="str">
        <f t="shared" si="0"/>
        <v/>
      </c>
    </row>
    <row r="30" spans="1:16" ht="34.049999999999997" customHeight="1" x14ac:dyDescent="0.25">
      <c r="A30" s="5" t="s">
        <v>204</v>
      </c>
      <c r="B30" s="5" t="s">
        <v>148</v>
      </c>
      <c r="C30" s="7" t="s">
        <v>149</v>
      </c>
      <c r="D30" s="7" t="s">
        <v>909</v>
      </c>
      <c r="E30" s="7" t="s">
        <v>1040</v>
      </c>
      <c r="F30" s="7" t="s">
        <v>1041</v>
      </c>
      <c r="G30" s="7" t="s">
        <v>1042</v>
      </c>
      <c r="H30" s="7" t="s">
        <v>1043</v>
      </c>
      <c r="I30" s="7" t="s">
        <v>1044</v>
      </c>
      <c r="J30" s="11" t="s">
        <v>34</v>
      </c>
      <c r="K30" s="11" t="s">
        <v>36</v>
      </c>
      <c r="L30" s="11" t="s">
        <v>38</v>
      </c>
      <c r="M30" s="11" t="s">
        <v>40</v>
      </c>
      <c r="N30" s="11" t="s">
        <v>42</v>
      </c>
      <c r="O30" s="9"/>
      <c r="P30" t="str">
        <f t="shared" si="0"/>
        <v/>
      </c>
    </row>
    <row r="31" spans="1:16" ht="34.049999999999997" customHeight="1" x14ac:dyDescent="0.25">
      <c r="A31" s="5" t="s">
        <v>204</v>
      </c>
      <c r="B31" s="5" t="s">
        <v>156</v>
      </c>
      <c r="C31" s="7" t="s">
        <v>157</v>
      </c>
      <c r="D31" s="7" t="s">
        <v>454</v>
      </c>
      <c r="E31" s="7" t="s">
        <v>1046</v>
      </c>
      <c r="F31" s="7" t="s">
        <v>1047</v>
      </c>
      <c r="G31" s="7" t="s">
        <v>1048</v>
      </c>
      <c r="H31" s="7" t="s">
        <v>1049</v>
      </c>
      <c r="I31" s="7" t="s">
        <v>1050</v>
      </c>
      <c r="J31" s="11" t="s">
        <v>28</v>
      </c>
      <c r="K31" s="11" t="s">
        <v>30</v>
      </c>
      <c r="L31" s="11" t="s">
        <v>32</v>
      </c>
      <c r="M31" s="11" t="s">
        <v>40</v>
      </c>
      <c r="N31" s="11" t="s">
        <v>42</v>
      </c>
      <c r="O31" s="9"/>
      <c r="P31" t="str">
        <f t="shared" si="0"/>
        <v/>
      </c>
    </row>
    <row r="32" spans="1:16" ht="34.049999999999997" customHeight="1" x14ac:dyDescent="0.25">
      <c r="A32" s="5" t="s">
        <v>204</v>
      </c>
      <c r="B32" s="5" t="s">
        <v>164</v>
      </c>
      <c r="C32" s="7" t="s">
        <v>165</v>
      </c>
      <c r="D32" s="7" t="s">
        <v>1082</v>
      </c>
      <c r="E32" s="7" t="s">
        <v>1052</v>
      </c>
      <c r="F32" s="7" t="s">
        <v>1053</v>
      </c>
      <c r="G32" s="7" t="s">
        <v>1054</v>
      </c>
      <c r="H32" s="7" t="s">
        <v>1055</v>
      </c>
      <c r="I32" s="7" t="s">
        <v>1056</v>
      </c>
      <c r="J32" s="11" t="s">
        <v>30</v>
      </c>
      <c r="K32" s="11" t="s">
        <v>32</v>
      </c>
      <c r="L32" s="11" t="s">
        <v>34</v>
      </c>
      <c r="M32" s="11" t="s">
        <v>36</v>
      </c>
      <c r="N32" s="11" t="s">
        <v>38</v>
      </c>
      <c r="O32" s="9"/>
      <c r="P32" t="str">
        <f t="shared" si="0"/>
        <v/>
      </c>
    </row>
    <row r="33" spans="1:16" ht="34.049999999999997" customHeight="1" x14ac:dyDescent="0.25">
      <c r="A33" s="5" t="s">
        <v>204</v>
      </c>
      <c r="B33" s="5" t="s">
        <v>172</v>
      </c>
      <c r="C33" s="7" t="s">
        <v>173</v>
      </c>
      <c r="D33" s="7" t="s">
        <v>1083</v>
      </c>
      <c r="E33" s="7" t="s">
        <v>1058</v>
      </c>
      <c r="F33" s="7" t="s">
        <v>1059</v>
      </c>
      <c r="G33" s="7" t="s">
        <v>1060</v>
      </c>
      <c r="H33" s="7" t="s">
        <v>1061</v>
      </c>
      <c r="I33" s="7" t="s">
        <v>1062</v>
      </c>
      <c r="J33" s="11" t="s">
        <v>28</v>
      </c>
      <c r="K33" s="11" t="s">
        <v>36</v>
      </c>
      <c r="L33" s="11" t="s">
        <v>38</v>
      </c>
      <c r="M33" s="11" t="s">
        <v>40</v>
      </c>
      <c r="N33" s="11" t="s">
        <v>42</v>
      </c>
      <c r="O33" s="9"/>
      <c r="P33" t="str">
        <f t="shared" si="0"/>
        <v/>
      </c>
    </row>
    <row r="34" spans="1:16" ht="34.049999999999997" customHeight="1" x14ac:dyDescent="0.25">
      <c r="A34" s="5" t="s">
        <v>204</v>
      </c>
      <c r="B34" s="5" t="s">
        <v>180</v>
      </c>
      <c r="C34" s="7" t="s">
        <v>1063</v>
      </c>
      <c r="D34" s="7" t="s">
        <v>1084</v>
      </c>
      <c r="E34" s="7" t="s">
        <v>1065</v>
      </c>
      <c r="F34" s="7" t="s">
        <v>1066</v>
      </c>
      <c r="G34" s="7" t="s">
        <v>1067</v>
      </c>
      <c r="H34" s="7" t="s">
        <v>1068</v>
      </c>
      <c r="I34" s="7" t="s">
        <v>1069</v>
      </c>
      <c r="J34" s="11" t="s">
        <v>28</v>
      </c>
      <c r="K34" s="11" t="s">
        <v>30</v>
      </c>
      <c r="L34" s="11" t="s">
        <v>32</v>
      </c>
      <c r="M34" s="11" t="s">
        <v>34</v>
      </c>
      <c r="N34" s="11" t="s">
        <v>42</v>
      </c>
      <c r="O34" s="9"/>
      <c r="P34" t="str">
        <f t="shared" si="0"/>
        <v/>
      </c>
    </row>
    <row r="35" spans="1:16" ht="34.049999999999997" customHeight="1" x14ac:dyDescent="0.25">
      <c r="A35" s="5" t="s">
        <v>204</v>
      </c>
      <c r="B35" s="5" t="s">
        <v>188</v>
      </c>
      <c r="C35" s="7" t="s">
        <v>189</v>
      </c>
      <c r="D35" s="7" t="s">
        <v>457</v>
      </c>
      <c r="E35" s="7" t="s">
        <v>1070</v>
      </c>
      <c r="F35" s="7" t="s">
        <v>1071</v>
      </c>
      <c r="G35" s="7" t="s">
        <v>1072</v>
      </c>
      <c r="H35" s="7" t="s">
        <v>1073</v>
      </c>
      <c r="I35" s="7" t="s">
        <v>1074</v>
      </c>
      <c r="J35" s="11" t="s">
        <v>32</v>
      </c>
      <c r="K35" s="11" t="s">
        <v>34</v>
      </c>
      <c r="L35" s="11" t="s">
        <v>36</v>
      </c>
      <c r="M35" s="11" t="s">
        <v>38</v>
      </c>
      <c r="N35" s="11" t="s">
        <v>40</v>
      </c>
      <c r="O35" s="9"/>
      <c r="P35" t="str">
        <f t="shared" si="0"/>
        <v/>
      </c>
    </row>
    <row r="36" spans="1:16" ht="34.049999999999997" customHeight="1" x14ac:dyDescent="0.25">
      <c r="A36" s="5" t="s">
        <v>204</v>
      </c>
      <c r="B36" s="5" t="s">
        <v>196</v>
      </c>
      <c r="C36" s="7" t="s">
        <v>197</v>
      </c>
      <c r="D36" s="7" t="s">
        <v>913</v>
      </c>
      <c r="E36" s="7" t="s">
        <v>1075</v>
      </c>
      <c r="F36" s="7" t="s">
        <v>1076</v>
      </c>
      <c r="G36" s="7" t="s">
        <v>1077</v>
      </c>
      <c r="H36" s="7" t="s">
        <v>1078</v>
      </c>
      <c r="I36" s="7" t="s">
        <v>1079</v>
      </c>
      <c r="J36" s="11" t="s">
        <v>28</v>
      </c>
      <c r="K36" s="11" t="s">
        <v>30</v>
      </c>
      <c r="L36" s="11" t="s">
        <v>38</v>
      </c>
      <c r="M36" s="11" t="s">
        <v>40</v>
      </c>
      <c r="N36" s="11" t="s">
        <v>42</v>
      </c>
      <c r="O36" s="9"/>
      <c r="P36" t="str">
        <f t="shared" si="0"/>
        <v/>
      </c>
    </row>
    <row r="37" spans="1:16" ht="34.049999999999997" customHeight="1" x14ac:dyDescent="0.25">
      <c r="A37" s="5" t="s">
        <v>220</v>
      </c>
      <c r="B37" s="5" t="s">
        <v>84</v>
      </c>
      <c r="C37" s="7" t="s">
        <v>85</v>
      </c>
      <c r="D37" s="7" t="s">
        <v>751</v>
      </c>
      <c r="E37" s="7" t="s">
        <v>995</v>
      </c>
      <c r="F37" s="7" t="s">
        <v>996</v>
      </c>
      <c r="G37" s="7" t="s">
        <v>997</v>
      </c>
      <c r="H37" s="7" t="s">
        <v>998</v>
      </c>
      <c r="I37" s="7" t="s">
        <v>999</v>
      </c>
      <c r="J37" s="11" t="s">
        <v>34</v>
      </c>
      <c r="K37" s="11" t="s">
        <v>36</v>
      </c>
      <c r="L37" s="11" t="s">
        <v>38</v>
      </c>
      <c r="M37" s="11" t="s">
        <v>40</v>
      </c>
      <c r="N37" s="11" t="s">
        <v>42</v>
      </c>
      <c r="O37" s="9"/>
      <c r="P37" t="str">
        <f t="shared" si="0"/>
        <v/>
      </c>
    </row>
    <row r="38" spans="1:16" ht="34.049999999999997" customHeight="1" x14ac:dyDescent="0.25">
      <c r="A38" s="5" t="s">
        <v>220</v>
      </c>
      <c r="B38" s="5" t="s">
        <v>92</v>
      </c>
      <c r="C38" s="7" t="s">
        <v>820</v>
      </c>
      <c r="D38" s="7" t="s">
        <v>914</v>
      </c>
      <c r="E38" s="7" t="s">
        <v>1001</v>
      </c>
      <c r="F38" s="7" t="s">
        <v>1002</v>
      </c>
      <c r="G38" s="7" t="s">
        <v>1003</v>
      </c>
      <c r="H38" s="7" t="s">
        <v>1004</v>
      </c>
      <c r="I38" s="7" t="s">
        <v>1005</v>
      </c>
      <c r="J38" s="11" t="s">
        <v>28</v>
      </c>
      <c r="K38" s="11" t="s">
        <v>30</v>
      </c>
      <c r="L38" s="11" t="s">
        <v>32</v>
      </c>
      <c r="M38" s="11" t="s">
        <v>40</v>
      </c>
      <c r="N38" s="11" t="s">
        <v>42</v>
      </c>
      <c r="O38" s="9"/>
      <c r="P38" t="str">
        <f t="shared" si="0"/>
        <v/>
      </c>
    </row>
    <row r="39" spans="1:16" ht="34.049999999999997" customHeight="1" x14ac:dyDescent="0.25">
      <c r="A39" s="5" t="s">
        <v>220</v>
      </c>
      <c r="B39" s="5" t="s">
        <v>100</v>
      </c>
      <c r="C39" s="7" t="s">
        <v>1006</v>
      </c>
      <c r="D39" s="7" t="s">
        <v>1085</v>
      </c>
      <c r="E39" s="7" t="s">
        <v>1008</v>
      </c>
      <c r="F39" s="7" t="s">
        <v>1009</v>
      </c>
      <c r="G39" s="7" t="s">
        <v>1010</v>
      </c>
      <c r="H39" s="7" t="s">
        <v>1011</v>
      </c>
      <c r="I39" s="7" t="s">
        <v>1012</v>
      </c>
      <c r="J39" s="11" t="s">
        <v>30</v>
      </c>
      <c r="K39" s="11" t="s">
        <v>32</v>
      </c>
      <c r="L39" s="11" t="s">
        <v>34</v>
      </c>
      <c r="M39" s="11" t="s">
        <v>36</v>
      </c>
      <c r="N39" s="11" t="s">
        <v>38</v>
      </c>
      <c r="O39" s="9"/>
      <c r="P39" t="str">
        <f t="shared" ref="P39:P70" si="1">IF(O39="","",INDEX(J39:N39,1,O39))</f>
        <v/>
      </c>
    </row>
    <row r="40" spans="1:16" ht="34.049999999999997" customHeight="1" x14ac:dyDescent="0.25">
      <c r="A40" s="5" t="s">
        <v>220</v>
      </c>
      <c r="B40" s="5" t="s">
        <v>108</v>
      </c>
      <c r="C40" s="7" t="s">
        <v>833</v>
      </c>
      <c r="D40" s="7" t="s">
        <v>916</v>
      </c>
      <c r="E40" s="7" t="s">
        <v>1013</v>
      </c>
      <c r="F40" s="7" t="s">
        <v>1014</v>
      </c>
      <c r="G40" s="7" t="s">
        <v>1015</v>
      </c>
      <c r="H40" s="7" t="s">
        <v>1016</v>
      </c>
      <c r="I40" s="7" t="s">
        <v>1017</v>
      </c>
      <c r="J40" s="11" t="s">
        <v>28</v>
      </c>
      <c r="K40" s="11" t="s">
        <v>36</v>
      </c>
      <c r="L40" s="11" t="s">
        <v>38</v>
      </c>
      <c r="M40" s="11" t="s">
        <v>40</v>
      </c>
      <c r="N40" s="11" t="s">
        <v>42</v>
      </c>
      <c r="O40" s="9"/>
      <c r="P40" t="str">
        <f t="shared" si="1"/>
        <v/>
      </c>
    </row>
    <row r="41" spans="1:16" ht="34.049999999999997" customHeight="1" x14ac:dyDescent="0.25">
      <c r="A41" s="5" t="s">
        <v>220</v>
      </c>
      <c r="B41" s="5" t="s">
        <v>116</v>
      </c>
      <c r="C41" s="7" t="s">
        <v>1018</v>
      </c>
      <c r="D41" s="7" t="s">
        <v>753</v>
      </c>
      <c r="E41" s="7" t="s">
        <v>1019</v>
      </c>
      <c r="F41" s="7" t="s">
        <v>1020</v>
      </c>
      <c r="G41" s="7" t="s">
        <v>1021</v>
      </c>
      <c r="H41" s="7" t="s">
        <v>1022</v>
      </c>
      <c r="I41" s="7" t="s">
        <v>1023</v>
      </c>
      <c r="J41" s="11" t="s">
        <v>28</v>
      </c>
      <c r="K41" s="11" t="s">
        <v>30</v>
      </c>
      <c r="L41" s="11" t="s">
        <v>32</v>
      </c>
      <c r="M41" s="11" t="s">
        <v>34</v>
      </c>
      <c r="N41" s="11" t="s">
        <v>42</v>
      </c>
      <c r="O41" s="9"/>
      <c r="P41" t="str">
        <f t="shared" si="1"/>
        <v/>
      </c>
    </row>
    <row r="42" spans="1:16" ht="34.049999999999997" customHeight="1" x14ac:dyDescent="0.25">
      <c r="A42" s="5" t="s">
        <v>220</v>
      </c>
      <c r="B42" s="5" t="s">
        <v>124</v>
      </c>
      <c r="C42" s="7" t="s">
        <v>560</v>
      </c>
      <c r="D42" s="7" t="s">
        <v>1086</v>
      </c>
      <c r="E42" s="7" t="s">
        <v>1024</v>
      </c>
      <c r="F42" s="7" t="s">
        <v>1025</v>
      </c>
      <c r="G42" s="7" t="s">
        <v>1026</v>
      </c>
      <c r="H42" s="7" t="s">
        <v>1027</v>
      </c>
      <c r="I42" s="7" t="s">
        <v>1028</v>
      </c>
      <c r="J42" s="11" t="s">
        <v>32</v>
      </c>
      <c r="K42" s="11" t="s">
        <v>34</v>
      </c>
      <c r="L42" s="11" t="s">
        <v>36</v>
      </c>
      <c r="M42" s="11" t="s">
        <v>38</v>
      </c>
      <c r="N42" s="11" t="s">
        <v>40</v>
      </c>
      <c r="O42" s="9"/>
      <c r="P42" t="str">
        <f t="shared" si="1"/>
        <v/>
      </c>
    </row>
    <row r="43" spans="1:16" ht="34.049999999999997" customHeight="1" x14ac:dyDescent="0.25">
      <c r="A43" s="5" t="s">
        <v>220</v>
      </c>
      <c r="B43" s="5" t="s">
        <v>132</v>
      </c>
      <c r="C43" s="7" t="s">
        <v>396</v>
      </c>
      <c r="D43" s="7" t="s">
        <v>461</v>
      </c>
      <c r="E43" s="7" t="s">
        <v>1029</v>
      </c>
      <c r="F43" s="7" t="s">
        <v>1030</v>
      </c>
      <c r="G43" s="7" t="s">
        <v>1031</v>
      </c>
      <c r="H43" s="7" t="s">
        <v>1032</v>
      </c>
      <c r="I43" s="7" t="s">
        <v>1033</v>
      </c>
      <c r="J43" s="11" t="s">
        <v>28</v>
      </c>
      <c r="K43" s="11" t="s">
        <v>30</v>
      </c>
      <c r="L43" s="11" t="s">
        <v>38</v>
      </c>
      <c r="M43" s="11" t="s">
        <v>40</v>
      </c>
      <c r="N43" s="11" t="s">
        <v>42</v>
      </c>
      <c r="O43" s="9"/>
      <c r="P43" t="str">
        <f t="shared" si="1"/>
        <v/>
      </c>
    </row>
    <row r="44" spans="1:16" ht="34.049999999999997" customHeight="1" x14ac:dyDescent="0.25">
      <c r="A44" s="5" t="s">
        <v>220</v>
      </c>
      <c r="B44" s="5" t="s">
        <v>140</v>
      </c>
      <c r="C44" s="7" t="s">
        <v>858</v>
      </c>
      <c r="D44" s="7" t="s">
        <v>1087</v>
      </c>
      <c r="E44" s="7" t="s">
        <v>1034</v>
      </c>
      <c r="F44" s="7" t="s">
        <v>1035</v>
      </c>
      <c r="G44" s="7" t="s">
        <v>1036</v>
      </c>
      <c r="H44" s="7" t="s">
        <v>1037</v>
      </c>
      <c r="I44" s="7" t="s">
        <v>1038</v>
      </c>
      <c r="J44" s="11" t="s">
        <v>28</v>
      </c>
      <c r="K44" s="11" t="s">
        <v>30</v>
      </c>
      <c r="L44" s="11" t="s">
        <v>32</v>
      </c>
      <c r="M44" s="11" t="s">
        <v>34</v>
      </c>
      <c r="N44" s="11" t="s">
        <v>36</v>
      </c>
      <c r="O44" s="9"/>
      <c r="P44" t="str">
        <f t="shared" si="1"/>
        <v/>
      </c>
    </row>
    <row r="45" spans="1:16" ht="34.049999999999997" customHeight="1" x14ac:dyDescent="0.25">
      <c r="A45" s="5" t="s">
        <v>220</v>
      </c>
      <c r="B45" s="5" t="s">
        <v>148</v>
      </c>
      <c r="C45" s="7" t="s">
        <v>149</v>
      </c>
      <c r="D45" s="7" t="s">
        <v>918</v>
      </c>
      <c r="E45" s="7" t="s">
        <v>1040</v>
      </c>
      <c r="F45" s="7" t="s">
        <v>1041</v>
      </c>
      <c r="G45" s="7" t="s">
        <v>1042</v>
      </c>
      <c r="H45" s="7" t="s">
        <v>1043</v>
      </c>
      <c r="I45" s="7" t="s">
        <v>1044</v>
      </c>
      <c r="J45" s="11" t="s">
        <v>34</v>
      </c>
      <c r="K45" s="11" t="s">
        <v>36</v>
      </c>
      <c r="L45" s="11" t="s">
        <v>38</v>
      </c>
      <c r="M45" s="11" t="s">
        <v>40</v>
      </c>
      <c r="N45" s="11" t="s">
        <v>42</v>
      </c>
      <c r="O45" s="9"/>
      <c r="P45" t="str">
        <f t="shared" si="1"/>
        <v/>
      </c>
    </row>
    <row r="46" spans="1:16" ht="34.049999999999997" customHeight="1" x14ac:dyDescent="0.25">
      <c r="A46" s="5" t="s">
        <v>220</v>
      </c>
      <c r="B46" s="5" t="s">
        <v>156</v>
      </c>
      <c r="C46" s="7" t="s">
        <v>157</v>
      </c>
      <c r="D46" s="7" t="s">
        <v>1088</v>
      </c>
      <c r="E46" s="7" t="s">
        <v>1046</v>
      </c>
      <c r="F46" s="7" t="s">
        <v>1047</v>
      </c>
      <c r="G46" s="7" t="s">
        <v>1048</v>
      </c>
      <c r="H46" s="7" t="s">
        <v>1049</v>
      </c>
      <c r="I46" s="7" t="s">
        <v>1050</v>
      </c>
      <c r="J46" s="11" t="s">
        <v>28</v>
      </c>
      <c r="K46" s="11" t="s">
        <v>30</v>
      </c>
      <c r="L46" s="11" t="s">
        <v>32</v>
      </c>
      <c r="M46" s="11" t="s">
        <v>40</v>
      </c>
      <c r="N46" s="11" t="s">
        <v>42</v>
      </c>
      <c r="O46" s="9"/>
      <c r="P46" t="str">
        <f t="shared" si="1"/>
        <v/>
      </c>
    </row>
    <row r="47" spans="1:16" ht="34.049999999999997" customHeight="1" x14ac:dyDescent="0.25">
      <c r="A47" s="5" t="s">
        <v>220</v>
      </c>
      <c r="B47" s="5" t="s">
        <v>164</v>
      </c>
      <c r="C47" s="7" t="s">
        <v>165</v>
      </c>
      <c r="D47" s="7" t="s">
        <v>1089</v>
      </c>
      <c r="E47" s="7" t="s">
        <v>1052</v>
      </c>
      <c r="F47" s="7" t="s">
        <v>1053</v>
      </c>
      <c r="G47" s="7" t="s">
        <v>1054</v>
      </c>
      <c r="H47" s="7" t="s">
        <v>1055</v>
      </c>
      <c r="I47" s="7" t="s">
        <v>1056</v>
      </c>
      <c r="J47" s="11" t="s">
        <v>30</v>
      </c>
      <c r="K47" s="11" t="s">
        <v>32</v>
      </c>
      <c r="L47" s="11" t="s">
        <v>34</v>
      </c>
      <c r="M47" s="11" t="s">
        <v>36</v>
      </c>
      <c r="N47" s="11" t="s">
        <v>38</v>
      </c>
      <c r="O47" s="9"/>
      <c r="P47" t="str">
        <f t="shared" si="1"/>
        <v/>
      </c>
    </row>
    <row r="48" spans="1:16" ht="34.049999999999997" customHeight="1" x14ac:dyDescent="0.25">
      <c r="A48" s="5" t="s">
        <v>220</v>
      </c>
      <c r="B48" s="5" t="s">
        <v>172</v>
      </c>
      <c r="C48" s="7" t="s">
        <v>173</v>
      </c>
      <c r="D48" s="7" t="s">
        <v>1090</v>
      </c>
      <c r="E48" s="7" t="s">
        <v>1058</v>
      </c>
      <c r="F48" s="7" t="s">
        <v>1059</v>
      </c>
      <c r="G48" s="7" t="s">
        <v>1060</v>
      </c>
      <c r="H48" s="7" t="s">
        <v>1061</v>
      </c>
      <c r="I48" s="7" t="s">
        <v>1062</v>
      </c>
      <c r="J48" s="11" t="s">
        <v>28</v>
      </c>
      <c r="K48" s="11" t="s">
        <v>36</v>
      </c>
      <c r="L48" s="11" t="s">
        <v>38</v>
      </c>
      <c r="M48" s="11" t="s">
        <v>40</v>
      </c>
      <c r="N48" s="11" t="s">
        <v>42</v>
      </c>
      <c r="O48" s="9"/>
      <c r="P48" t="str">
        <f t="shared" si="1"/>
        <v/>
      </c>
    </row>
    <row r="49" spans="1:16" ht="34.049999999999997" customHeight="1" x14ac:dyDescent="0.25">
      <c r="A49" s="5" t="s">
        <v>220</v>
      </c>
      <c r="B49" s="5" t="s">
        <v>180</v>
      </c>
      <c r="C49" s="7" t="s">
        <v>1063</v>
      </c>
      <c r="D49" s="7" t="s">
        <v>1091</v>
      </c>
      <c r="E49" s="7" t="s">
        <v>1065</v>
      </c>
      <c r="F49" s="7" t="s">
        <v>1066</v>
      </c>
      <c r="G49" s="7" t="s">
        <v>1067</v>
      </c>
      <c r="H49" s="7" t="s">
        <v>1068</v>
      </c>
      <c r="I49" s="7" t="s">
        <v>1069</v>
      </c>
      <c r="J49" s="11" t="s">
        <v>28</v>
      </c>
      <c r="K49" s="11" t="s">
        <v>30</v>
      </c>
      <c r="L49" s="11" t="s">
        <v>32</v>
      </c>
      <c r="M49" s="11" t="s">
        <v>34</v>
      </c>
      <c r="N49" s="11" t="s">
        <v>42</v>
      </c>
      <c r="O49" s="9"/>
      <c r="P49" t="str">
        <f t="shared" si="1"/>
        <v/>
      </c>
    </row>
    <row r="50" spans="1:16" ht="34.049999999999997" customHeight="1" x14ac:dyDescent="0.25">
      <c r="A50" s="5" t="s">
        <v>220</v>
      </c>
      <c r="B50" s="5" t="s">
        <v>188</v>
      </c>
      <c r="C50" s="7" t="s">
        <v>189</v>
      </c>
      <c r="D50" s="7" t="s">
        <v>1092</v>
      </c>
      <c r="E50" s="7" t="s">
        <v>1070</v>
      </c>
      <c r="F50" s="7" t="s">
        <v>1071</v>
      </c>
      <c r="G50" s="7" t="s">
        <v>1072</v>
      </c>
      <c r="H50" s="7" t="s">
        <v>1073</v>
      </c>
      <c r="I50" s="7" t="s">
        <v>1074</v>
      </c>
      <c r="J50" s="11" t="s">
        <v>32</v>
      </c>
      <c r="K50" s="11" t="s">
        <v>34</v>
      </c>
      <c r="L50" s="11" t="s">
        <v>36</v>
      </c>
      <c r="M50" s="11" t="s">
        <v>38</v>
      </c>
      <c r="N50" s="11" t="s">
        <v>40</v>
      </c>
      <c r="O50" s="9"/>
      <c r="P50" t="str">
        <f t="shared" si="1"/>
        <v/>
      </c>
    </row>
    <row r="51" spans="1:16" ht="34.049999999999997" customHeight="1" x14ac:dyDescent="0.25">
      <c r="A51" s="5" t="s">
        <v>220</v>
      </c>
      <c r="B51" s="5" t="s">
        <v>196</v>
      </c>
      <c r="C51" s="7" t="s">
        <v>197</v>
      </c>
      <c r="D51" s="7" t="s">
        <v>922</v>
      </c>
      <c r="E51" s="7" t="s">
        <v>1075</v>
      </c>
      <c r="F51" s="7" t="s">
        <v>1076</v>
      </c>
      <c r="G51" s="7" t="s">
        <v>1077</v>
      </c>
      <c r="H51" s="7" t="s">
        <v>1078</v>
      </c>
      <c r="I51" s="7" t="s">
        <v>1079</v>
      </c>
      <c r="J51" s="11" t="s">
        <v>28</v>
      </c>
      <c r="K51" s="11" t="s">
        <v>30</v>
      </c>
      <c r="L51" s="11" t="s">
        <v>38</v>
      </c>
      <c r="M51" s="11" t="s">
        <v>40</v>
      </c>
      <c r="N51" s="11" t="s">
        <v>42</v>
      </c>
      <c r="O51" s="9"/>
      <c r="P51" t="str">
        <f t="shared" si="1"/>
        <v/>
      </c>
    </row>
    <row r="52" spans="1:16" ht="34.049999999999997" customHeight="1" x14ac:dyDescent="0.25">
      <c r="A52" s="5" t="s">
        <v>236</v>
      </c>
      <c r="B52" s="5" t="s">
        <v>84</v>
      </c>
      <c r="C52" s="7" t="s">
        <v>85</v>
      </c>
      <c r="D52" s="7" t="s">
        <v>1093</v>
      </c>
      <c r="E52" s="7" t="s">
        <v>995</v>
      </c>
      <c r="F52" s="7" t="s">
        <v>996</v>
      </c>
      <c r="G52" s="7" t="s">
        <v>997</v>
      </c>
      <c r="H52" s="7" t="s">
        <v>998</v>
      </c>
      <c r="I52" s="7" t="s">
        <v>999</v>
      </c>
      <c r="J52" s="11" t="s">
        <v>34</v>
      </c>
      <c r="K52" s="11" t="s">
        <v>36</v>
      </c>
      <c r="L52" s="11" t="s">
        <v>38</v>
      </c>
      <c r="M52" s="11" t="s">
        <v>40</v>
      </c>
      <c r="N52" s="11" t="s">
        <v>42</v>
      </c>
      <c r="O52" s="9"/>
      <c r="P52" t="str">
        <f t="shared" si="1"/>
        <v/>
      </c>
    </row>
    <row r="53" spans="1:16" ht="34.049999999999997" customHeight="1" x14ac:dyDescent="0.25">
      <c r="A53" s="5" t="s">
        <v>236</v>
      </c>
      <c r="B53" s="5" t="s">
        <v>92</v>
      </c>
      <c r="C53" s="7" t="s">
        <v>820</v>
      </c>
      <c r="D53" s="7" t="s">
        <v>924</v>
      </c>
      <c r="E53" s="7" t="s">
        <v>1001</v>
      </c>
      <c r="F53" s="7" t="s">
        <v>1002</v>
      </c>
      <c r="G53" s="7" t="s">
        <v>1003</v>
      </c>
      <c r="H53" s="7" t="s">
        <v>1004</v>
      </c>
      <c r="I53" s="7" t="s">
        <v>1005</v>
      </c>
      <c r="J53" s="11" t="s">
        <v>28</v>
      </c>
      <c r="K53" s="11" t="s">
        <v>30</v>
      </c>
      <c r="L53" s="11" t="s">
        <v>32</v>
      </c>
      <c r="M53" s="11" t="s">
        <v>40</v>
      </c>
      <c r="N53" s="11" t="s">
        <v>42</v>
      </c>
      <c r="O53" s="9"/>
      <c r="P53" t="str">
        <f t="shared" si="1"/>
        <v/>
      </c>
    </row>
    <row r="54" spans="1:16" ht="34.049999999999997" customHeight="1" x14ac:dyDescent="0.25">
      <c r="A54" s="5" t="s">
        <v>236</v>
      </c>
      <c r="B54" s="5" t="s">
        <v>100</v>
      </c>
      <c r="C54" s="7" t="s">
        <v>1006</v>
      </c>
      <c r="D54" s="7" t="s">
        <v>255</v>
      </c>
      <c r="E54" s="7" t="s">
        <v>1008</v>
      </c>
      <c r="F54" s="7" t="s">
        <v>1009</v>
      </c>
      <c r="G54" s="7" t="s">
        <v>1010</v>
      </c>
      <c r="H54" s="7" t="s">
        <v>1011</v>
      </c>
      <c r="I54" s="7" t="s">
        <v>1012</v>
      </c>
      <c r="J54" s="11" t="s">
        <v>30</v>
      </c>
      <c r="K54" s="11" t="s">
        <v>32</v>
      </c>
      <c r="L54" s="11" t="s">
        <v>34</v>
      </c>
      <c r="M54" s="11" t="s">
        <v>36</v>
      </c>
      <c r="N54" s="11" t="s">
        <v>38</v>
      </c>
      <c r="O54" s="9"/>
      <c r="P54" t="str">
        <f t="shared" si="1"/>
        <v/>
      </c>
    </row>
    <row r="55" spans="1:16" ht="34.049999999999997" customHeight="1" x14ac:dyDescent="0.25">
      <c r="A55" s="5" t="s">
        <v>236</v>
      </c>
      <c r="B55" s="5" t="s">
        <v>108</v>
      </c>
      <c r="C55" s="7" t="s">
        <v>833</v>
      </c>
      <c r="D55" s="7" t="s">
        <v>925</v>
      </c>
      <c r="E55" s="7" t="s">
        <v>1013</v>
      </c>
      <c r="F55" s="7" t="s">
        <v>1014</v>
      </c>
      <c r="G55" s="7" t="s">
        <v>1015</v>
      </c>
      <c r="H55" s="7" t="s">
        <v>1016</v>
      </c>
      <c r="I55" s="7" t="s">
        <v>1017</v>
      </c>
      <c r="J55" s="11" t="s">
        <v>28</v>
      </c>
      <c r="K55" s="11" t="s">
        <v>36</v>
      </c>
      <c r="L55" s="11" t="s">
        <v>38</v>
      </c>
      <c r="M55" s="11" t="s">
        <v>40</v>
      </c>
      <c r="N55" s="11" t="s">
        <v>42</v>
      </c>
      <c r="O55" s="9"/>
      <c r="P55" t="str">
        <f t="shared" si="1"/>
        <v/>
      </c>
    </row>
    <row r="56" spans="1:16" ht="34.049999999999997" customHeight="1" x14ac:dyDescent="0.25">
      <c r="A56" s="5" t="s">
        <v>236</v>
      </c>
      <c r="B56" s="5" t="s">
        <v>116</v>
      </c>
      <c r="C56" s="7" t="s">
        <v>1018</v>
      </c>
      <c r="D56" s="7" t="s">
        <v>926</v>
      </c>
      <c r="E56" s="7" t="s">
        <v>1019</v>
      </c>
      <c r="F56" s="7" t="s">
        <v>1020</v>
      </c>
      <c r="G56" s="7" t="s">
        <v>1021</v>
      </c>
      <c r="H56" s="7" t="s">
        <v>1022</v>
      </c>
      <c r="I56" s="7" t="s">
        <v>1023</v>
      </c>
      <c r="J56" s="11" t="s">
        <v>28</v>
      </c>
      <c r="K56" s="11" t="s">
        <v>30</v>
      </c>
      <c r="L56" s="11" t="s">
        <v>32</v>
      </c>
      <c r="M56" s="11" t="s">
        <v>34</v>
      </c>
      <c r="N56" s="11" t="s">
        <v>42</v>
      </c>
      <c r="O56" s="9"/>
      <c r="P56" t="str">
        <f t="shared" si="1"/>
        <v/>
      </c>
    </row>
    <row r="57" spans="1:16" ht="34.049999999999997" customHeight="1" x14ac:dyDescent="0.25">
      <c r="A57" s="5" t="s">
        <v>236</v>
      </c>
      <c r="B57" s="5" t="s">
        <v>124</v>
      </c>
      <c r="C57" s="7" t="s">
        <v>560</v>
      </c>
      <c r="D57" s="7" t="s">
        <v>927</v>
      </c>
      <c r="E57" s="7" t="s">
        <v>1024</v>
      </c>
      <c r="F57" s="7" t="s">
        <v>1025</v>
      </c>
      <c r="G57" s="7" t="s">
        <v>1026</v>
      </c>
      <c r="H57" s="7" t="s">
        <v>1027</v>
      </c>
      <c r="I57" s="7" t="s">
        <v>1028</v>
      </c>
      <c r="J57" s="11" t="s">
        <v>32</v>
      </c>
      <c r="K57" s="11" t="s">
        <v>34</v>
      </c>
      <c r="L57" s="11" t="s">
        <v>36</v>
      </c>
      <c r="M57" s="11" t="s">
        <v>38</v>
      </c>
      <c r="N57" s="11" t="s">
        <v>40</v>
      </c>
      <c r="O57" s="9"/>
      <c r="P57" t="str">
        <f t="shared" si="1"/>
        <v/>
      </c>
    </row>
    <row r="58" spans="1:16" ht="34.049999999999997" customHeight="1" x14ac:dyDescent="0.25">
      <c r="A58" s="5" t="s">
        <v>236</v>
      </c>
      <c r="B58" s="5" t="s">
        <v>132</v>
      </c>
      <c r="C58" s="7" t="s">
        <v>396</v>
      </c>
      <c r="D58" s="7" t="s">
        <v>1094</v>
      </c>
      <c r="E58" s="7" t="s">
        <v>1029</v>
      </c>
      <c r="F58" s="7" t="s">
        <v>1030</v>
      </c>
      <c r="G58" s="7" t="s">
        <v>1031</v>
      </c>
      <c r="H58" s="7" t="s">
        <v>1032</v>
      </c>
      <c r="I58" s="7" t="s">
        <v>1033</v>
      </c>
      <c r="J58" s="11" t="s">
        <v>28</v>
      </c>
      <c r="K58" s="11" t="s">
        <v>30</v>
      </c>
      <c r="L58" s="11" t="s">
        <v>38</v>
      </c>
      <c r="M58" s="11" t="s">
        <v>40</v>
      </c>
      <c r="N58" s="11" t="s">
        <v>42</v>
      </c>
      <c r="O58" s="9"/>
      <c r="P58" t="str">
        <f t="shared" si="1"/>
        <v/>
      </c>
    </row>
    <row r="59" spans="1:16" ht="34.049999999999997" customHeight="1" x14ac:dyDescent="0.25">
      <c r="A59" s="5" t="s">
        <v>236</v>
      </c>
      <c r="B59" s="5" t="s">
        <v>140</v>
      </c>
      <c r="C59" s="7" t="s">
        <v>858</v>
      </c>
      <c r="D59" s="7" t="s">
        <v>929</v>
      </c>
      <c r="E59" s="7" t="s">
        <v>1034</v>
      </c>
      <c r="F59" s="7" t="s">
        <v>1035</v>
      </c>
      <c r="G59" s="7" t="s">
        <v>1036</v>
      </c>
      <c r="H59" s="7" t="s">
        <v>1037</v>
      </c>
      <c r="I59" s="7" t="s">
        <v>1038</v>
      </c>
      <c r="J59" s="11" t="s">
        <v>28</v>
      </c>
      <c r="K59" s="11" t="s">
        <v>30</v>
      </c>
      <c r="L59" s="11" t="s">
        <v>32</v>
      </c>
      <c r="M59" s="11" t="s">
        <v>34</v>
      </c>
      <c r="N59" s="11" t="s">
        <v>36</v>
      </c>
      <c r="O59" s="9"/>
      <c r="P59" t="str">
        <f t="shared" si="1"/>
        <v/>
      </c>
    </row>
    <row r="60" spans="1:16" ht="34.049999999999997" customHeight="1" x14ac:dyDescent="0.25">
      <c r="A60" s="5" t="s">
        <v>236</v>
      </c>
      <c r="B60" s="5" t="s">
        <v>148</v>
      </c>
      <c r="C60" s="7" t="s">
        <v>149</v>
      </c>
      <c r="D60" s="7" t="s">
        <v>1095</v>
      </c>
      <c r="E60" s="7" t="s">
        <v>1040</v>
      </c>
      <c r="F60" s="7" t="s">
        <v>1041</v>
      </c>
      <c r="G60" s="7" t="s">
        <v>1042</v>
      </c>
      <c r="H60" s="7" t="s">
        <v>1043</v>
      </c>
      <c r="I60" s="7" t="s">
        <v>1044</v>
      </c>
      <c r="J60" s="11" t="s">
        <v>34</v>
      </c>
      <c r="K60" s="11" t="s">
        <v>36</v>
      </c>
      <c r="L60" s="11" t="s">
        <v>38</v>
      </c>
      <c r="M60" s="11" t="s">
        <v>40</v>
      </c>
      <c r="N60" s="11" t="s">
        <v>42</v>
      </c>
      <c r="O60" s="9"/>
      <c r="P60" t="str">
        <f t="shared" si="1"/>
        <v/>
      </c>
    </row>
    <row r="61" spans="1:16" ht="34.049999999999997" customHeight="1" x14ac:dyDescent="0.25">
      <c r="A61" s="5" t="s">
        <v>236</v>
      </c>
      <c r="B61" s="5" t="s">
        <v>156</v>
      </c>
      <c r="C61" s="7" t="s">
        <v>157</v>
      </c>
      <c r="D61" s="7" t="s">
        <v>1096</v>
      </c>
      <c r="E61" s="7" t="s">
        <v>1046</v>
      </c>
      <c r="F61" s="7" t="s">
        <v>1047</v>
      </c>
      <c r="G61" s="7" t="s">
        <v>1048</v>
      </c>
      <c r="H61" s="7" t="s">
        <v>1049</v>
      </c>
      <c r="I61" s="7" t="s">
        <v>1050</v>
      </c>
      <c r="J61" s="11" t="s">
        <v>28</v>
      </c>
      <c r="K61" s="11" t="s">
        <v>30</v>
      </c>
      <c r="L61" s="11" t="s">
        <v>32</v>
      </c>
      <c r="M61" s="11" t="s">
        <v>40</v>
      </c>
      <c r="N61" s="11" t="s">
        <v>42</v>
      </c>
      <c r="O61" s="9"/>
      <c r="P61" t="str">
        <f t="shared" si="1"/>
        <v/>
      </c>
    </row>
    <row r="62" spans="1:16" ht="34.049999999999997" customHeight="1" x14ac:dyDescent="0.25">
      <c r="A62" s="5" t="s">
        <v>236</v>
      </c>
      <c r="B62" s="5" t="s">
        <v>164</v>
      </c>
      <c r="C62" s="7" t="s">
        <v>165</v>
      </c>
      <c r="D62" s="7" t="s">
        <v>1097</v>
      </c>
      <c r="E62" s="7" t="s">
        <v>1052</v>
      </c>
      <c r="F62" s="7" t="s">
        <v>1053</v>
      </c>
      <c r="G62" s="7" t="s">
        <v>1054</v>
      </c>
      <c r="H62" s="7" t="s">
        <v>1055</v>
      </c>
      <c r="I62" s="7" t="s">
        <v>1056</v>
      </c>
      <c r="J62" s="11" t="s">
        <v>30</v>
      </c>
      <c r="K62" s="11" t="s">
        <v>32</v>
      </c>
      <c r="L62" s="11" t="s">
        <v>34</v>
      </c>
      <c r="M62" s="11" t="s">
        <v>36</v>
      </c>
      <c r="N62" s="11" t="s">
        <v>38</v>
      </c>
      <c r="O62" s="9"/>
      <c r="P62" t="str">
        <f t="shared" si="1"/>
        <v/>
      </c>
    </row>
    <row r="63" spans="1:16" ht="34.049999999999997" customHeight="1" x14ac:dyDescent="0.25">
      <c r="A63" s="5" t="s">
        <v>236</v>
      </c>
      <c r="B63" s="5" t="s">
        <v>172</v>
      </c>
      <c r="C63" s="7" t="s">
        <v>173</v>
      </c>
      <c r="D63" s="7" t="s">
        <v>1098</v>
      </c>
      <c r="E63" s="7" t="s">
        <v>1058</v>
      </c>
      <c r="F63" s="7" t="s">
        <v>1059</v>
      </c>
      <c r="G63" s="7" t="s">
        <v>1060</v>
      </c>
      <c r="H63" s="7" t="s">
        <v>1061</v>
      </c>
      <c r="I63" s="7" t="s">
        <v>1062</v>
      </c>
      <c r="J63" s="11" t="s">
        <v>28</v>
      </c>
      <c r="K63" s="11" t="s">
        <v>36</v>
      </c>
      <c r="L63" s="11" t="s">
        <v>38</v>
      </c>
      <c r="M63" s="11" t="s">
        <v>40</v>
      </c>
      <c r="N63" s="11" t="s">
        <v>42</v>
      </c>
      <c r="O63" s="9"/>
      <c r="P63" t="str">
        <f t="shared" si="1"/>
        <v/>
      </c>
    </row>
    <row r="64" spans="1:16" ht="34.049999999999997" customHeight="1" x14ac:dyDescent="0.25">
      <c r="A64" s="5" t="s">
        <v>236</v>
      </c>
      <c r="B64" s="5" t="s">
        <v>180</v>
      </c>
      <c r="C64" s="7" t="s">
        <v>1063</v>
      </c>
      <c r="D64" s="7" t="s">
        <v>1099</v>
      </c>
      <c r="E64" s="7" t="s">
        <v>1065</v>
      </c>
      <c r="F64" s="7" t="s">
        <v>1066</v>
      </c>
      <c r="G64" s="7" t="s">
        <v>1067</v>
      </c>
      <c r="H64" s="7" t="s">
        <v>1068</v>
      </c>
      <c r="I64" s="7" t="s">
        <v>1069</v>
      </c>
      <c r="J64" s="11" t="s">
        <v>28</v>
      </c>
      <c r="K64" s="11" t="s">
        <v>30</v>
      </c>
      <c r="L64" s="11" t="s">
        <v>32</v>
      </c>
      <c r="M64" s="11" t="s">
        <v>34</v>
      </c>
      <c r="N64" s="11" t="s">
        <v>42</v>
      </c>
      <c r="O64" s="9"/>
      <c r="P64" t="str">
        <f t="shared" si="1"/>
        <v/>
      </c>
    </row>
    <row r="65" spans="1:16" ht="34.049999999999997" customHeight="1" x14ac:dyDescent="0.25">
      <c r="A65" s="5" t="s">
        <v>236</v>
      </c>
      <c r="B65" s="5" t="s">
        <v>188</v>
      </c>
      <c r="C65" s="7" t="s">
        <v>189</v>
      </c>
      <c r="D65" s="7" t="s">
        <v>1100</v>
      </c>
      <c r="E65" s="7" t="s">
        <v>1070</v>
      </c>
      <c r="F65" s="7" t="s">
        <v>1071</v>
      </c>
      <c r="G65" s="7" t="s">
        <v>1072</v>
      </c>
      <c r="H65" s="7" t="s">
        <v>1073</v>
      </c>
      <c r="I65" s="7" t="s">
        <v>1074</v>
      </c>
      <c r="J65" s="11" t="s">
        <v>32</v>
      </c>
      <c r="K65" s="11" t="s">
        <v>34</v>
      </c>
      <c r="L65" s="11" t="s">
        <v>36</v>
      </c>
      <c r="M65" s="11" t="s">
        <v>38</v>
      </c>
      <c r="N65" s="11" t="s">
        <v>40</v>
      </c>
      <c r="O65" s="9"/>
      <c r="P65" t="str">
        <f t="shared" si="1"/>
        <v/>
      </c>
    </row>
    <row r="66" spans="1:16" ht="34.049999999999997" customHeight="1" x14ac:dyDescent="0.25">
      <c r="A66" s="5" t="s">
        <v>236</v>
      </c>
      <c r="B66" s="5" t="s">
        <v>196</v>
      </c>
      <c r="C66" s="7" t="s">
        <v>197</v>
      </c>
      <c r="D66" s="7" t="s">
        <v>1101</v>
      </c>
      <c r="E66" s="7" t="s">
        <v>1075</v>
      </c>
      <c r="F66" s="7" t="s">
        <v>1076</v>
      </c>
      <c r="G66" s="7" t="s">
        <v>1077</v>
      </c>
      <c r="H66" s="7" t="s">
        <v>1078</v>
      </c>
      <c r="I66" s="7" t="s">
        <v>1079</v>
      </c>
      <c r="J66" s="11" t="s">
        <v>28</v>
      </c>
      <c r="K66" s="11" t="s">
        <v>30</v>
      </c>
      <c r="L66" s="11" t="s">
        <v>38</v>
      </c>
      <c r="M66" s="11" t="s">
        <v>40</v>
      </c>
      <c r="N66" s="11" t="s">
        <v>42</v>
      </c>
      <c r="O66" s="9"/>
      <c r="P66" t="str">
        <f t="shared" si="1"/>
        <v/>
      </c>
    </row>
    <row r="67" spans="1:16" ht="34.049999999999997" customHeight="1" x14ac:dyDescent="0.25">
      <c r="A67" s="5" t="s">
        <v>252</v>
      </c>
      <c r="B67" s="5" t="s">
        <v>84</v>
      </c>
      <c r="C67" s="7" t="s">
        <v>85</v>
      </c>
      <c r="D67" s="7" t="s">
        <v>935</v>
      </c>
      <c r="E67" s="7" t="s">
        <v>995</v>
      </c>
      <c r="F67" s="7" t="s">
        <v>996</v>
      </c>
      <c r="G67" s="7" t="s">
        <v>997</v>
      </c>
      <c r="H67" s="7" t="s">
        <v>998</v>
      </c>
      <c r="I67" s="7" t="s">
        <v>999</v>
      </c>
      <c r="J67" s="11" t="s">
        <v>34</v>
      </c>
      <c r="K67" s="11" t="s">
        <v>36</v>
      </c>
      <c r="L67" s="11" t="s">
        <v>38</v>
      </c>
      <c r="M67" s="11" t="s">
        <v>40</v>
      </c>
      <c r="N67" s="11" t="s">
        <v>42</v>
      </c>
      <c r="O67" s="9"/>
      <c r="P67" t="str">
        <f t="shared" si="1"/>
        <v/>
      </c>
    </row>
    <row r="68" spans="1:16" ht="34.049999999999997" customHeight="1" x14ac:dyDescent="0.25">
      <c r="A68" s="5" t="s">
        <v>252</v>
      </c>
      <c r="B68" s="5" t="s">
        <v>92</v>
      </c>
      <c r="C68" s="7" t="s">
        <v>820</v>
      </c>
      <c r="D68" s="7" t="s">
        <v>936</v>
      </c>
      <c r="E68" s="7" t="s">
        <v>1001</v>
      </c>
      <c r="F68" s="7" t="s">
        <v>1002</v>
      </c>
      <c r="G68" s="7" t="s">
        <v>1003</v>
      </c>
      <c r="H68" s="7" t="s">
        <v>1004</v>
      </c>
      <c r="I68" s="7" t="s">
        <v>1005</v>
      </c>
      <c r="J68" s="11" t="s">
        <v>28</v>
      </c>
      <c r="K68" s="11" t="s">
        <v>30</v>
      </c>
      <c r="L68" s="11" t="s">
        <v>32</v>
      </c>
      <c r="M68" s="11" t="s">
        <v>40</v>
      </c>
      <c r="N68" s="11" t="s">
        <v>42</v>
      </c>
      <c r="O68" s="9"/>
      <c r="P68" t="str">
        <f t="shared" si="1"/>
        <v/>
      </c>
    </row>
    <row r="69" spans="1:16" ht="34.049999999999997" customHeight="1" x14ac:dyDescent="0.25">
      <c r="A69" s="5" t="s">
        <v>252</v>
      </c>
      <c r="B69" s="5" t="s">
        <v>100</v>
      </c>
      <c r="C69" s="7" t="s">
        <v>1006</v>
      </c>
      <c r="D69" s="7" t="s">
        <v>1102</v>
      </c>
      <c r="E69" s="7" t="s">
        <v>1008</v>
      </c>
      <c r="F69" s="7" t="s">
        <v>1009</v>
      </c>
      <c r="G69" s="7" t="s">
        <v>1010</v>
      </c>
      <c r="H69" s="7" t="s">
        <v>1011</v>
      </c>
      <c r="I69" s="7" t="s">
        <v>1012</v>
      </c>
      <c r="J69" s="11" t="s">
        <v>30</v>
      </c>
      <c r="K69" s="11" t="s">
        <v>32</v>
      </c>
      <c r="L69" s="11" t="s">
        <v>34</v>
      </c>
      <c r="M69" s="11" t="s">
        <v>36</v>
      </c>
      <c r="N69" s="11" t="s">
        <v>38</v>
      </c>
      <c r="O69" s="9"/>
      <c r="P69" t="str">
        <f t="shared" si="1"/>
        <v/>
      </c>
    </row>
    <row r="70" spans="1:16" ht="34.049999999999997" customHeight="1" x14ac:dyDescent="0.25">
      <c r="A70" s="5" t="s">
        <v>252</v>
      </c>
      <c r="B70" s="5" t="s">
        <v>108</v>
      </c>
      <c r="C70" s="7" t="s">
        <v>833</v>
      </c>
      <c r="D70" s="7" t="s">
        <v>937</v>
      </c>
      <c r="E70" s="7" t="s">
        <v>1013</v>
      </c>
      <c r="F70" s="7" t="s">
        <v>1014</v>
      </c>
      <c r="G70" s="7" t="s">
        <v>1015</v>
      </c>
      <c r="H70" s="7" t="s">
        <v>1016</v>
      </c>
      <c r="I70" s="7" t="s">
        <v>1017</v>
      </c>
      <c r="J70" s="11" t="s">
        <v>28</v>
      </c>
      <c r="K70" s="11" t="s">
        <v>36</v>
      </c>
      <c r="L70" s="11" t="s">
        <v>38</v>
      </c>
      <c r="M70" s="11" t="s">
        <v>40</v>
      </c>
      <c r="N70" s="11" t="s">
        <v>42</v>
      </c>
      <c r="O70" s="9"/>
      <c r="P70" t="str">
        <f t="shared" si="1"/>
        <v/>
      </c>
    </row>
    <row r="71" spans="1:16" ht="34.049999999999997" customHeight="1" x14ac:dyDescent="0.25">
      <c r="A71" s="5" t="s">
        <v>252</v>
      </c>
      <c r="B71" s="5" t="s">
        <v>116</v>
      </c>
      <c r="C71" s="7" t="s">
        <v>1018</v>
      </c>
      <c r="D71" s="7" t="s">
        <v>938</v>
      </c>
      <c r="E71" s="7" t="s">
        <v>1019</v>
      </c>
      <c r="F71" s="7" t="s">
        <v>1020</v>
      </c>
      <c r="G71" s="7" t="s">
        <v>1021</v>
      </c>
      <c r="H71" s="7" t="s">
        <v>1022</v>
      </c>
      <c r="I71" s="7" t="s">
        <v>1023</v>
      </c>
      <c r="J71" s="11" t="s">
        <v>28</v>
      </c>
      <c r="K71" s="11" t="s">
        <v>30</v>
      </c>
      <c r="L71" s="11" t="s">
        <v>32</v>
      </c>
      <c r="M71" s="11" t="s">
        <v>34</v>
      </c>
      <c r="N71" s="11" t="s">
        <v>42</v>
      </c>
      <c r="O71" s="9"/>
      <c r="P71" t="str">
        <f t="shared" ref="P71:P102" si="2">IF(O71="","",INDEX(J71:N71,1,O71))</f>
        <v/>
      </c>
    </row>
    <row r="72" spans="1:16" ht="34.049999999999997" customHeight="1" x14ac:dyDescent="0.25">
      <c r="A72" s="5" t="s">
        <v>252</v>
      </c>
      <c r="B72" s="5" t="s">
        <v>124</v>
      </c>
      <c r="C72" s="7" t="s">
        <v>560</v>
      </c>
      <c r="D72" s="7" t="s">
        <v>634</v>
      </c>
      <c r="E72" s="7" t="s">
        <v>1024</v>
      </c>
      <c r="F72" s="7" t="s">
        <v>1025</v>
      </c>
      <c r="G72" s="7" t="s">
        <v>1026</v>
      </c>
      <c r="H72" s="7" t="s">
        <v>1027</v>
      </c>
      <c r="I72" s="7" t="s">
        <v>1028</v>
      </c>
      <c r="J72" s="11" t="s">
        <v>32</v>
      </c>
      <c r="K72" s="11" t="s">
        <v>34</v>
      </c>
      <c r="L72" s="11" t="s">
        <v>36</v>
      </c>
      <c r="M72" s="11" t="s">
        <v>38</v>
      </c>
      <c r="N72" s="11" t="s">
        <v>40</v>
      </c>
      <c r="O72" s="9"/>
      <c r="P72" t="str">
        <f t="shared" si="2"/>
        <v/>
      </c>
    </row>
    <row r="73" spans="1:16" ht="34.049999999999997" customHeight="1" x14ac:dyDescent="0.25">
      <c r="A73" s="5" t="s">
        <v>252</v>
      </c>
      <c r="B73" s="5" t="s">
        <v>132</v>
      </c>
      <c r="C73" s="7" t="s">
        <v>396</v>
      </c>
      <c r="D73" s="7" t="s">
        <v>1103</v>
      </c>
      <c r="E73" s="7" t="s">
        <v>1029</v>
      </c>
      <c r="F73" s="7" t="s">
        <v>1030</v>
      </c>
      <c r="G73" s="7" t="s">
        <v>1031</v>
      </c>
      <c r="H73" s="7" t="s">
        <v>1032</v>
      </c>
      <c r="I73" s="7" t="s">
        <v>1033</v>
      </c>
      <c r="J73" s="11" t="s">
        <v>28</v>
      </c>
      <c r="K73" s="11" t="s">
        <v>30</v>
      </c>
      <c r="L73" s="11" t="s">
        <v>38</v>
      </c>
      <c r="M73" s="11" t="s">
        <v>40</v>
      </c>
      <c r="N73" s="11" t="s">
        <v>42</v>
      </c>
      <c r="O73" s="9"/>
      <c r="P73" t="str">
        <f t="shared" si="2"/>
        <v/>
      </c>
    </row>
    <row r="74" spans="1:16" ht="34.049999999999997" customHeight="1" x14ac:dyDescent="0.25">
      <c r="A74" s="5" t="s">
        <v>252</v>
      </c>
      <c r="B74" s="5" t="s">
        <v>140</v>
      </c>
      <c r="C74" s="7" t="s">
        <v>858</v>
      </c>
      <c r="D74" s="7" t="s">
        <v>1104</v>
      </c>
      <c r="E74" s="7" t="s">
        <v>1034</v>
      </c>
      <c r="F74" s="7" t="s">
        <v>1035</v>
      </c>
      <c r="G74" s="7" t="s">
        <v>1036</v>
      </c>
      <c r="H74" s="7" t="s">
        <v>1037</v>
      </c>
      <c r="I74" s="7" t="s">
        <v>1038</v>
      </c>
      <c r="J74" s="11" t="s">
        <v>28</v>
      </c>
      <c r="K74" s="11" t="s">
        <v>30</v>
      </c>
      <c r="L74" s="11" t="s">
        <v>32</v>
      </c>
      <c r="M74" s="11" t="s">
        <v>34</v>
      </c>
      <c r="N74" s="11" t="s">
        <v>36</v>
      </c>
      <c r="O74" s="9"/>
      <c r="P74" t="str">
        <f t="shared" si="2"/>
        <v/>
      </c>
    </row>
    <row r="75" spans="1:16" ht="34.049999999999997" customHeight="1" x14ac:dyDescent="0.25">
      <c r="A75" s="5" t="s">
        <v>252</v>
      </c>
      <c r="B75" s="5" t="s">
        <v>148</v>
      </c>
      <c r="C75" s="7" t="s">
        <v>149</v>
      </c>
      <c r="D75" s="7" t="s">
        <v>1105</v>
      </c>
      <c r="E75" s="7" t="s">
        <v>1040</v>
      </c>
      <c r="F75" s="7" t="s">
        <v>1041</v>
      </c>
      <c r="G75" s="7" t="s">
        <v>1042</v>
      </c>
      <c r="H75" s="7" t="s">
        <v>1043</v>
      </c>
      <c r="I75" s="7" t="s">
        <v>1044</v>
      </c>
      <c r="J75" s="11" t="s">
        <v>34</v>
      </c>
      <c r="K75" s="11" t="s">
        <v>36</v>
      </c>
      <c r="L75" s="11" t="s">
        <v>38</v>
      </c>
      <c r="M75" s="11" t="s">
        <v>40</v>
      </c>
      <c r="N75" s="11" t="s">
        <v>42</v>
      </c>
      <c r="O75" s="9"/>
      <c r="P75" t="str">
        <f t="shared" si="2"/>
        <v/>
      </c>
    </row>
    <row r="76" spans="1:16" ht="34.049999999999997" customHeight="1" x14ac:dyDescent="0.25">
      <c r="A76" s="5" t="s">
        <v>252</v>
      </c>
      <c r="B76" s="5" t="s">
        <v>156</v>
      </c>
      <c r="C76" s="7" t="s">
        <v>157</v>
      </c>
      <c r="D76" s="7" t="s">
        <v>1106</v>
      </c>
      <c r="E76" s="7" t="s">
        <v>1046</v>
      </c>
      <c r="F76" s="7" t="s">
        <v>1047</v>
      </c>
      <c r="G76" s="7" t="s">
        <v>1048</v>
      </c>
      <c r="H76" s="7" t="s">
        <v>1049</v>
      </c>
      <c r="I76" s="7" t="s">
        <v>1050</v>
      </c>
      <c r="J76" s="11" t="s">
        <v>28</v>
      </c>
      <c r="K76" s="11" t="s">
        <v>30</v>
      </c>
      <c r="L76" s="11" t="s">
        <v>32</v>
      </c>
      <c r="M76" s="11" t="s">
        <v>40</v>
      </c>
      <c r="N76" s="11" t="s">
        <v>42</v>
      </c>
      <c r="O76" s="9"/>
      <c r="P76" t="str">
        <f t="shared" si="2"/>
        <v/>
      </c>
    </row>
    <row r="77" spans="1:16" ht="34.049999999999997" customHeight="1" x14ac:dyDescent="0.25">
      <c r="A77" s="5" t="s">
        <v>252</v>
      </c>
      <c r="B77" s="5" t="s">
        <v>164</v>
      </c>
      <c r="C77" s="7" t="s">
        <v>165</v>
      </c>
      <c r="D77" s="7" t="s">
        <v>1107</v>
      </c>
      <c r="E77" s="7" t="s">
        <v>1052</v>
      </c>
      <c r="F77" s="7" t="s">
        <v>1053</v>
      </c>
      <c r="G77" s="7" t="s">
        <v>1054</v>
      </c>
      <c r="H77" s="7" t="s">
        <v>1055</v>
      </c>
      <c r="I77" s="7" t="s">
        <v>1056</v>
      </c>
      <c r="J77" s="11" t="s">
        <v>30</v>
      </c>
      <c r="K77" s="11" t="s">
        <v>32</v>
      </c>
      <c r="L77" s="11" t="s">
        <v>34</v>
      </c>
      <c r="M77" s="11" t="s">
        <v>36</v>
      </c>
      <c r="N77" s="11" t="s">
        <v>38</v>
      </c>
      <c r="O77" s="9"/>
      <c r="P77" t="str">
        <f t="shared" si="2"/>
        <v/>
      </c>
    </row>
    <row r="78" spans="1:16" ht="34.049999999999997" customHeight="1" x14ac:dyDescent="0.25">
      <c r="A78" s="5" t="s">
        <v>252</v>
      </c>
      <c r="B78" s="5" t="s">
        <v>172</v>
      </c>
      <c r="C78" s="7" t="s">
        <v>173</v>
      </c>
      <c r="D78" s="7" t="s">
        <v>1108</v>
      </c>
      <c r="E78" s="7" t="s">
        <v>1058</v>
      </c>
      <c r="F78" s="7" t="s">
        <v>1059</v>
      </c>
      <c r="G78" s="7" t="s">
        <v>1060</v>
      </c>
      <c r="H78" s="7" t="s">
        <v>1061</v>
      </c>
      <c r="I78" s="7" t="s">
        <v>1062</v>
      </c>
      <c r="J78" s="11" t="s">
        <v>28</v>
      </c>
      <c r="K78" s="11" t="s">
        <v>36</v>
      </c>
      <c r="L78" s="11" t="s">
        <v>38</v>
      </c>
      <c r="M78" s="11" t="s">
        <v>40</v>
      </c>
      <c r="N78" s="11" t="s">
        <v>42</v>
      </c>
      <c r="O78" s="9"/>
      <c r="P78" t="str">
        <f t="shared" si="2"/>
        <v/>
      </c>
    </row>
    <row r="79" spans="1:16" ht="34.049999999999997" customHeight="1" x14ac:dyDescent="0.25">
      <c r="A79" s="5" t="s">
        <v>252</v>
      </c>
      <c r="B79" s="5" t="s">
        <v>180</v>
      </c>
      <c r="C79" s="7" t="s">
        <v>1063</v>
      </c>
      <c r="D79" s="7" t="s">
        <v>1109</v>
      </c>
      <c r="E79" s="7" t="s">
        <v>1065</v>
      </c>
      <c r="F79" s="7" t="s">
        <v>1066</v>
      </c>
      <c r="G79" s="7" t="s">
        <v>1067</v>
      </c>
      <c r="H79" s="7" t="s">
        <v>1068</v>
      </c>
      <c r="I79" s="7" t="s">
        <v>1069</v>
      </c>
      <c r="J79" s="11" t="s">
        <v>28</v>
      </c>
      <c r="K79" s="11" t="s">
        <v>30</v>
      </c>
      <c r="L79" s="11" t="s">
        <v>32</v>
      </c>
      <c r="M79" s="11" t="s">
        <v>34</v>
      </c>
      <c r="N79" s="11" t="s">
        <v>42</v>
      </c>
      <c r="O79" s="9"/>
      <c r="P79" t="str">
        <f t="shared" si="2"/>
        <v/>
      </c>
    </row>
    <row r="80" spans="1:16" ht="34.049999999999997" customHeight="1" x14ac:dyDescent="0.25">
      <c r="A80" s="5" t="s">
        <v>252</v>
      </c>
      <c r="B80" s="5" t="s">
        <v>188</v>
      </c>
      <c r="C80" s="7" t="s">
        <v>189</v>
      </c>
      <c r="D80" s="7" t="s">
        <v>482</v>
      </c>
      <c r="E80" s="7" t="s">
        <v>1070</v>
      </c>
      <c r="F80" s="7" t="s">
        <v>1071</v>
      </c>
      <c r="G80" s="7" t="s">
        <v>1072</v>
      </c>
      <c r="H80" s="7" t="s">
        <v>1073</v>
      </c>
      <c r="I80" s="7" t="s">
        <v>1074</v>
      </c>
      <c r="J80" s="11" t="s">
        <v>32</v>
      </c>
      <c r="K80" s="11" t="s">
        <v>34</v>
      </c>
      <c r="L80" s="11" t="s">
        <v>36</v>
      </c>
      <c r="M80" s="11" t="s">
        <v>38</v>
      </c>
      <c r="N80" s="11" t="s">
        <v>40</v>
      </c>
      <c r="O80" s="9"/>
      <c r="P80" t="str">
        <f t="shared" si="2"/>
        <v/>
      </c>
    </row>
    <row r="81" spans="1:16" ht="34.049999999999997" customHeight="1" x14ac:dyDescent="0.25">
      <c r="A81" s="5" t="s">
        <v>252</v>
      </c>
      <c r="B81" s="5" t="s">
        <v>196</v>
      </c>
      <c r="C81" s="7" t="s">
        <v>197</v>
      </c>
      <c r="D81" s="7" t="s">
        <v>944</v>
      </c>
      <c r="E81" s="7" t="s">
        <v>1075</v>
      </c>
      <c r="F81" s="7" t="s">
        <v>1076</v>
      </c>
      <c r="G81" s="7" t="s">
        <v>1077</v>
      </c>
      <c r="H81" s="7" t="s">
        <v>1078</v>
      </c>
      <c r="I81" s="7" t="s">
        <v>1079</v>
      </c>
      <c r="J81" s="11" t="s">
        <v>28</v>
      </c>
      <c r="K81" s="11" t="s">
        <v>30</v>
      </c>
      <c r="L81" s="11" t="s">
        <v>38</v>
      </c>
      <c r="M81" s="11" t="s">
        <v>40</v>
      </c>
      <c r="N81" s="11" t="s">
        <v>42</v>
      </c>
      <c r="O81" s="9"/>
      <c r="P81" t="str">
        <f t="shared" si="2"/>
        <v/>
      </c>
    </row>
    <row r="82" spans="1:16" ht="34.049999999999997" customHeight="1" x14ac:dyDescent="0.25">
      <c r="A82" s="5" t="s">
        <v>268</v>
      </c>
      <c r="B82" s="5" t="s">
        <v>84</v>
      </c>
      <c r="C82" s="7" t="s">
        <v>85</v>
      </c>
      <c r="D82" s="7" t="s">
        <v>1110</v>
      </c>
      <c r="E82" s="7" t="s">
        <v>995</v>
      </c>
      <c r="F82" s="7" t="s">
        <v>996</v>
      </c>
      <c r="G82" s="7" t="s">
        <v>997</v>
      </c>
      <c r="H82" s="7" t="s">
        <v>998</v>
      </c>
      <c r="I82" s="7" t="s">
        <v>999</v>
      </c>
      <c r="J82" s="11" t="s">
        <v>34</v>
      </c>
      <c r="K82" s="11" t="s">
        <v>36</v>
      </c>
      <c r="L82" s="11" t="s">
        <v>38</v>
      </c>
      <c r="M82" s="11" t="s">
        <v>40</v>
      </c>
      <c r="N82" s="11" t="s">
        <v>42</v>
      </c>
      <c r="O82" s="9"/>
      <c r="P82" t="str">
        <f t="shared" si="2"/>
        <v/>
      </c>
    </row>
    <row r="83" spans="1:16" ht="34.049999999999997" customHeight="1" x14ac:dyDescent="0.25">
      <c r="A83" s="5" t="s">
        <v>268</v>
      </c>
      <c r="B83" s="5" t="s">
        <v>92</v>
      </c>
      <c r="C83" s="7" t="s">
        <v>820</v>
      </c>
      <c r="D83" s="7" t="s">
        <v>945</v>
      </c>
      <c r="E83" s="7" t="s">
        <v>1001</v>
      </c>
      <c r="F83" s="7" t="s">
        <v>1002</v>
      </c>
      <c r="G83" s="7" t="s">
        <v>1003</v>
      </c>
      <c r="H83" s="7" t="s">
        <v>1004</v>
      </c>
      <c r="I83" s="7" t="s">
        <v>1005</v>
      </c>
      <c r="J83" s="11" t="s">
        <v>28</v>
      </c>
      <c r="K83" s="11" t="s">
        <v>30</v>
      </c>
      <c r="L83" s="11" t="s">
        <v>32</v>
      </c>
      <c r="M83" s="11" t="s">
        <v>40</v>
      </c>
      <c r="N83" s="11" t="s">
        <v>42</v>
      </c>
      <c r="O83" s="9"/>
      <c r="P83" t="str">
        <f t="shared" si="2"/>
        <v/>
      </c>
    </row>
    <row r="84" spans="1:16" ht="34.049999999999997" customHeight="1" x14ac:dyDescent="0.25">
      <c r="A84" s="5" t="s">
        <v>268</v>
      </c>
      <c r="B84" s="5" t="s">
        <v>100</v>
      </c>
      <c r="C84" s="7" t="s">
        <v>1006</v>
      </c>
      <c r="D84" s="7" t="s">
        <v>1111</v>
      </c>
      <c r="E84" s="7" t="s">
        <v>1008</v>
      </c>
      <c r="F84" s="7" t="s">
        <v>1009</v>
      </c>
      <c r="G84" s="7" t="s">
        <v>1010</v>
      </c>
      <c r="H84" s="7" t="s">
        <v>1011</v>
      </c>
      <c r="I84" s="7" t="s">
        <v>1012</v>
      </c>
      <c r="J84" s="11" t="s">
        <v>30</v>
      </c>
      <c r="K84" s="11" t="s">
        <v>32</v>
      </c>
      <c r="L84" s="11" t="s">
        <v>34</v>
      </c>
      <c r="M84" s="11" t="s">
        <v>36</v>
      </c>
      <c r="N84" s="11" t="s">
        <v>38</v>
      </c>
      <c r="O84" s="9"/>
      <c r="P84" t="str">
        <f t="shared" si="2"/>
        <v/>
      </c>
    </row>
    <row r="85" spans="1:16" ht="34.049999999999997" customHeight="1" x14ac:dyDescent="0.25">
      <c r="A85" s="5" t="s">
        <v>268</v>
      </c>
      <c r="B85" s="5" t="s">
        <v>108</v>
      </c>
      <c r="C85" s="7" t="s">
        <v>833</v>
      </c>
      <c r="D85" s="7" t="s">
        <v>1112</v>
      </c>
      <c r="E85" s="7" t="s">
        <v>1013</v>
      </c>
      <c r="F85" s="7" t="s">
        <v>1014</v>
      </c>
      <c r="G85" s="7" t="s">
        <v>1015</v>
      </c>
      <c r="H85" s="7" t="s">
        <v>1016</v>
      </c>
      <c r="I85" s="7" t="s">
        <v>1017</v>
      </c>
      <c r="J85" s="11" t="s">
        <v>28</v>
      </c>
      <c r="K85" s="11" t="s">
        <v>36</v>
      </c>
      <c r="L85" s="11" t="s">
        <v>38</v>
      </c>
      <c r="M85" s="11" t="s">
        <v>40</v>
      </c>
      <c r="N85" s="11" t="s">
        <v>42</v>
      </c>
      <c r="O85" s="9"/>
      <c r="P85" t="str">
        <f t="shared" si="2"/>
        <v/>
      </c>
    </row>
    <row r="86" spans="1:16" ht="34.049999999999997" customHeight="1" x14ac:dyDescent="0.25">
      <c r="A86" s="5" t="s">
        <v>268</v>
      </c>
      <c r="B86" s="5" t="s">
        <v>116</v>
      </c>
      <c r="C86" s="7" t="s">
        <v>1018</v>
      </c>
      <c r="D86" s="7" t="s">
        <v>1113</v>
      </c>
      <c r="E86" s="7" t="s">
        <v>1019</v>
      </c>
      <c r="F86" s="7" t="s">
        <v>1020</v>
      </c>
      <c r="G86" s="7" t="s">
        <v>1021</v>
      </c>
      <c r="H86" s="7" t="s">
        <v>1022</v>
      </c>
      <c r="I86" s="7" t="s">
        <v>1023</v>
      </c>
      <c r="J86" s="11" t="s">
        <v>28</v>
      </c>
      <c r="K86" s="11" t="s">
        <v>30</v>
      </c>
      <c r="L86" s="11" t="s">
        <v>32</v>
      </c>
      <c r="M86" s="11" t="s">
        <v>34</v>
      </c>
      <c r="N86" s="11" t="s">
        <v>42</v>
      </c>
      <c r="O86" s="9"/>
      <c r="P86" t="str">
        <f t="shared" si="2"/>
        <v/>
      </c>
    </row>
    <row r="87" spans="1:16" ht="34.049999999999997" customHeight="1" x14ac:dyDescent="0.25">
      <c r="A87" s="5" t="s">
        <v>268</v>
      </c>
      <c r="B87" s="5" t="s">
        <v>124</v>
      </c>
      <c r="C87" s="7" t="s">
        <v>560</v>
      </c>
      <c r="D87" s="7" t="s">
        <v>1114</v>
      </c>
      <c r="E87" s="7" t="s">
        <v>1024</v>
      </c>
      <c r="F87" s="7" t="s">
        <v>1025</v>
      </c>
      <c r="G87" s="7" t="s">
        <v>1026</v>
      </c>
      <c r="H87" s="7" t="s">
        <v>1027</v>
      </c>
      <c r="I87" s="7" t="s">
        <v>1028</v>
      </c>
      <c r="J87" s="11" t="s">
        <v>32</v>
      </c>
      <c r="K87" s="11" t="s">
        <v>34</v>
      </c>
      <c r="L87" s="11" t="s">
        <v>36</v>
      </c>
      <c r="M87" s="11" t="s">
        <v>38</v>
      </c>
      <c r="N87" s="11" t="s">
        <v>40</v>
      </c>
      <c r="O87" s="9"/>
      <c r="P87" t="str">
        <f t="shared" si="2"/>
        <v/>
      </c>
    </row>
    <row r="88" spans="1:16" ht="34.049999999999997" customHeight="1" x14ac:dyDescent="0.25">
      <c r="A88" s="5" t="s">
        <v>268</v>
      </c>
      <c r="B88" s="5" t="s">
        <v>132</v>
      </c>
      <c r="C88" s="7" t="s">
        <v>396</v>
      </c>
      <c r="D88" s="7" t="s">
        <v>1115</v>
      </c>
      <c r="E88" s="7" t="s">
        <v>1029</v>
      </c>
      <c r="F88" s="7" t="s">
        <v>1030</v>
      </c>
      <c r="G88" s="7" t="s">
        <v>1031</v>
      </c>
      <c r="H88" s="7" t="s">
        <v>1032</v>
      </c>
      <c r="I88" s="7" t="s">
        <v>1033</v>
      </c>
      <c r="J88" s="11" t="s">
        <v>28</v>
      </c>
      <c r="K88" s="11" t="s">
        <v>30</v>
      </c>
      <c r="L88" s="11" t="s">
        <v>38</v>
      </c>
      <c r="M88" s="11" t="s">
        <v>40</v>
      </c>
      <c r="N88" s="11" t="s">
        <v>42</v>
      </c>
      <c r="O88" s="9"/>
      <c r="P88" t="str">
        <f t="shared" si="2"/>
        <v/>
      </c>
    </row>
    <row r="89" spans="1:16" ht="34.049999999999997" customHeight="1" x14ac:dyDescent="0.25">
      <c r="A89" s="5" t="s">
        <v>268</v>
      </c>
      <c r="B89" s="5" t="s">
        <v>140</v>
      </c>
      <c r="C89" s="7" t="s">
        <v>858</v>
      </c>
      <c r="D89" s="7" t="s">
        <v>950</v>
      </c>
      <c r="E89" s="7" t="s">
        <v>1034</v>
      </c>
      <c r="F89" s="7" t="s">
        <v>1035</v>
      </c>
      <c r="G89" s="7" t="s">
        <v>1036</v>
      </c>
      <c r="H89" s="7" t="s">
        <v>1037</v>
      </c>
      <c r="I89" s="7" t="s">
        <v>1038</v>
      </c>
      <c r="J89" s="11" t="s">
        <v>28</v>
      </c>
      <c r="K89" s="11" t="s">
        <v>30</v>
      </c>
      <c r="L89" s="11" t="s">
        <v>32</v>
      </c>
      <c r="M89" s="11" t="s">
        <v>34</v>
      </c>
      <c r="N89" s="11" t="s">
        <v>36</v>
      </c>
      <c r="O89" s="9"/>
      <c r="P89" t="str">
        <f t="shared" si="2"/>
        <v/>
      </c>
    </row>
    <row r="90" spans="1:16" ht="34.049999999999997" customHeight="1" x14ac:dyDescent="0.25">
      <c r="A90" s="5" t="s">
        <v>268</v>
      </c>
      <c r="B90" s="5" t="s">
        <v>148</v>
      </c>
      <c r="C90" s="7" t="s">
        <v>149</v>
      </c>
      <c r="D90" s="7" t="s">
        <v>951</v>
      </c>
      <c r="E90" s="7" t="s">
        <v>1040</v>
      </c>
      <c r="F90" s="7" t="s">
        <v>1041</v>
      </c>
      <c r="G90" s="7" t="s">
        <v>1042</v>
      </c>
      <c r="H90" s="7" t="s">
        <v>1043</v>
      </c>
      <c r="I90" s="7" t="s">
        <v>1044</v>
      </c>
      <c r="J90" s="11" t="s">
        <v>34</v>
      </c>
      <c r="K90" s="11" t="s">
        <v>36</v>
      </c>
      <c r="L90" s="11" t="s">
        <v>38</v>
      </c>
      <c r="M90" s="11" t="s">
        <v>40</v>
      </c>
      <c r="N90" s="11" t="s">
        <v>42</v>
      </c>
      <c r="O90" s="9"/>
      <c r="P90" t="str">
        <f t="shared" si="2"/>
        <v/>
      </c>
    </row>
    <row r="91" spans="1:16" ht="34.049999999999997" customHeight="1" x14ac:dyDescent="0.25">
      <c r="A91" s="5" t="s">
        <v>268</v>
      </c>
      <c r="B91" s="5" t="s">
        <v>156</v>
      </c>
      <c r="C91" s="7" t="s">
        <v>157</v>
      </c>
      <c r="D91" s="7" t="s">
        <v>952</v>
      </c>
      <c r="E91" s="7" t="s">
        <v>1046</v>
      </c>
      <c r="F91" s="7" t="s">
        <v>1047</v>
      </c>
      <c r="G91" s="7" t="s">
        <v>1048</v>
      </c>
      <c r="H91" s="7" t="s">
        <v>1049</v>
      </c>
      <c r="I91" s="7" t="s">
        <v>1050</v>
      </c>
      <c r="J91" s="11" t="s">
        <v>28</v>
      </c>
      <c r="K91" s="11" t="s">
        <v>30</v>
      </c>
      <c r="L91" s="11" t="s">
        <v>32</v>
      </c>
      <c r="M91" s="11" t="s">
        <v>40</v>
      </c>
      <c r="N91" s="11" t="s">
        <v>42</v>
      </c>
      <c r="O91" s="9"/>
      <c r="P91" t="str">
        <f t="shared" si="2"/>
        <v/>
      </c>
    </row>
    <row r="92" spans="1:16" ht="34.049999999999997" customHeight="1" x14ac:dyDescent="0.25">
      <c r="A92" s="5" t="s">
        <v>268</v>
      </c>
      <c r="B92" s="5" t="s">
        <v>164</v>
      </c>
      <c r="C92" s="7" t="s">
        <v>165</v>
      </c>
      <c r="D92" s="7" t="s">
        <v>1116</v>
      </c>
      <c r="E92" s="7" t="s">
        <v>1052</v>
      </c>
      <c r="F92" s="7" t="s">
        <v>1053</v>
      </c>
      <c r="G92" s="7" t="s">
        <v>1054</v>
      </c>
      <c r="H92" s="7" t="s">
        <v>1055</v>
      </c>
      <c r="I92" s="7" t="s">
        <v>1056</v>
      </c>
      <c r="J92" s="11" t="s">
        <v>30</v>
      </c>
      <c r="K92" s="11" t="s">
        <v>32</v>
      </c>
      <c r="L92" s="11" t="s">
        <v>34</v>
      </c>
      <c r="M92" s="11" t="s">
        <v>36</v>
      </c>
      <c r="N92" s="11" t="s">
        <v>38</v>
      </c>
      <c r="O92" s="9"/>
      <c r="P92" t="str">
        <f t="shared" si="2"/>
        <v/>
      </c>
    </row>
    <row r="93" spans="1:16" ht="34.049999999999997" customHeight="1" x14ac:dyDescent="0.25">
      <c r="A93" s="5" t="s">
        <v>268</v>
      </c>
      <c r="B93" s="5" t="s">
        <v>172</v>
      </c>
      <c r="C93" s="7" t="s">
        <v>173</v>
      </c>
      <c r="D93" s="7" t="s">
        <v>488</v>
      </c>
      <c r="E93" s="7" t="s">
        <v>1058</v>
      </c>
      <c r="F93" s="7" t="s">
        <v>1059</v>
      </c>
      <c r="G93" s="7" t="s">
        <v>1060</v>
      </c>
      <c r="H93" s="7" t="s">
        <v>1061</v>
      </c>
      <c r="I93" s="7" t="s">
        <v>1062</v>
      </c>
      <c r="J93" s="11" t="s">
        <v>28</v>
      </c>
      <c r="K93" s="11" t="s">
        <v>36</v>
      </c>
      <c r="L93" s="11" t="s">
        <v>38</v>
      </c>
      <c r="M93" s="11" t="s">
        <v>40</v>
      </c>
      <c r="N93" s="11" t="s">
        <v>42</v>
      </c>
      <c r="O93" s="9"/>
      <c r="P93" t="str">
        <f t="shared" si="2"/>
        <v/>
      </c>
    </row>
    <row r="94" spans="1:16" ht="34.049999999999997" customHeight="1" x14ac:dyDescent="0.25">
      <c r="A94" s="5" t="s">
        <v>268</v>
      </c>
      <c r="B94" s="5" t="s">
        <v>180</v>
      </c>
      <c r="C94" s="7" t="s">
        <v>1063</v>
      </c>
      <c r="D94" s="7" t="s">
        <v>1117</v>
      </c>
      <c r="E94" s="7" t="s">
        <v>1065</v>
      </c>
      <c r="F94" s="7" t="s">
        <v>1066</v>
      </c>
      <c r="G94" s="7" t="s">
        <v>1067</v>
      </c>
      <c r="H94" s="7" t="s">
        <v>1068</v>
      </c>
      <c r="I94" s="7" t="s">
        <v>1069</v>
      </c>
      <c r="J94" s="11" t="s">
        <v>28</v>
      </c>
      <c r="K94" s="11" t="s">
        <v>30</v>
      </c>
      <c r="L94" s="11" t="s">
        <v>32</v>
      </c>
      <c r="M94" s="11" t="s">
        <v>34</v>
      </c>
      <c r="N94" s="11" t="s">
        <v>42</v>
      </c>
      <c r="O94" s="9"/>
      <c r="P94" t="str">
        <f t="shared" si="2"/>
        <v/>
      </c>
    </row>
    <row r="95" spans="1:16" ht="34.049999999999997" customHeight="1" x14ac:dyDescent="0.25">
      <c r="A95" s="5" t="s">
        <v>268</v>
      </c>
      <c r="B95" s="5" t="s">
        <v>188</v>
      </c>
      <c r="C95" s="7" t="s">
        <v>189</v>
      </c>
      <c r="D95" s="7" t="s">
        <v>953</v>
      </c>
      <c r="E95" s="7" t="s">
        <v>1070</v>
      </c>
      <c r="F95" s="7" t="s">
        <v>1071</v>
      </c>
      <c r="G95" s="7" t="s">
        <v>1072</v>
      </c>
      <c r="H95" s="7" t="s">
        <v>1073</v>
      </c>
      <c r="I95" s="7" t="s">
        <v>1074</v>
      </c>
      <c r="J95" s="11" t="s">
        <v>32</v>
      </c>
      <c r="K95" s="11" t="s">
        <v>34</v>
      </c>
      <c r="L95" s="11" t="s">
        <v>36</v>
      </c>
      <c r="M95" s="11" t="s">
        <v>38</v>
      </c>
      <c r="N95" s="11" t="s">
        <v>40</v>
      </c>
      <c r="O95" s="9"/>
      <c r="P95" t="str">
        <f t="shared" si="2"/>
        <v/>
      </c>
    </row>
    <row r="96" spans="1:16" ht="34.049999999999997" customHeight="1" x14ac:dyDescent="0.25">
      <c r="A96" s="5" t="s">
        <v>268</v>
      </c>
      <c r="B96" s="5" t="s">
        <v>196</v>
      </c>
      <c r="C96" s="7" t="s">
        <v>197</v>
      </c>
      <c r="D96" s="7" t="s">
        <v>954</v>
      </c>
      <c r="E96" s="7" t="s">
        <v>1075</v>
      </c>
      <c r="F96" s="7" t="s">
        <v>1076</v>
      </c>
      <c r="G96" s="7" t="s">
        <v>1077</v>
      </c>
      <c r="H96" s="7" t="s">
        <v>1078</v>
      </c>
      <c r="I96" s="7" t="s">
        <v>1079</v>
      </c>
      <c r="J96" s="11" t="s">
        <v>28</v>
      </c>
      <c r="K96" s="11" t="s">
        <v>30</v>
      </c>
      <c r="L96" s="11" t="s">
        <v>38</v>
      </c>
      <c r="M96" s="11" t="s">
        <v>40</v>
      </c>
      <c r="N96" s="11" t="s">
        <v>42</v>
      </c>
      <c r="O96" s="9"/>
      <c r="P96" t="str">
        <f t="shared" si="2"/>
        <v/>
      </c>
    </row>
    <row r="97" spans="1:16" ht="34.049999999999997" customHeight="1" x14ac:dyDescent="0.25">
      <c r="A97" s="5" t="s">
        <v>284</v>
      </c>
      <c r="B97" s="5" t="s">
        <v>84</v>
      </c>
      <c r="C97" s="7" t="s">
        <v>85</v>
      </c>
      <c r="D97" s="7" t="s">
        <v>1118</v>
      </c>
      <c r="E97" s="7" t="s">
        <v>995</v>
      </c>
      <c r="F97" s="7" t="s">
        <v>996</v>
      </c>
      <c r="G97" s="7" t="s">
        <v>997</v>
      </c>
      <c r="H97" s="7" t="s">
        <v>998</v>
      </c>
      <c r="I97" s="7" t="s">
        <v>999</v>
      </c>
      <c r="J97" s="11" t="s">
        <v>34</v>
      </c>
      <c r="K97" s="11" t="s">
        <v>36</v>
      </c>
      <c r="L97" s="11" t="s">
        <v>38</v>
      </c>
      <c r="M97" s="11" t="s">
        <v>40</v>
      </c>
      <c r="N97" s="11" t="s">
        <v>42</v>
      </c>
      <c r="O97" s="9"/>
      <c r="P97" t="str">
        <f t="shared" si="2"/>
        <v/>
      </c>
    </row>
    <row r="98" spans="1:16" ht="34.049999999999997" customHeight="1" x14ac:dyDescent="0.25">
      <c r="A98" s="5" t="s">
        <v>284</v>
      </c>
      <c r="B98" s="5" t="s">
        <v>92</v>
      </c>
      <c r="C98" s="7" t="s">
        <v>820</v>
      </c>
      <c r="D98" s="7" t="s">
        <v>1119</v>
      </c>
      <c r="E98" s="7" t="s">
        <v>1001</v>
      </c>
      <c r="F98" s="7" t="s">
        <v>1002</v>
      </c>
      <c r="G98" s="7" t="s">
        <v>1003</v>
      </c>
      <c r="H98" s="7" t="s">
        <v>1004</v>
      </c>
      <c r="I98" s="7" t="s">
        <v>1005</v>
      </c>
      <c r="J98" s="11" t="s">
        <v>28</v>
      </c>
      <c r="K98" s="11" t="s">
        <v>30</v>
      </c>
      <c r="L98" s="11" t="s">
        <v>32</v>
      </c>
      <c r="M98" s="11" t="s">
        <v>40</v>
      </c>
      <c r="N98" s="11" t="s">
        <v>42</v>
      </c>
      <c r="O98" s="9"/>
      <c r="P98" t="str">
        <f t="shared" si="2"/>
        <v/>
      </c>
    </row>
    <row r="99" spans="1:16" ht="34.049999999999997" customHeight="1" x14ac:dyDescent="0.25">
      <c r="A99" s="5" t="s">
        <v>284</v>
      </c>
      <c r="B99" s="5" t="s">
        <v>100</v>
      </c>
      <c r="C99" s="7" t="s">
        <v>1006</v>
      </c>
      <c r="D99" s="7" t="s">
        <v>1120</v>
      </c>
      <c r="E99" s="7" t="s">
        <v>1008</v>
      </c>
      <c r="F99" s="7" t="s">
        <v>1009</v>
      </c>
      <c r="G99" s="7" t="s">
        <v>1010</v>
      </c>
      <c r="H99" s="7" t="s">
        <v>1011</v>
      </c>
      <c r="I99" s="7" t="s">
        <v>1012</v>
      </c>
      <c r="J99" s="11" t="s">
        <v>30</v>
      </c>
      <c r="K99" s="11" t="s">
        <v>32</v>
      </c>
      <c r="L99" s="11" t="s">
        <v>34</v>
      </c>
      <c r="M99" s="11" t="s">
        <v>36</v>
      </c>
      <c r="N99" s="11" t="s">
        <v>38</v>
      </c>
      <c r="O99" s="9"/>
      <c r="P99" t="str">
        <f t="shared" si="2"/>
        <v/>
      </c>
    </row>
    <row r="100" spans="1:16" ht="34.049999999999997" customHeight="1" x14ac:dyDescent="0.25">
      <c r="A100" s="5" t="s">
        <v>284</v>
      </c>
      <c r="B100" s="5" t="s">
        <v>108</v>
      </c>
      <c r="C100" s="7" t="s">
        <v>833</v>
      </c>
      <c r="D100" s="7" t="s">
        <v>1121</v>
      </c>
      <c r="E100" s="7" t="s">
        <v>1013</v>
      </c>
      <c r="F100" s="7" t="s">
        <v>1014</v>
      </c>
      <c r="G100" s="7" t="s">
        <v>1015</v>
      </c>
      <c r="H100" s="7" t="s">
        <v>1016</v>
      </c>
      <c r="I100" s="7" t="s">
        <v>1017</v>
      </c>
      <c r="J100" s="11" t="s">
        <v>28</v>
      </c>
      <c r="K100" s="11" t="s">
        <v>36</v>
      </c>
      <c r="L100" s="11" t="s">
        <v>38</v>
      </c>
      <c r="M100" s="11" t="s">
        <v>40</v>
      </c>
      <c r="N100" s="11" t="s">
        <v>42</v>
      </c>
      <c r="O100" s="9"/>
      <c r="P100" t="str">
        <f t="shared" si="2"/>
        <v/>
      </c>
    </row>
    <row r="101" spans="1:16" ht="34.049999999999997" customHeight="1" x14ac:dyDescent="0.25">
      <c r="A101" s="5" t="s">
        <v>284</v>
      </c>
      <c r="B101" s="5" t="s">
        <v>116</v>
      </c>
      <c r="C101" s="7" t="s">
        <v>1018</v>
      </c>
      <c r="D101" s="7" t="s">
        <v>1122</v>
      </c>
      <c r="E101" s="7" t="s">
        <v>1019</v>
      </c>
      <c r="F101" s="7" t="s">
        <v>1020</v>
      </c>
      <c r="G101" s="7" t="s">
        <v>1021</v>
      </c>
      <c r="H101" s="7" t="s">
        <v>1022</v>
      </c>
      <c r="I101" s="7" t="s">
        <v>1023</v>
      </c>
      <c r="J101" s="11" t="s">
        <v>28</v>
      </c>
      <c r="K101" s="11" t="s">
        <v>30</v>
      </c>
      <c r="L101" s="11" t="s">
        <v>32</v>
      </c>
      <c r="M101" s="11" t="s">
        <v>34</v>
      </c>
      <c r="N101" s="11" t="s">
        <v>42</v>
      </c>
      <c r="O101" s="9"/>
      <c r="P101" t="str">
        <f t="shared" si="2"/>
        <v/>
      </c>
    </row>
    <row r="102" spans="1:16" ht="34.049999999999997" customHeight="1" x14ac:dyDescent="0.25">
      <c r="A102" s="5" t="s">
        <v>284</v>
      </c>
      <c r="B102" s="5" t="s">
        <v>124</v>
      </c>
      <c r="C102" s="7" t="s">
        <v>560</v>
      </c>
      <c r="D102" s="7" t="s">
        <v>1123</v>
      </c>
      <c r="E102" s="7" t="s">
        <v>1024</v>
      </c>
      <c r="F102" s="7" t="s">
        <v>1025</v>
      </c>
      <c r="G102" s="7" t="s">
        <v>1026</v>
      </c>
      <c r="H102" s="7" t="s">
        <v>1027</v>
      </c>
      <c r="I102" s="7" t="s">
        <v>1028</v>
      </c>
      <c r="J102" s="11" t="s">
        <v>32</v>
      </c>
      <c r="K102" s="11" t="s">
        <v>34</v>
      </c>
      <c r="L102" s="11" t="s">
        <v>36</v>
      </c>
      <c r="M102" s="11" t="s">
        <v>38</v>
      </c>
      <c r="N102" s="11" t="s">
        <v>40</v>
      </c>
      <c r="O102" s="9"/>
      <c r="P102" t="str">
        <f t="shared" si="2"/>
        <v/>
      </c>
    </row>
    <row r="103" spans="1:16" ht="34.049999999999997" customHeight="1" x14ac:dyDescent="0.25">
      <c r="A103" s="5" t="s">
        <v>284</v>
      </c>
      <c r="B103" s="5" t="s">
        <v>132</v>
      </c>
      <c r="C103" s="7" t="s">
        <v>396</v>
      </c>
      <c r="D103" s="7" t="s">
        <v>497</v>
      </c>
      <c r="E103" s="7" t="s">
        <v>1029</v>
      </c>
      <c r="F103" s="7" t="s">
        <v>1030</v>
      </c>
      <c r="G103" s="7" t="s">
        <v>1031</v>
      </c>
      <c r="H103" s="7" t="s">
        <v>1032</v>
      </c>
      <c r="I103" s="7" t="s">
        <v>1033</v>
      </c>
      <c r="J103" s="11" t="s">
        <v>28</v>
      </c>
      <c r="K103" s="11" t="s">
        <v>30</v>
      </c>
      <c r="L103" s="11" t="s">
        <v>38</v>
      </c>
      <c r="M103" s="11" t="s">
        <v>40</v>
      </c>
      <c r="N103" s="11" t="s">
        <v>42</v>
      </c>
      <c r="O103" s="9"/>
      <c r="P103" t="str">
        <f t="shared" ref="P103:P134" si="3">IF(O103="","",INDEX(J103:N103,1,O103))</f>
        <v/>
      </c>
    </row>
    <row r="104" spans="1:16" ht="34.049999999999997" customHeight="1" x14ac:dyDescent="0.25">
      <c r="A104" s="5" t="s">
        <v>284</v>
      </c>
      <c r="B104" s="5" t="s">
        <v>140</v>
      </c>
      <c r="C104" s="7" t="s">
        <v>858</v>
      </c>
      <c r="D104" s="7" t="s">
        <v>1124</v>
      </c>
      <c r="E104" s="7" t="s">
        <v>1034</v>
      </c>
      <c r="F104" s="7" t="s">
        <v>1035</v>
      </c>
      <c r="G104" s="7" t="s">
        <v>1036</v>
      </c>
      <c r="H104" s="7" t="s">
        <v>1037</v>
      </c>
      <c r="I104" s="7" t="s">
        <v>1038</v>
      </c>
      <c r="J104" s="11" t="s">
        <v>28</v>
      </c>
      <c r="K104" s="11" t="s">
        <v>30</v>
      </c>
      <c r="L104" s="11" t="s">
        <v>32</v>
      </c>
      <c r="M104" s="11" t="s">
        <v>34</v>
      </c>
      <c r="N104" s="11" t="s">
        <v>36</v>
      </c>
      <c r="O104" s="9"/>
      <c r="P104" t="str">
        <f t="shared" si="3"/>
        <v/>
      </c>
    </row>
    <row r="105" spans="1:16" ht="34.049999999999997" customHeight="1" x14ac:dyDescent="0.25">
      <c r="A105" s="5" t="s">
        <v>284</v>
      </c>
      <c r="B105" s="5" t="s">
        <v>148</v>
      </c>
      <c r="C105" s="7" t="s">
        <v>149</v>
      </c>
      <c r="D105" s="7" t="s">
        <v>1125</v>
      </c>
      <c r="E105" s="7" t="s">
        <v>1040</v>
      </c>
      <c r="F105" s="7" t="s">
        <v>1041</v>
      </c>
      <c r="G105" s="7" t="s">
        <v>1042</v>
      </c>
      <c r="H105" s="7" t="s">
        <v>1043</v>
      </c>
      <c r="I105" s="7" t="s">
        <v>1044</v>
      </c>
      <c r="J105" s="11" t="s">
        <v>34</v>
      </c>
      <c r="K105" s="11" t="s">
        <v>36</v>
      </c>
      <c r="L105" s="11" t="s">
        <v>38</v>
      </c>
      <c r="M105" s="11" t="s">
        <v>40</v>
      </c>
      <c r="N105" s="11" t="s">
        <v>42</v>
      </c>
      <c r="O105" s="9"/>
      <c r="P105" t="str">
        <f t="shared" si="3"/>
        <v/>
      </c>
    </row>
    <row r="106" spans="1:16" ht="34.049999999999997" customHeight="1" x14ac:dyDescent="0.25">
      <c r="A106" s="5" t="s">
        <v>284</v>
      </c>
      <c r="B106" s="5" t="s">
        <v>156</v>
      </c>
      <c r="C106" s="7" t="s">
        <v>157</v>
      </c>
      <c r="D106" s="7" t="s">
        <v>1126</v>
      </c>
      <c r="E106" s="7" t="s">
        <v>1046</v>
      </c>
      <c r="F106" s="7" t="s">
        <v>1047</v>
      </c>
      <c r="G106" s="7" t="s">
        <v>1048</v>
      </c>
      <c r="H106" s="7" t="s">
        <v>1049</v>
      </c>
      <c r="I106" s="7" t="s">
        <v>1050</v>
      </c>
      <c r="J106" s="11" t="s">
        <v>28</v>
      </c>
      <c r="K106" s="11" t="s">
        <v>30</v>
      </c>
      <c r="L106" s="11" t="s">
        <v>32</v>
      </c>
      <c r="M106" s="11" t="s">
        <v>40</v>
      </c>
      <c r="N106" s="11" t="s">
        <v>42</v>
      </c>
      <c r="O106" s="9"/>
      <c r="P106" t="str">
        <f t="shared" si="3"/>
        <v/>
      </c>
    </row>
    <row r="107" spans="1:16" ht="34.049999999999997" customHeight="1" x14ac:dyDescent="0.25">
      <c r="A107" s="5" t="s">
        <v>284</v>
      </c>
      <c r="B107" s="5" t="s">
        <v>164</v>
      </c>
      <c r="C107" s="7" t="s">
        <v>165</v>
      </c>
      <c r="D107" s="7" t="s">
        <v>501</v>
      </c>
      <c r="E107" s="7" t="s">
        <v>1052</v>
      </c>
      <c r="F107" s="7" t="s">
        <v>1053</v>
      </c>
      <c r="G107" s="7" t="s">
        <v>1054</v>
      </c>
      <c r="H107" s="7" t="s">
        <v>1055</v>
      </c>
      <c r="I107" s="7" t="s">
        <v>1056</v>
      </c>
      <c r="J107" s="11" t="s">
        <v>30</v>
      </c>
      <c r="K107" s="11" t="s">
        <v>32</v>
      </c>
      <c r="L107" s="11" t="s">
        <v>34</v>
      </c>
      <c r="M107" s="11" t="s">
        <v>36</v>
      </c>
      <c r="N107" s="11" t="s">
        <v>38</v>
      </c>
      <c r="O107" s="9"/>
      <c r="P107" t="str">
        <f t="shared" si="3"/>
        <v/>
      </c>
    </row>
    <row r="108" spans="1:16" ht="34.049999999999997" customHeight="1" x14ac:dyDescent="0.25">
      <c r="A108" s="5" t="s">
        <v>284</v>
      </c>
      <c r="B108" s="5" t="s">
        <v>172</v>
      </c>
      <c r="C108" s="7" t="s">
        <v>173</v>
      </c>
      <c r="D108" s="7" t="s">
        <v>1127</v>
      </c>
      <c r="E108" s="7" t="s">
        <v>1058</v>
      </c>
      <c r="F108" s="7" t="s">
        <v>1059</v>
      </c>
      <c r="G108" s="7" t="s">
        <v>1060</v>
      </c>
      <c r="H108" s="7" t="s">
        <v>1061</v>
      </c>
      <c r="I108" s="7" t="s">
        <v>1062</v>
      </c>
      <c r="J108" s="11" t="s">
        <v>28</v>
      </c>
      <c r="K108" s="11" t="s">
        <v>36</v>
      </c>
      <c r="L108" s="11" t="s">
        <v>38</v>
      </c>
      <c r="M108" s="11" t="s">
        <v>40</v>
      </c>
      <c r="N108" s="11" t="s">
        <v>42</v>
      </c>
      <c r="O108" s="9"/>
      <c r="P108" t="str">
        <f t="shared" si="3"/>
        <v/>
      </c>
    </row>
    <row r="109" spans="1:16" ht="34.049999999999997" customHeight="1" x14ac:dyDescent="0.25">
      <c r="A109" s="5" t="s">
        <v>284</v>
      </c>
      <c r="B109" s="5" t="s">
        <v>180</v>
      </c>
      <c r="C109" s="7" t="s">
        <v>1063</v>
      </c>
      <c r="D109" s="7" t="s">
        <v>1128</v>
      </c>
      <c r="E109" s="7" t="s">
        <v>1065</v>
      </c>
      <c r="F109" s="7" t="s">
        <v>1066</v>
      </c>
      <c r="G109" s="7" t="s">
        <v>1067</v>
      </c>
      <c r="H109" s="7" t="s">
        <v>1068</v>
      </c>
      <c r="I109" s="7" t="s">
        <v>1069</v>
      </c>
      <c r="J109" s="11" t="s">
        <v>28</v>
      </c>
      <c r="K109" s="11" t="s">
        <v>30</v>
      </c>
      <c r="L109" s="11" t="s">
        <v>32</v>
      </c>
      <c r="M109" s="11" t="s">
        <v>34</v>
      </c>
      <c r="N109" s="11" t="s">
        <v>42</v>
      </c>
      <c r="O109" s="9"/>
      <c r="P109" t="str">
        <f t="shared" si="3"/>
        <v/>
      </c>
    </row>
    <row r="110" spans="1:16" ht="34.049999999999997" customHeight="1" x14ac:dyDescent="0.25">
      <c r="A110" s="5" t="s">
        <v>284</v>
      </c>
      <c r="B110" s="5" t="s">
        <v>188</v>
      </c>
      <c r="C110" s="7" t="s">
        <v>189</v>
      </c>
      <c r="D110" s="7" t="s">
        <v>503</v>
      </c>
      <c r="E110" s="7" t="s">
        <v>1070</v>
      </c>
      <c r="F110" s="7" t="s">
        <v>1071</v>
      </c>
      <c r="G110" s="7" t="s">
        <v>1072</v>
      </c>
      <c r="H110" s="7" t="s">
        <v>1073</v>
      </c>
      <c r="I110" s="7" t="s">
        <v>1074</v>
      </c>
      <c r="J110" s="11" t="s">
        <v>32</v>
      </c>
      <c r="K110" s="11" t="s">
        <v>34</v>
      </c>
      <c r="L110" s="11" t="s">
        <v>36</v>
      </c>
      <c r="M110" s="11" t="s">
        <v>38</v>
      </c>
      <c r="N110" s="11" t="s">
        <v>40</v>
      </c>
      <c r="O110" s="9"/>
      <c r="P110" t="str">
        <f t="shared" si="3"/>
        <v/>
      </c>
    </row>
    <row r="111" spans="1:16" ht="34.049999999999997" customHeight="1" x14ac:dyDescent="0.25">
      <c r="A111" s="5" t="s">
        <v>284</v>
      </c>
      <c r="B111" s="5" t="s">
        <v>196</v>
      </c>
      <c r="C111" s="7" t="s">
        <v>197</v>
      </c>
      <c r="D111" s="7" t="s">
        <v>1129</v>
      </c>
      <c r="E111" s="7" t="s">
        <v>1075</v>
      </c>
      <c r="F111" s="7" t="s">
        <v>1076</v>
      </c>
      <c r="G111" s="7" t="s">
        <v>1077</v>
      </c>
      <c r="H111" s="7" t="s">
        <v>1078</v>
      </c>
      <c r="I111" s="7" t="s">
        <v>1079</v>
      </c>
      <c r="J111" s="11" t="s">
        <v>28</v>
      </c>
      <c r="K111" s="11" t="s">
        <v>30</v>
      </c>
      <c r="L111" s="11" t="s">
        <v>38</v>
      </c>
      <c r="M111" s="11" t="s">
        <v>40</v>
      </c>
      <c r="N111" s="11" t="s">
        <v>42</v>
      </c>
      <c r="O111" s="9"/>
      <c r="P111" t="str">
        <f t="shared" si="3"/>
        <v/>
      </c>
    </row>
    <row r="112" spans="1:16" ht="34.049999999999997" customHeight="1" x14ac:dyDescent="0.25">
      <c r="A112" s="5" t="s">
        <v>300</v>
      </c>
      <c r="B112" s="5" t="s">
        <v>84</v>
      </c>
      <c r="C112" s="7" t="s">
        <v>85</v>
      </c>
      <c r="D112" s="7" t="s">
        <v>965</v>
      </c>
      <c r="E112" s="7" t="s">
        <v>995</v>
      </c>
      <c r="F112" s="7" t="s">
        <v>996</v>
      </c>
      <c r="G112" s="7" t="s">
        <v>997</v>
      </c>
      <c r="H112" s="7" t="s">
        <v>998</v>
      </c>
      <c r="I112" s="7" t="s">
        <v>999</v>
      </c>
      <c r="J112" s="11" t="s">
        <v>34</v>
      </c>
      <c r="K112" s="11" t="s">
        <v>36</v>
      </c>
      <c r="L112" s="11" t="s">
        <v>38</v>
      </c>
      <c r="M112" s="11" t="s">
        <v>40</v>
      </c>
      <c r="N112" s="11" t="s">
        <v>42</v>
      </c>
      <c r="O112" s="9"/>
      <c r="P112" t="str">
        <f t="shared" si="3"/>
        <v/>
      </c>
    </row>
    <row r="113" spans="1:16" ht="34.049999999999997" customHeight="1" x14ac:dyDescent="0.25">
      <c r="A113" s="5" t="s">
        <v>300</v>
      </c>
      <c r="B113" s="5" t="s">
        <v>92</v>
      </c>
      <c r="C113" s="7" t="s">
        <v>820</v>
      </c>
      <c r="D113" s="7" t="s">
        <v>966</v>
      </c>
      <c r="E113" s="7" t="s">
        <v>1001</v>
      </c>
      <c r="F113" s="7" t="s">
        <v>1002</v>
      </c>
      <c r="G113" s="7" t="s">
        <v>1003</v>
      </c>
      <c r="H113" s="7" t="s">
        <v>1004</v>
      </c>
      <c r="I113" s="7" t="s">
        <v>1005</v>
      </c>
      <c r="J113" s="11" t="s">
        <v>28</v>
      </c>
      <c r="K113" s="11" t="s">
        <v>30</v>
      </c>
      <c r="L113" s="11" t="s">
        <v>32</v>
      </c>
      <c r="M113" s="11" t="s">
        <v>40</v>
      </c>
      <c r="N113" s="11" t="s">
        <v>42</v>
      </c>
      <c r="O113" s="9"/>
      <c r="P113" t="str">
        <f t="shared" si="3"/>
        <v/>
      </c>
    </row>
    <row r="114" spans="1:16" ht="34.049999999999997" customHeight="1" x14ac:dyDescent="0.25">
      <c r="A114" s="5" t="s">
        <v>300</v>
      </c>
      <c r="B114" s="5" t="s">
        <v>100</v>
      </c>
      <c r="C114" s="7" t="s">
        <v>1006</v>
      </c>
      <c r="D114" s="7" t="s">
        <v>1130</v>
      </c>
      <c r="E114" s="7" t="s">
        <v>1008</v>
      </c>
      <c r="F114" s="7" t="s">
        <v>1009</v>
      </c>
      <c r="G114" s="7" t="s">
        <v>1010</v>
      </c>
      <c r="H114" s="7" t="s">
        <v>1011</v>
      </c>
      <c r="I114" s="7" t="s">
        <v>1012</v>
      </c>
      <c r="J114" s="11" t="s">
        <v>30</v>
      </c>
      <c r="K114" s="11" t="s">
        <v>32</v>
      </c>
      <c r="L114" s="11" t="s">
        <v>34</v>
      </c>
      <c r="M114" s="11" t="s">
        <v>36</v>
      </c>
      <c r="N114" s="11" t="s">
        <v>38</v>
      </c>
      <c r="O114" s="9"/>
      <c r="P114" t="str">
        <f t="shared" si="3"/>
        <v/>
      </c>
    </row>
    <row r="115" spans="1:16" ht="34.049999999999997" customHeight="1" x14ac:dyDescent="0.25">
      <c r="A115" s="5" t="s">
        <v>300</v>
      </c>
      <c r="B115" s="5" t="s">
        <v>108</v>
      </c>
      <c r="C115" s="7" t="s">
        <v>833</v>
      </c>
      <c r="D115" s="7" t="s">
        <v>968</v>
      </c>
      <c r="E115" s="7" t="s">
        <v>1013</v>
      </c>
      <c r="F115" s="7" t="s">
        <v>1014</v>
      </c>
      <c r="G115" s="7" t="s">
        <v>1015</v>
      </c>
      <c r="H115" s="7" t="s">
        <v>1016</v>
      </c>
      <c r="I115" s="7" t="s">
        <v>1017</v>
      </c>
      <c r="J115" s="11" t="s">
        <v>28</v>
      </c>
      <c r="K115" s="11" t="s">
        <v>36</v>
      </c>
      <c r="L115" s="11" t="s">
        <v>38</v>
      </c>
      <c r="M115" s="11" t="s">
        <v>40</v>
      </c>
      <c r="N115" s="11" t="s">
        <v>42</v>
      </c>
      <c r="O115" s="9"/>
      <c r="P115" t="str">
        <f t="shared" si="3"/>
        <v/>
      </c>
    </row>
    <row r="116" spans="1:16" ht="34.049999999999997" customHeight="1" x14ac:dyDescent="0.25">
      <c r="A116" s="5" t="s">
        <v>300</v>
      </c>
      <c r="B116" s="5" t="s">
        <v>116</v>
      </c>
      <c r="C116" s="7" t="s">
        <v>1018</v>
      </c>
      <c r="D116" s="7" t="s">
        <v>969</v>
      </c>
      <c r="E116" s="7" t="s">
        <v>1019</v>
      </c>
      <c r="F116" s="7" t="s">
        <v>1020</v>
      </c>
      <c r="G116" s="7" t="s">
        <v>1021</v>
      </c>
      <c r="H116" s="7" t="s">
        <v>1022</v>
      </c>
      <c r="I116" s="7" t="s">
        <v>1023</v>
      </c>
      <c r="J116" s="11" t="s">
        <v>28</v>
      </c>
      <c r="K116" s="11" t="s">
        <v>30</v>
      </c>
      <c r="L116" s="11" t="s">
        <v>32</v>
      </c>
      <c r="M116" s="11" t="s">
        <v>34</v>
      </c>
      <c r="N116" s="11" t="s">
        <v>42</v>
      </c>
      <c r="O116" s="9"/>
      <c r="P116" t="str">
        <f t="shared" si="3"/>
        <v/>
      </c>
    </row>
    <row r="117" spans="1:16" ht="34.049999999999997" customHeight="1" x14ac:dyDescent="0.25">
      <c r="A117" s="5" t="s">
        <v>300</v>
      </c>
      <c r="B117" s="5" t="s">
        <v>124</v>
      </c>
      <c r="C117" s="7" t="s">
        <v>560</v>
      </c>
      <c r="D117" s="7" t="s">
        <v>1131</v>
      </c>
      <c r="E117" s="7" t="s">
        <v>1024</v>
      </c>
      <c r="F117" s="7" t="s">
        <v>1025</v>
      </c>
      <c r="G117" s="7" t="s">
        <v>1026</v>
      </c>
      <c r="H117" s="7" t="s">
        <v>1027</v>
      </c>
      <c r="I117" s="7" t="s">
        <v>1028</v>
      </c>
      <c r="J117" s="11" t="s">
        <v>32</v>
      </c>
      <c r="K117" s="11" t="s">
        <v>34</v>
      </c>
      <c r="L117" s="11" t="s">
        <v>36</v>
      </c>
      <c r="M117" s="11" t="s">
        <v>38</v>
      </c>
      <c r="N117" s="11" t="s">
        <v>40</v>
      </c>
      <c r="O117" s="9"/>
      <c r="P117" t="str">
        <f t="shared" si="3"/>
        <v/>
      </c>
    </row>
    <row r="118" spans="1:16" ht="34.049999999999997" customHeight="1" x14ac:dyDescent="0.25">
      <c r="A118" s="5" t="s">
        <v>300</v>
      </c>
      <c r="B118" s="5" t="s">
        <v>132</v>
      </c>
      <c r="C118" s="7" t="s">
        <v>396</v>
      </c>
      <c r="D118" s="7" t="s">
        <v>507</v>
      </c>
      <c r="E118" s="7" t="s">
        <v>1029</v>
      </c>
      <c r="F118" s="7" t="s">
        <v>1030</v>
      </c>
      <c r="G118" s="7" t="s">
        <v>1031</v>
      </c>
      <c r="H118" s="7" t="s">
        <v>1032</v>
      </c>
      <c r="I118" s="7" t="s">
        <v>1033</v>
      </c>
      <c r="J118" s="11" t="s">
        <v>28</v>
      </c>
      <c r="K118" s="11" t="s">
        <v>30</v>
      </c>
      <c r="L118" s="11" t="s">
        <v>38</v>
      </c>
      <c r="M118" s="11" t="s">
        <v>40</v>
      </c>
      <c r="N118" s="11" t="s">
        <v>42</v>
      </c>
      <c r="O118" s="9"/>
      <c r="P118" t="str">
        <f t="shared" si="3"/>
        <v/>
      </c>
    </row>
    <row r="119" spans="1:16" ht="34.049999999999997" customHeight="1" x14ac:dyDescent="0.25">
      <c r="A119" s="5" t="s">
        <v>300</v>
      </c>
      <c r="B119" s="5" t="s">
        <v>140</v>
      </c>
      <c r="C119" s="7" t="s">
        <v>858</v>
      </c>
      <c r="D119" s="7" t="s">
        <v>971</v>
      </c>
      <c r="E119" s="7" t="s">
        <v>1034</v>
      </c>
      <c r="F119" s="7" t="s">
        <v>1035</v>
      </c>
      <c r="G119" s="7" t="s">
        <v>1036</v>
      </c>
      <c r="H119" s="7" t="s">
        <v>1037</v>
      </c>
      <c r="I119" s="7" t="s">
        <v>1038</v>
      </c>
      <c r="J119" s="11" t="s">
        <v>28</v>
      </c>
      <c r="K119" s="11" t="s">
        <v>30</v>
      </c>
      <c r="L119" s="11" t="s">
        <v>32</v>
      </c>
      <c r="M119" s="11" t="s">
        <v>34</v>
      </c>
      <c r="N119" s="11" t="s">
        <v>36</v>
      </c>
      <c r="O119" s="9"/>
      <c r="P119" t="str">
        <f t="shared" si="3"/>
        <v/>
      </c>
    </row>
    <row r="120" spans="1:16" ht="34.049999999999997" customHeight="1" x14ac:dyDescent="0.25">
      <c r="A120" s="5" t="s">
        <v>300</v>
      </c>
      <c r="B120" s="5" t="s">
        <v>148</v>
      </c>
      <c r="C120" s="7" t="s">
        <v>149</v>
      </c>
      <c r="D120" s="7" t="s">
        <v>1132</v>
      </c>
      <c r="E120" s="7" t="s">
        <v>1040</v>
      </c>
      <c r="F120" s="7" t="s">
        <v>1041</v>
      </c>
      <c r="G120" s="7" t="s">
        <v>1042</v>
      </c>
      <c r="H120" s="7" t="s">
        <v>1043</v>
      </c>
      <c r="I120" s="7" t="s">
        <v>1044</v>
      </c>
      <c r="J120" s="11" t="s">
        <v>34</v>
      </c>
      <c r="K120" s="11" t="s">
        <v>36</v>
      </c>
      <c r="L120" s="11" t="s">
        <v>38</v>
      </c>
      <c r="M120" s="11" t="s">
        <v>40</v>
      </c>
      <c r="N120" s="11" t="s">
        <v>42</v>
      </c>
      <c r="O120" s="9"/>
      <c r="P120" t="str">
        <f t="shared" si="3"/>
        <v/>
      </c>
    </row>
    <row r="121" spans="1:16" ht="34.049999999999997" customHeight="1" x14ac:dyDescent="0.25">
      <c r="A121" s="5" t="s">
        <v>300</v>
      </c>
      <c r="B121" s="5" t="s">
        <v>156</v>
      </c>
      <c r="C121" s="7" t="s">
        <v>157</v>
      </c>
      <c r="D121" s="7" t="s">
        <v>973</v>
      </c>
      <c r="E121" s="7" t="s">
        <v>1046</v>
      </c>
      <c r="F121" s="7" t="s">
        <v>1047</v>
      </c>
      <c r="G121" s="7" t="s">
        <v>1048</v>
      </c>
      <c r="H121" s="7" t="s">
        <v>1049</v>
      </c>
      <c r="I121" s="7" t="s">
        <v>1050</v>
      </c>
      <c r="J121" s="11" t="s">
        <v>28</v>
      </c>
      <c r="K121" s="11" t="s">
        <v>30</v>
      </c>
      <c r="L121" s="11" t="s">
        <v>32</v>
      </c>
      <c r="M121" s="11" t="s">
        <v>40</v>
      </c>
      <c r="N121" s="11" t="s">
        <v>42</v>
      </c>
      <c r="O121" s="9"/>
      <c r="P121" t="str">
        <f t="shared" si="3"/>
        <v/>
      </c>
    </row>
    <row r="122" spans="1:16" ht="34.049999999999997" customHeight="1" x14ac:dyDescent="0.25">
      <c r="A122" s="5" t="s">
        <v>300</v>
      </c>
      <c r="B122" s="5" t="s">
        <v>164</v>
      </c>
      <c r="C122" s="7" t="s">
        <v>165</v>
      </c>
      <c r="D122" s="7" t="s">
        <v>1133</v>
      </c>
      <c r="E122" s="7" t="s">
        <v>1052</v>
      </c>
      <c r="F122" s="7" t="s">
        <v>1053</v>
      </c>
      <c r="G122" s="7" t="s">
        <v>1054</v>
      </c>
      <c r="H122" s="7" t="s">
        <v>1055</v>
      </c>
      <c r="I122" s="7" t="s">
        <v>1056</v>
      </c>
      <c r="J122" s="11" t="s">
        <v>30</v>
      </c>
      <c r="K122" s="11" t="s">
        <v>32</v>
      </c>
      <c r="L122" s="11" t="s">
        <v>34</v>
      </c>
      <c r="M122" s="11" t="s">
        <v>36</v>
      </c>
      <c r="N122" s="11" t="s">
        <v>38</v>
      </c>
      <c r="O122" s="9"/>
      <c r="P122" t="str">
        <f t="shared" si="3"/>
        <v/>
      </c>
    </row>
    <row r="123" spans="1:16" ht="34.049999999999997" customHeight="1" x14ac:dyDescent="0.25">
      <c r="A123" s="5" t="s">
        <v>300</v>
      </c>
      <c r="B123" s="5" t="s">
        <v>172</v>
      </c>
      <c r="C123" s="7" t="s">
        <v>173</v>
      </c>
      <c r="D123" s="7" t="s">
        <v>974</v>
      </c>
      <c r="E123" s="7" t="s">
        <v>1058</v>
      </c>
      <c r="F123" s="7" t="s">
        <v>1059</v>
      </c>
      <c r="G123" s="7" t="s">
        <v>1060</v>
      </c>
      <c r="H123" s="7" t="s">
        <v>1061</v>
      </c>
      <c r="I123" s="7" t="s">
        <v>1062</v>
      </c>
      <c r="J123" s="11" t="s">
        <v>28</v>
      </c>
      <c r="K123" s="11" t="s">
        <v>36</v>
      </c>
      <c r="L123" s="11" t="s">
        <v>38</v>
      </c>
      <c r="M123" s="11" t="s">
        <v>40</v>
      </c>
      <c r="N123" s="11" t="s">
        <v>42</v>
      </c>
      <c r="O123" s="9"/>
      <c r="P123" t="str">
        <f t="shared" si="3"/>
        <v/>
      </c>
    </row>
    <row r="124" spans="1:16" ht="34.049999999999997" customHeight="1" x14ac:dyDescent="0.25">
      <c r="A124" s="5" t="s">
        <v>300</v>
      </c>
      <c r="B124" s="5" t="s">
        <v>180</v>
      </c>
      <c r="C124" s="7" t="s">
        <v>1063</v>
      </c>
      <c r="D124" s="7" t="s">
        <v>1134</v>
      </c>
      <c r="E124" s="7" t="s">
        <v>1065</v>
      </c>
      <c r="F124" s="7" t="s">
        <v>1066</v>
      </c>
      <c r="G124" s="7" t="s">
        <v>1067</v>
      </c>
      <c r="H124" s="7" t="s">
        <v>1068</v>
      </c>
      <c r="I124" s="7" t="s">
        <v>1069</v>
      </c>
      <c r="J124" s="11" t="s">
        <v>28</v>
      </c>
      <c r="K124" s="11" t="s">
        <v>30</v>
      </c>
      <c r="L124" s="11" t="s">
        <v>32</v>
      </c>
      <c r="M124" s="11" t="s">
        <v>34</v>
      </c>
      <c r="N124" s="11" t="s">
        <v>42</v>
      </c>
      <c r="O124" s="9"/>
      <c r="P124" t="str">
        <f t="shared" si="3"/>
        <v/>
      </c>
    </row>
    <row r="125" spans="1:16" ht="34.049999999999997" customHeight="1" x14ac:dyDescent="0.25">
      <c r="A125" s="5" t="s">
        <v>300</v>
      </c>
      <c r="B125" s="5" t="s">
        <v>188</v>
      </c>
      <c r="C125" s="7" t="s">
        <v>189</v>
      </c>
      <c r="D125" s="7" t="s">
        <v>511</v>
      </c>
      <c r="E125" s="7" t="s">
        <v>1070</v>
      </c>
      <c r="F125" s="7" t="s">
        <v>1071</v>
      </c>
      <c r="G125" s="7" t="s">
        <v>1072</v>
      </c>
      <c r="H125" s="7" t="s">
        <v>1073</v>
      </c>
      <c r="I125" s="7" t="s">
        <v>1074</v>
      </c>
      <c r="J125" s="11" t="s">
        <v>32</v>
      </c>
      <c r="K125" s="11" t="s">
        <v>34</v>
      </c>
      <c r="L125" s="11" t="s">
        <v>36</v>
      </c>
      <c r="M125" s="11" t="s">
        <v>38</v>
      </c>
      <c r="N125" s="11" t="s">
        <v>40</v>
      </c>
      <c r="O125" s="9"/>
      <c r="P125" t="str">
        <f t="shared" si="3"/>
        <v/>
      </c>
    </row>
    <row r="126" spans="1:16" ht="34.049999999999997" customHeight="1" x14ac:dyDescent="0.25">
      <c r="A126" s="5" t="s">
        <v>300</v>
      </c>
      <c r="B126" s="5" t="s">
        <v>196</v>
      </c>
      <c r="C126" s="7" t="s">
        <v>197</v>
      </c>
      <c r="D126" s="7" t="s">
        <v>975</v>
      </c>
      <c r="E126" s="7" t="s">
        <v>1075</v>
      </c>
      <c r="F126" s="7" t="s">
        <v>1076</v>
      </c>
      <c r="G126" s="7" t="s">
        <v>1077</v>
      </c>
      <c r="H126" s="7" t="s">
        <v>1078</v>
      </c>
      <c r="I126" s="7" t="s">
        <v>1079</v>
      </c>
      <c r="J126" s="11" t="s">
        <v>28</v>
      </c>
      <c r="K126" s="11" t="s">
        <v>30</v>
      </c>
      <c r="L126" s="11" t="s">
        <v>38</v>
      </c>
      <c r="M126" s="11" t="s">
        <v>40</v>
      </c>
      <c r="N126" s="11" t="s">
        <v>42</v>
      </c>
      <c r="O126" s="9"/>
      <c r="P126" t="str">
        <f t="shared" si="3"/>
        <v/>
      </c>
    </row>
    <row r="127" spans="1:16" ht="34.049999999999997" customHeight="1" x14ac:dyDescent="0.25">
      <c r="A127" s="5" t="s">
        <v>316</v>
      </c>
      <c r="B127" s="5" t="s">
        <v>84</v>
      </c>
      <c r="C127" s="7" t="s">
        <v>85</v>
      </c>
      <c r="D127" s="7" t="s">
        <v>1135</v>
      </c>
      <c r="E127" s="7" t="s">
        <v>995</v>
      </c>
      <c r="F127" s="7" t="s">
        <v>996</v>
      </c>
      <c r="G127" s="7" t="s">
        <v>997</v>
      </c>
      <c r="H127" s="7" t="s">
        <v>998</v>
      </c>
      <c r="I127" s="7" t="s">
        <v>999</v>
      </c>
      <c r="J127" s="11" t="s">
        <v>34</v>
      </c>
      <c r="K127" s="11" t="s">
        <v>36</v>
      </c>
      <c r="L127" s="11" t="s">
        <v>38</v>
      </c>
      <c r="M127" s="11" t="s">
        <v>40</v>
      </c>
      <c r="N127" s="11" t="s">
        <v>42</v>
      </c>
      <c r="O127" s="9"/>
      <c r="P127" t="str">
        <f t="shared" si="3"/>
        <v/>
      </c>
    </row>
    <row r="128" spans="1:16" ht="34.049999999999997" customHeight="1" x14ac:dyDescent="0.25">
      <c r="A128" s="5" t="s">
        <v>316</v>
      </c>
      <c r="B128" s="5" t="s">
        <v>92</v>
      </c>
      <c r="C128" s="7" t="s">
        <v>820</v>
      </c>
      <c r="D128" s="7" t="s">
        <v>1136</v>
      </c>
      <c r="E128" s="7" t="s">
        <v>1001</v>
      </c>
      <c r="F128" s="7" t="s">
        <v>1002</v>
      </c>
      <c r="G128" s="7" t="s">
        <v>1003</v>
      </c>
      <c r="H128" s="7" t="s">
        <v>1004</v>
      </c>
      <c r="I128" s="7" t="s">
        <v>1005</v>
      </c>
      <c r="J128" s="11" t="s">
        <v>28</v>
      </c>
      <c r="K128" s="11" t="s">
        <v>30</v>
      </c>
      <c r="L128" s="11" t="s">
        <v>32</v>
      </c>
      <c r="M128" s="11" t="s">
        <v>40</v>
      </c>
      <c r="N128" s="11" t="s">
        <v>42</v>
      </c>
      <c r="O128" s="9"/>
      <c r="P128" t="str">
        <f t="shared" si="3"/>
        <v/>
      </c>
    </row>
    <row r="129" spans="1:16" ht="34.049999999999997" customHeight="1" x14ac:dyDescent="0.25">
      <c r="A129" s="5" t="s">
        <v>316</v>
      </c>
      <c r="B129" s="5" t="s">
        <v>100</v>
      </c>
      <c r="C129" s="7" t="s">
        <v>1006</v>
      </c>
      <c r="D129" s="7" t="s">
        <v>1137</v>
      </c>
      <c r="E129" s="7" t="s">
        <v>1008</v>
      </c>
      <c r="F129" s="7" t="s">
        <v>1009</v>
      </c>
      <c r="G129" s="7" t="s">
        <v>1010</v>
      </c>
      <c r="H129" s="7" t="s">
        <v>1011</v>
      </c>
      <c r="I129" s="7" t="s">
        <v>1012</v>
      </c>
      <c r="J129" s="11" t="s">
        <v>30</v>
      </c>
      <c r="K129" s="11" t="s">
        <v>32</v>
      </c>
      <c r="L129" s="11" t="s">
        <v>34</v>
      </c>
      <c r="M129" s="11" t="s">
        <v>36</v>
      </c>
      <c r="N129" s="11" t="s">
        <v>38</v>
      </c>
      <c r="O129" s="9"/>
      <c r="P129" t="str">
        <f t="shared" si="3"/>
        <v/>
      </c>
    </row>
    <row r="130" spans="1:16" ht="34.049999999999997" customHeight="1" x14ac:dyDescent="0.25">
      <c r="A130" s="5" t="s">
        <v>316</v>
      </c>
      <c r="B130" s="5" t="s">
        <v>108</v>
      </c>
      <c r="C130" s="7" t="s">
        <v>833</v>
      </c>
      <c r="D130" s="7" t="s">
        <v>977</v>
      </c>
      <c r="E130" s="7" t="s">
        <v>1013</v>
      </c>
      <c r="F130" s="7" t="s">
        <v>1014</v>
      </c>
      <c r="G130" s="7" t="s">
        <v>1015</v>
      </c>
      <c r="H130" s="7" t="s">
        <v>1016</v>
      </c>
      <c r="I130" s="7" t="s">
        <v>1017</v>
      </c>
      <c r="J130" s="11" t="s">
        <v>28</v>
      </c>
      <c r="K130" s="11" t="s">
        <v>36</v>
      </c>
      <c r="L130" s="11" t="s">
        <v>38</v>
      </c>
      <c r="M130" s="11" t="s">
        <v>40</v>
      </c>
      <c r="N130" s="11" t="s">
        <v>42</v>
      </c>
      <c r="O130" s="9"/>
      <c r="P130" t="str">
        <f t="shared" si="3"/>
        <v/>
      </c>
    </row>
    <row r="131" spans="1:16" ht="34.049999999999997" customHeight="1" x14ac:dyDescent="0.25">
      <c r="A131" s="5" t="s">
        <v>316</v>
      </c>
      <c r="B131" s="5" t="s">
        <v>116</v>
      </c>
      <c r="C131" s="7" t="s">
        <v>1018</v>
      </c>
      <c r="D131" s="7" t="s">
        <v>978</v>
      </c>
      <c r="E131" s="7" t="s">
        <v>1019</v>
      </c>
      <c r="F131" s="7" t="s">
        <v>1020</v>
      </c>
      <c r="G131" s="7" t="s">
        <v>1021</v>
      </c>
      <c r="H131" s="7" t="s">
        <v>1022</v>
      </c>
      <c r="I131" s="7" t="s">
        <v>1023</v>
      </c>
      <c r="J131" s="11" t="s">
        <v>28</v>
      </c>
      <c r="K131" s="11" t="s">
        <v>30</v>
      </c>
      <c r="L131" s="11" t="s">
        <v>32</v>
      </c>
      <c r="M131" s="11" t="s">
        <v>34</v>
      </c>
      <c r="N131" s="11" t="s">
        <v>42</v>
      </c>
      <c r="O131" s="9"/>
      <c r="P131" t="str">
        <f t="shared" si="3"/>
        <v/>
      </c>
    </row>
    <row r="132" spans="1:16" ht="34.049999999999997" customHeight="1" x14ac:dyDescent="0.25">
      <c r="A132" s="5" t="s">
        <v>316</v>
      </c>
      <c r="B132" s="5" t="s">
        <v>124</v>
      </c>
      <c r="C132" s="7" t="s">
        <v>560</v>
      </c>
      <c r="D132" s="7" t="s">
        <v>515</v>
      </c>
      <c r="E132" s="7" t="s">
        <v>1024</v>
      </c>
      <c r="F132" s="7" t="s">
        <v>1025</v>
      </c>
      <c r="G132" s="7" t="s">
        <v>1026</v>
      </c>
      <c r="H132" s="7" t="s">
        <v>1027</v>
      </c>
      <c r="I132" s="7" t="s">
        <v>1028</v>
      </c>
      <c r="J132" s="11" t="s">
        <v>32</v>
      </c>
      <c r="K132" s="11" t="s">
        <v>34</v>
      </c>
      <c r="L132" s="11" t="s">
        <v>36</v>
      </c>
      <c r="M132" s="11" t="s">
        <v>38</v>
      </c>
      <c r="N132" s="11" t="s">
        <v>40</v>
      </c>
      <c r="O132" s="9"/>
      <c r="P132" t="str">
        <f t="shared" si="3"/>
        <v/>
      </c>
    </row>
    <row r="133" spans="1:16" ht="34.049999999999997" customHeight="1" x14ac:dyDescent="0.25">
      <c r="A133" s="5" t="s">
        <v>316</v>
      </c>
      <c r="B133" s="5" t="s">
        <v>132</v>
      </c>
      <c r="C133" s="7" t="s">
        <v>396</v>
      </c>
      <c r="D133" s="7" t="s">
        <v>1138</v>
      </c>
      <c r="E133" s="7" t="s">
        <v>1029</v>
      </c>
      <c r="F133" s="7" t="s">
        <v>1030</v>
      </c>
      <c r="G133" s="7" t="s">
        <v>1031</v>
      </c>
      <c r="H133" s="7" t="s">
        <v>1032</v>
      </c>
      <c r="I133" s="7" t="s">
        <v>1033</v>
      </c>
      <c r="J133" s="11" t="s">
        <v>28</v>
      </c>
      <c r="K133" s="11" t="s">
        <v>30</v>
      </c>
      <c r="L133" s="11" t="s">
        <v>38</v>
      </c>
      <c r="M133" s="11" t="s">
        <v>40</v>
      </c>
      <c r="N133" s="11" t="s">
        <v>42</v>
      </c>
      <c r="O133" s="9"/>
      <c r="P133" t="str">
        <f t="shared" si="3"/>
        <v/>
      </c>
    </row>
    <row r="134" spans="1:16" ht="34.049999999999997" customHeight="1" x14ac:dyDescent="0.25">
      <c r="A134" s="5" t="s">
        <v>316</v>
      </c>
      <c r="B134" s="5" t="s">
        <v>140</v>
      </c>
      <c r="C134" s="7" t="s">
        <v>858</v>
      </c>
      <c r="D134" s="7" t="s">
        <v>1139</v>
      </c>
      <c r="E134" s="7" t="s">
        <v>1034</v>
      </c>
      <c r="F134" s="7" t="s">
        <v>1035</v>
      </c>
      <c r="G134" s="7" t="s">
        <v>1036</v>
      </c>
      <c r="H134" s="7" t="s">
        <v>1037</v>
      </c>
      <c r="I134" s="7" t="s">
        <v>1038</v>
      </c>
      <c r="J134" s="11" t="s">
        <v>28</v>
      </c>
      <c r="K134" s="11" t="s">
        <v>30</v>
      </c>
      <c r="L134" s="11" t="s">
        <v>32</v>
      </c>
      <c r="M134" s="11" t="s">
        <v>34</v>
      </c>
      <c r="N134" s="11" t="s">
        <v>36</v>
      </c>
      <c r="O134" s="9"/>
      <c r="P134" t="str">
        <f t="shared" si="3"/>
        <v/>
      </c>
    </row>
    <row r="135" spans="1:16" ht="34.049999999999997" customHeight="1" x14ac:dyDescent="0.25">
      <c r="A135" s="5" t="s">
        <v>316</v>
      </c>
      <c r="B135" s="5" t="s">
        <v>148</v>
      </c>
      <c r="C135" s="7" t="s">
        <v>149</v>
      </c>
      <c r="D135" s="7" t="s">
        <v>517</v>
      </c>
      <c r="E135" s="7" t="s">
        <v>1040</v>
      </c>
      <c r="F135" s="7" t="s">
        <v>1041</v>
      </c>
      <c r="G135" s="7" t="s">
        <v>1042</v>
      </c>
      <c r="H135" s="7" t="s">
        <v>1043</v>
      </c>
      <c r="I135" s="7" t="s">
        <v>1044</v>
      </c>
      <c r="J135" s="11" t="s">
        <v>34</v>
      </c>
      <c r="K135" s="11" t="s">
        <v>36</v>
      </c>
      <c r="L135" s="11" t="s">
        <v>38</v>
      </c>
      <c r="M135" s="11" t="s">
        <v>40</v>
      </c>
      <c r="N135" s="11" t="s">
        <v>42</v>
      </c>
      <c r="O135" s="9"/>
      <c r="P135" t="str">
        <f t="shared" ref="P135:P166" si="4">IF(O135="","",INDEX(J135:N135,1,O135))</f>
        <v/>
      </c>
    </row>
    <row r="136" spans="1:16" ht="34.049999999999997" customHeight="1" x14ac:dyDescent="0.25">
      <c r="A136" s="5" t="s">
        <v>316</v>
      </c>
      <c r="B136" s="5" t="s">
        <v>156</v>
      </c>
      <c r="C136" s="7" t="s">
        <v>157</v>
      </c>
      <c r="D136" s="7" t="s">
        <v>980</v>
      </c>
      <c r="E136" s="7" t="s">
        <v>1046</v>
      </c>
      <c r="F136" s="7" t="s">
        <v>1047</v>
      </c>
      <c r="G136" s="7" t="s">
        <v>1048</v>
      </c>
      <c r="H136" s="7" t="s">
        <v>1049</v>
      </c>
      <c r="I136" s="7" t="s">
        <v>1050</v>
      </c>
      <c r="J136" s="11" t="s">
        <v>28</v>
      </c>
      <c r="K136" s="11" t="s">
        <v>30</v>
      </c>
      <c r="L136" s="11" t="s">
        <v>32</v>
      </c>
      <c r="M136" s="11" t="s">
        <v>40</v>
      </c>
      <c r="N136" s="11" t="s">
        <v>42</v>
      </c>
      <c r="O136" s="9"/>
      <c r="P136" t="str">
        <f t="shared" si="4"/>
        <v/>
      </c>
    </row>
    <row r="137" spans="1:16" ht="34.049999999999997" customHeight="1" x14ac:dyDescent="0.25">
      <c r="A137" s="5" t="s">
        <v>316</v>
      </c>
      <c r="B137" s="5" t="s">
        <v>164</v>
      </c>
      <c r="C137" s="7" t="s">
        <v>165</v>
      </c>
      <c r="D137" s="7" t="s">
        <v>1140</v>
      </c>
      <c r="E137" s="7" t="s">
        <v>1052</v>
      </c>
      <c r="F137" s="7" t="s">
        <v>1053</v>
      </c>
      <c r="G137" s="7" t="s">
        <v>1054</v>
      </c>
      <c r="H137" s="7" t="s">
        <v>1055</v>
      </c>
      <c r="I137" s="7" t="s">
        <v>1056</v>
      </c>
      <c r="J137" s="11" t="s">
        <v>30</v>
      </c>
      <c r="K137" s="11" t="s">
        <v>32</v>
      </c>
      <c r="L137" s="11" t="s">
        <v>34</v>
      </c>
      <c r="M137" s="11" t="s">
        <v>36</v>
      </c>
      <c r="N137" s="11" t="s">
        <v>38</v>
      </c>
      <c r="O137" s="9"/>
      <c r="P137" t="str">
        <f t="shared" si="4"/>
        <v/>
      </c>
    </row>
    <row r="138" spans="1:16" ht="34.049999999999997" customHeight="1" x14ac:dyDescent="0.25">
      <c r="A138" s="5" t="s">
        <v>316</v>
      </c>
      <c r="B138" s="5" t="s">
        <v>172</v>
      </c>
      <c r="C138" s="7" t="s">
        <v>173</v>
      </c>
      <c r="D138" s="7" t="s">
        <v>1141</v>
      </c>
      <c r="E138" s="7" t="s">
        <v>1058</v>
      </c>
      <c r="F138" s="7" t="s">
        <v>1059</v>
      </c>
      <c r="G138" s="7" t="s">
        <v>1060</v>
      </c>
      <c r="H138" s="7" t="s">
        <v>1061</v>
      </c>
      <c r="I138" s="7" t="s">
        <v>1062</v>
      </c>
      <c r="J138" s="11" t="s">
        <v>28</v>
      </c>
      <c r="K138" s="11" t="s">
        <v>36</v>
      </c>
      <c r="L138" s="11" t="s">
        <v>38</v>
      </c>
      <c r="M138" s="11" t="s">
        <v>40</v>
      </c>
      <c r="N138" s="11" t="s">
        <v>42</v>
      </c>
      <c r="O138" s="9"/>
      <c r="P138" t="str">
        <f t="shared" si="4"/>
        <v/>
      </c>
    </row>
    <row r="139" spans="1:16" ht="34.049999999999997" customHeight="1" x14ac:dyDescent="0.25">
      <c r="A139" s="5" t="s">
        <v>316</v>
      </c>
      <c r="B139" s="5" t="s">
        <v>180</v>
      </c>
      <c r="C139" s="7" t="s">
        <v>1063</v>
      </c>
      <c r="D139" s="7" t="s">
        <v>1142</v>
      </c>
      <c r="E139" s="7" t="s">
        <v>1065</v>
      </c>
      <c r="F139" s="7" t="s">
        <v>1066</v>
      </c>
      <c r="G139" s="7" t="s">
        <v>1067</v>
      </c>
      <c r="H139" s="7" t="s">
        <v>1068</v>
      </c>
      <c r="I139" s="7" t="s">
        <v>1069</v>
      </c>
      <c r="J139" s="11" t="s">
        <v>28</v>
      </c>
      <c r="K139" s="11" t="s">
        <v>30</v>
      </c>
      <c r="L139" s="11" t="s">
        <v>32</v>
      </c>
      <c r="M139" s="11" t="s">
        <v>34</v>
      </c>
      <c r="N139" s="11" t="s">
        <v>42</v>
      </c>
      <c r="O139" s="9"/>
      <c r="P139" t="str">
        <f t="shared" si="4"/>
        <v/>
      </c>
    </row>
    <row r="140" spans="1:16" ht="34.049999999999997" customHeight="1" x14ac:dyDescent="0.25">
      <c r="A140" s="5" t="s">
        <v>316</v>
      </c>
      <c r="B140" s="5" t="s">
        <v>188</v>
      </c>
      <c r="C140" s="7" t="s">
        <v>189</v>
      </c>
      <c r="D140" s="7" t="s">
        <v>518</v>
      </c>
      <c r="E140" s="7" t="s">
        <v>1070</v>
      </c>
      <c r="F140" s="7" t="s">
        <v>1071</v>
      </c>
      <c r="G140" s="7" t="s">
        <v>1072</v>
      </c>
      <c r="H140" s="7" t="s">
        <v>1073</v>
      </c>
      <c r="I140" s="7" t="s">
        <v>1074</v>
      </c>
      <c r="J140" s="11" t="s">
        <v>32</v>
      </c>
      <c r="K140" s="11" t="s">
        <v>34</v>
      </c>
      <c r="L140" s="11" t="s">
        <v>36</v>
      </c>
      <c r="M140" s="11" t="s">
        <v>38</v>
      </c>
      <c r="N140" s="11" t="s">
        <v>40</v>
      </c>
      <c r="O140" s="9"/>
      <c r="P140" t="str">
        <f t="shared" si="4"/>
        <v/>
      </c>
    </row>
    <row r="141" spans="1:16" ht="34.049999999999997" customHeight="1" x14ac:dyDescent="0.25">
      <c r="A141" s="5" t="s">
        <v>316</v>
      </c>
      <c r="B141" s="5" t="s">
        <v>196</v>
      </c>
      <c r="C141" s="7" t="s">
        <v>197</v>
      </c>
      <c r="D141" s="7" t="s">
        <v>983</v>
      </c>
      <c r="E141" s="7" t="s">
        <v>1075</v>
      </c>
      <c r="F141" s="7" t="s">
        <v>1076</v>
      </c>
      <c r="G141" s="7" t="s">
        <v>1077</v>
      </c>
      <c r="H141" s="7" t="s">
        <v>1078</v>
      </c>
      <c r="I141" s="7" t="s">
        <v>1079</v>
      </c>
      <c r="J141" s="11" t="s">
        <v>28</v>
      </c>
      <c r="K141" s="11" t="s">
        <v>30</v>
      </c>
      <c r="L141" s="11" t="s">
        <v>38</v>
      </c>
      <c r="M141" s="11" t="s">
        <v>40</v>
      </c>
      <c r="N141" s="11" t="s">
        <v>42</v>
      </c>
      <c r="O141" s="9"/>
      <c r="P141" t="str">
        <f t="shared" si="4"/>
        <v/>
      </c>
    </row>
    <row r="142" spans="1:16" ht="34.049999999999997" customHeight="1" x14ac:dyDescent="0.25">
      <c r="A142" s="5" t="s">
        <v>332</v>
      </c>
      <c r="B142" s="5" t="s">
        <v>84</v>
      </c>
      <c r="C142" s="7" t="s">
        <v>85</v>
      </c>
      <c r="D142" s="7" t="s">
        <v>520</v>
      </c>
      <c r="E142" s="7" t="s">
        <v>995</v>
      </c>
      <c r="F142" s="7" t="s">
        <v>996</v>
      </c>
      <c r="G142" s="7" t="s">
        <v>997</v>
      </c>
      <c r="H142" s="7" t="s">
        <v>998</v>
      </c>
      <c r="I142" s="7" t="s">
        <v>999</v>
      </c>
      <c r="J142" s="11" t="s">
        <v>34</v>
      </c>
      <c r="K142" s="11" t="s">
        <v>36</v>
      </c>
      <c r="L142" s="11" t="s">
        <v>38</v>
      </c>
      <c r="M142" s="11" t="s">
        <v>40</v>
      </c>
      <c r="N142" s="11" t="s">
        <v>42</v>
      </c>
      <c r="O142" s="9"/>
      <c r="P142" t="str">
        <f t="shared" si="4"/>
        <v/>
      </c>
    </row>
    <row r="143" spans="1:16" ht="34.049999999999997" customHeight="1" x14ac:dyDescent="0.25">
      <c r="A143" s="5" t="s">
        <v>332</v>
      </c>
      <c r="B143" s="5" t="s">
        <v>92</v>
      </c>
      <c r="C143" s="7" t="s">
        <v>820</v>
      </c>
      <c r="D143" s="7" t="s">
        <v>984</v>
      </c>
      <c r="E143" s="7" t="s">
        <v>1001</v>
      </c>
      <c r="F143" s="7" t="s">
        <v>1002</v>
      </c>
      <c r="G143" s="7" t="s">
        <v>1003</v>
      </c>
      <c r="H143" s="7" t="s">
        <v>1004</v>
      </c>
      <c r="I143" s="7" t="s">
        <v>1005</v>
      </c>
      <c r="J143" s="11" t="s">
        <v>28</v>
      </c>
      <c r="K143" s="11" t="s">
        <v>30</v>
      </c>
      <c r="L143" s="11" t="s">
        <v>32</v>
      </c>
      <c r="M143" s="11" t="s">
        <v>40</v>
      </c>
      <c r="N143" s="11" t="s">
        <v>42</v>
      </c>
      <c r="O143" s="9"/>
      <c r="P143" t="str">
        <f t="shared" si="4"/>
        <v/>
      </c>
    </row>
    <row r="144" spans="1:16" ht="34.049999999999997" customHeight="1" x14ac:dyDescent="0.25">
      <c r="A144" s="5" t="s">
        <v>332</v>
      </c>
      <c r="B144" s="5" t="s">
        <v>100</v>
      </c>
      <c r="C144" s="7" t="s">
        <v>1006</v>
      </c>
      <c r="D144" s="7" t="s">
        <v>1143</v>
      </c>
      <c r="E144" s="7" t="s">
        <v>1008</v>
      </c>
      <c r="F144" s="7" t="s">
        <v>1009</v>
      </c>
      <c r="G144" s="7" t="s">
        <v>1010</v>
      </c>
      <c r="H144" s="7" t="s">
        <v>1011</v>
      </c>
      <c r="I144" s="7" t="s">
        <v>1012</v>
      </c>
      <c r="J144" s="11" t="s">
        <v>30</v>
      </c>
      <c r="K144" s="11" t="s">
        <v>32</v>
      </c>
      <c r="L144" s="11" t="s">
        <v>34</v>
      </c>
      <c r="M144" s="11" t="s">
        <v>36</v>
      </c>
      <c r="N144" s="11" t="s">
        <v>38</v>
      </c>
      <c r="O144" s="9"/>
      <c r="P144" t="str">
        <f t="shared" si="4"/>
        <v/>
      </c>
    </row>
    <row r="145" spans="1:16" ht="34.049999999999997" customHeight="1" x14ac:dyDescent="0.25">
      <c r="A145" s="5" t="s">
        <v>332</v>
      </c>
      <c r="B145" s="5" t="s">
        <v>108</v>
      </c>
      <c r="C145" s="7" t="s">
        <v>833</v>
      </c>
      <c r="D145" s="7" t="s">
        <v>1144</v>
      </c>
      <c r="E145" s="7" t="s">
        <v>1013</v>
      </c>
      <c r="F145" s="7" t="s">
        <v>1014</v>
      </c>
      <c r="G145" s="7" t="s">
        <v>1015</v>
      </c>
      <c r="H145" s="7" t="s">
        <v>1016</v>
      </c>
      <c r="I145" s="7" t="s">
        <v>1017</v>
      </c>
      <c r="J145" s="11" t="s">
        <v>28</v>
      </c>
      <c r="K145" s="11" t="s">
        <v>36</v>
      </c>
      <c r="L145" s="11" t="s">
        <v>38</v>
      </c>
      <c r="M145" s="11" t="s">
        <v>40</v>
      </c>
      <c r="N145" s="11" t="s">
        <v>42</v>
      </c>
      <c r="O145" s="9"/>
      <c r="P145" t="str">
        <f t="shared" si="4"/>
        <v/>
      </c>
    </row>
    <row r="146" spans="1:16" ht="34.049999999999997" customHeight="1" x14ac:dyDescent="0.25">
      <c r="A146" s="5" t="s">
        <v>332</v>
      </c>
      <c r="B146" s="5" t="s">
        <v>116</v>
      </c>
      <c r="C146" s="7" t="s">
        <v>1018</v>
      </c>
      <c r="D146" s="7" t="s">
        <v>523</v>
      </c>
      <c r="E146" s="7" t="s">
        <v>1019</v>
      </c>
      <c r="F146" s="7" t="s">
        <v>1020</v>
      </c>
      <c r="G146" s="7" t="s">
        <v>1021</v>
      </c>
      <c r="H146" s="7" t="s">
        <v>1022</v>
      </c>
      <c r="I146" s="7" t="s">
        <v>1023</v>
      </c>
      <c r="J146" s="11" t="s">
        <v>28</v>
      </c>
      <c r="K146" s="11" t="s">
        <v>30</v>
      </c>
      <c r="L146" s="11" t="s">
        <v>32</v>
      </c>
      <c r="M146" s="11" t="s">
        <v>34</v>
      </c>
      <c r="N146" s="11" t="s">
        <v>42</v>
      </c>
      <c r="O146" s="9"/>
      <c r="P146" t="str">
        <f t="shared" si="4"/>
        <v/>
      </c>
    </row>
    <row r="147" spans="1:16" ht="34.049999999999997" customHeight="1" x14ac:dyDescent="0.25">
      <c r="A147" s="5" t="s">
        <v>332</v>
      </c>
      <c r="B147" s="5" t="s">
        <v>124</v>
      </c>
      <c r="C147" s="7" t="s">
        <v>560</v>
      </c>
      <c r="D147" s="7" t="s">
        <v>653</v>
      </c>
      <c r="E147" s="7" t="s">
        <v>1024</v>
      </c>
      <c r="F147" s="7" t="s">
        <v>1025</v>
      </c>
      <c r="G147" s="7" t="s">
        <v>1026</v>
      </c>
      <c r="H147" s="7" t="s">
        <v>1027</v>
      </c>
      <c r="I147" s="7" t="s">
        <v>1028</v>
      </c>
      <c r="J147" s="11" t="s">
        <v>32</v>
      </c>
      <c r="K147" s="11" t="s">
        <v>34</v>
      </c>
      <c r="L147" s="11" t="s">
        <v>36</v>
      </c>
      <c r="M147" s="11" t="s">
        <v>38</v>
      </c>
      <c r="N147" s="11" t="s">
        <v>40</v>
      </c>
      <c r="O147" s="9"/>
      <c r="P147" t="str">
        <f t="shared" si="4"/>
        <v/>
      </c>
    </row>
    <row r="148" spans="1:16" ht="34.049999999999997" customHeight="1" x14ac:dyDescent="0.25">
      <c r="A148" s="5" t="s">
        <v>332</v>
      </c>
      <c r="B148" s="5" t="s">
        <v>132</v>
      </c>
      <c r="C148" s="7" t="s">
        <v>396</v>
      </c>
      <c r="D148" s="7" t="s">
        <v>1145</v>
      </c>
      <c r="E148" s="7" t="s">
        <v>1029</v>
      </c>
      <c r="F148" s="7" t="s">
        <v>1030</v>
      </c>
      <c r="G148" s="7" t="s">
        <v>1031</v>
      </c>
      <c r="H148" s="7" t="s">
        <v>1032</v>
      </c>
      <c r="I148" s="7" t="s">
        <v>1033</v>
      </c>
      <c r="J148" s="11" t="s">
        <v>28</v>
      </c>
      <c r="K148" s="11" t="s">
        <v>30</v>
      </c>
      <c r="L148" s="11" t="s">
        <v>38</v>
      </c>
      <c r="M148" s="11" t="s">
        <v>40</v>
      </c>
      <c r="N148" s="11" t="s">
        <v>42</v>
      </c>
      <c r="O148" s="9"/>
      <c r="P148" t="str">
        <f t="shared" si="4"/>
        <v/>
      </c>
    </row>
    <row r="149" spans="1:16" ht="34.049999999999997" customHeight="1" x14ac:dyDescent="0.25">
      <c r="A149" s="5" t="s">
        <v>332</v>
      </c>
      <c r="B149" s="5" t="s">
        <v>140</v>
      </c>
      <c r="C149" s="7" t="s">
        <v>858</v>
      </c>
      <c r="D149" s="7" t="s">
        <v>1146</v>
      </c>
      <c r="E149" s="7" t="s">
        <v>1034</v>
      </c>
      <c r="F149" s="7" t="s">
        <v>1035</v>
      </c>
      <c r="G149" s="7" t="s">
        <v>1036</v>
      </c>
      <c r="H149" s="7" t="s">
        <v>1037</v>
      </c>
      <c r="I149" s="7" t="s">
        <v>1038</v>
      </c>
      <c r="J149" s="11" t="s">
        <v>28</v>
      </c>
      <c r="K149" s="11" t="s">
        <v>30</v>
      </c>
      <c r="L149" s="11" t="s">
        <v>32</v>
      </c>
      <c r="M149" s="11" t="s">
        <v>34</v>
      </c>
      <c r="N149" s="11" t="s">
        <v>36</v>
      </c>
      <c r="O149" s="9"/>
      <c r="P149" t="str">
        <f t="shared" si="4"/>
        <v/>
      </c>
    </row>
    <row r="150" spans="1:16" ht="34.049999999999997" customHeight="1" x14ac:dyDescent="0.25">
      <c r="A150" s="5" t="s">
        <v>332</v>
      </c>
      <c r="B150" s="5" t="s">
        <v>148</v>
      </c>
      <c r="C150" s="7" t="s">
        <v>149</v>
      </c>
      <c r="D150" s="7" t="s">
        <v>988</v>
      </c>
      <c r="E150" s="7" t="s">
        <v>1040</v>
      </c>
      <c r="F150" s="7" t="s">
        <v>1041</v>
      </c>
      <c r="G150" s="7" t="s">
        <v>1042</v>
      </c>
      <c r="H150" s="7" t="s">
        <v>1043</v>
      </c>
      <c r="I150" s="7" t="s">
        <v>1044</v>
      </c>
      <c r="J150" s="11" t="s">
        <v>34</v>
      </c>
      <c r="K150" s="11" t="s">
        <v>36</v>
      </c>
      <c r="L150" s="11" t="s">
        <v>38</v>
      </c>
      <c r="M150" s="11" t="s">
        <v>40</v>
      </c>
      <c r="N150" s="11" t="s">
        <v>42</v>
      </c>
      <c r="O150" s="9"/>
      <c r="P150" t="str">
        <f t="shared" si="4"/>
        <v/>
      </c>
    </row>
    <row r="151" spans="1:16" ht="34.049999999999997" customHeight="1" x14ac:dyDescent="0.25">
      <c r="A151" s="5" t="s">
        <v>332</v>
      </c>
      <c r="B151" s="5" t="s">
        <v>156</v>
      </c>
      <c r="C151" s="7" t="s">
        <v>157</v>
      </c>
      <c r="D151" s="7" t="s">
        <v>1147</v>
      </c>
      <c r="E151" s="7" t="s">
        <v>1046</v>
      </c>
      <c r="F151" s="7" t="s">
        <v>1047</v>
      </c>
      <c r="G151" s="7" t="s">
        <v>1048</v>
      </c>
      <c r="H151" s="7" t="s">
        <v>1049</v>
      </c>
      <c r="I151" s="7" t="s">
        <v>1050</v>
      </c>
      <c r="J151" s="11" t="s">
        <v>28</v>
      </c>
      <c r="K151" s="11" t="s">
        <v>30</v>
      </c>
      <c r="L151" s="11" t="s">
        <v>32</v>
      </c>
      <c r="M151" s="11" t="s">
        <v>40</v>
      </c>
      <c r="N151" s="11" t="s">
        <v>42</v>
      </c>
      <c r="O151" s="9"/>
      <c r="P151" t="str">
        <f t="shared" si="4"/>
        <v/>
      </c>
    </row>
    <row r="152" spans="1:16" ht="34.049999999999997" customHeight="1" x14ac:dyDescent="0.25">
      <c r="A152" s="5" t="s">
        <v>332</v>
      </c>
      <c r="B152" s="5" t="s">
        <v>164</v>
      </c>
      <c r="C152" s="7" t="s">
        <v>165</v>
      </c>
      <c r="D152" s="7" t="s">
        <v>1148</v>
      </c>
      <c r="E152" s="7" t="s">
        <v>1052</v>
      </c>
      <c r="F152" s="7" t="s">
        <v>1053</v>
      </c>
      <c r="G152" s="7" t="s">
        <v>1054</v>
      </c>
      <c r="H152" s="7" t="s">
        <v>1055</v>
      </c>
      <c r="I152" s="7" t="s">
        <v>1056</v>
      </c>
      <c r="J152" s="11" t="s">
        <v>30</v>
      </c>
      <c r="K152" s="11" t="s">
        <v>32</v>
      </c>
      <c r="L152" s="11" t="s">
        <v>34</v>
      </c>
      <c r="M152" s="11" t="s">
        <v>36</v>
      </c>
      <c r="N152" s="11" t="s">
        <v>38</v>
      </c>
      <c r="O152" s="9"/>
      <c r="P152" t="str">
        <f t="shared" si="4"/>
        <v/>
      </c>
    </row>
    <row r="153" spans="1:16" ht="34.049999999999997" customHeight="1" x14ac:dyDescent="0.25">
      <c r="A153" s="5" t="s">
        <v>332</v>
      </c>
      <c r="B153" s="5" t="s">
        <v>172</v>
      </c>
      <c r="C153" s="7" t="s">
        <v>173</v>
      </c>
      <c r="D153" s="7" t="s">
        <v>1149</v>
      </c>
      <c r="E153" s="7" t="s">
        <v>1058</v>
      </c>
      <c r="F153" s="7" t="s">
        <v>1059</v>
      </c>
      <c r="G153" s="7" t="s">
        <v>1060</v>
      </c>
      <c r="H153" s="7" t="s">
        <v>1061</v>
      </c>
      <c r="I153" s="7" t="s">
        <v>1062</v>
      </c>
      <c r="J153" s="11" t="s">
        <v>28</v>
      </c>
      <c r="K153" s="11" t="s">
        <v>36</v>
      </c>
      <c r="L153" s="11" t="s">
        <v>38</v>
      </c>
      <c r="M153" s="11" t="s">
        <v>40</v>
      </c>
      <c r="N153" s="11" t="s">
        <v>42</v>
      </c>
      <c r="O153" s="9"/>
      <c r="P153" t="str">
        <f t="shared" si="4"/>
        <v/>
      </c>
    </row>
    <row r="154" spans="1:16" ht="34.049999999999997" customHeight="1" x14ac:dyDescent="0.25">
      <c r="A154" s="5" t="s">
        <v>332</v>
      </c>
      <c r="B154" s="5" t="s">
        <v>180</v>
      </c>
      <c r="C154" s="7" t="s">
        <v>1063</v>
      </c>
      <c r="D154" s="7" t="s">
        <v>1150</v>
      </c>
      <c r="E154" s="7" t="s">
        <v>1065</v>
      </c>
      <c r="F154" s="7" t="s">
        <v>1066</v>
      </c>
      <c r="G154" s="7" t="s">
        <v>1067</v>
      </c>
      <c r="H154" s="7" t="s">
        <v>1068</v>
      </c>
      <c r="I154" s="7" t="s">
        <v>1069</v>
      </c>
      <c r="J154" s="11" t="s">
        <v>28</v>
      </c>
      <c r="K154" s="11" t="s">
        <v>30</v>
      </c>
      <c r="L154" s="11" t="s">
        <v>32</v>
      </c>
      <c r="M154" s="11" t="s">
        <v>34</v>
      </c>
      <c r="N154" s="11" t="s">
        <v>42</v>
      </c>
      <c r="O154" s="9"/>
      <c r="P154" t="str">
        <f t="shared" si="4"/>
        <v/>
      </c>
    </row>
    <row r="155" spans="1:16" ht="34.049999999999997" customHeight="1" x14ac:dyDescent="0.25">
      <c r="A155" s="5" t="s">
        <v>332</v>
      </c>
      <c r="B155" s="5" t="s">
        <v>188</v>
      </c>
      <c r="C155" s="7" t="s">
        <v>189</v>
      </c>
      <c r="D155" s="7" t="s">
        <v>1151</v>
      </c>
      <c r="E155" s="7" t="s">
        <v>1070</v>
      </c>
      <c r="F155" s="7" t="s">
        <v>1071</v>
      </c>
      <c r="G155" s="7" t="s">
        <v>1072</v>
      </c>
      <c r="H155" s="7" t="s">
        <v>1073</v>
      </c>
      <c r="I155" s="7" t="s">
        <v>1074</v>
      </c>
      <c r="J155" s="11" t="s">
        <v>32</v>
      </c>
      <c r="K155" s="11" t="s">
        <v>34</v>
      </c>
      <c r="L155" s="11" t="s">
        <v>36</v>
      </c>
      <c r="M155" s="11" t="s">
        <v>38</v>
      </c>
      <c r="N155" s="11" t="s">
        <v>40</v>
      </c>
      <c r="O155" s="9"/>
      <c r="P155" t="str">
        <f t="shared" si="4"/>
        <v/>
      </c>
    </row>
    <row r="156" spans="1:16" ht="34.049999999999997" customHeight="1" x14ac:dyDescent="0.25">
      <c r="A156" s="5" t="s">
        <v>332</v>
      </c>
      <c r="B156" s="5" t="s">
        <v>196</v>
      </c>
      <c r="C156" s="7" t="s">
        <v>197</v>
      </c>
      <c r="D156" s="7" t="s">
        <v>991</v>
      </c>
      <c r="E156" s="7" t="s">
        <v>1075</v>
      </c>
      <c r="F156" s="7" t="s">
        <v>1076</v>
      </c>
      <c r="G156" s="7" t="s">
        <v>1077</v>
      </c>
      <c r="H156" s="7" t="s">
        <v>1078</v>
      </c>
      <c r="I156" s="7" t="s">
        <v>1079</v>
      </c>
      <c r="J156" s="11" t="s">
        <v>28</v>
      </c>
      <c r="K156" s="11" t="s">
        <v>30</v>
      </c>
      <c r="L156" s="11" t="s">
        <v>38</v>
      </c>
      <c r="M156" s="11" t="s">
        <v>40</v>
      </c>
      <c r="N156" s="11" t="s">
        <v>42</v>
      </c>
      <c r="O156" s="9"/>
      <c r="P156" t="str">
        <f t="shared" si="4"/>
        <v/>
      </c>
    </row>
    <row r="158" spans="1:16" ht="19.95" customHeight="1" x14ac:dyDescent="0.25">
      <c r="A158" s="29" t="s">
        <v>348</v>
      </c>
      <c r="B158" s="18"/>
      <c r="C158" s="18"/>
      <c r="D158" s="18"/>
      <c r="E158" s="18"/>
    </row>
    <row r="159" spans="1:16" ht="13.8" x14ac:dyDescent="0.25">
      <c r="A159" s="12" t="s">
        <v>349</v>
      </c>
      <c r="B159" s="12" t="s">
        <v>350</v>
      </c>
      <c r="C159" s="12" t="s">
        <v>351</v>
      </c>
      <c r="D159" s="12" t="s">
        <v>352</v>
      </c>
    </row>
    <row r="160" spans="1:16" ht="13.8" x14ac:dyDescent="0.25">
      <c r="A160" s="5" t="s">
        <v>28</v>
      </c>
      <c r="B160" s="13">
        <f>COUNTIFS($A$7:$A$156,B4,$P$7:$P$156,"A")</f>
        <v>0</v>
      </c>
      <c r="C160" s="13">
        <f>SUMPRODUCT((J7:J156="A")*(A7:A156=B4)+(K7:K156="A")*(A7:A156=B4)+(L7:L156="A")*(A7:A156=B4)+(M7:M156="A")*(A7:A156=B4)+(N7:N156="A")*(A7:A156=B4))</f>
        <v>9</v>
      </c>
      <c r="D160" s="14">
        <f t="shared" ref="D160:D167" si="5">IFERROR(ROUND(B160/C160*100,0),0)</f>
        <v>0</v>
      </c>
    </row>
    <row r="161" spans="1:21" ht="13.8" x14ac:dyDescent="0.25">
      <c r="A161" s="5" t="s">
        <v>30</v>
      </c>
      <c r="B161" s="13">
        <f>COUNTIFS($A$7:$A$156,B4,$P$7:$P$156,"B")</f>
        <v>0</v>
      </c>
      <c r="C161" s="13">
        <f>SUMPRODUCT((J7:J156="B")*(A7:A156=B4)+(K7:K156="B")*(A7:A156=B4)+(L7:L156="B")*(A7:A156=B4)+(M7:M156="B")*(A7:A156=B4)+(N7:N156="B")*(A7:A156=B4))</f>
        <v>9</v>
      </c>
      <c r="D161" s="14">
        <f t="shared" si="5"/>
        <v>0</v>
      </c>
    </row>
    <row r="162" spans="1:21" ht="13.8" x14ac:dyDescent="0.25">
      <c r="A162" s="5" t="s">
        <v>32</v>
      </c>
      <c r="B162" s="13">
        <f>COUNTIFS($A$7:$A$156,B4,$P$7:$P$156,"C")</f>
        <v>0</v>
      </c>
      <c r="C162" s="13">
        <f>SUMPRODUCT((J7:J156="C")*(A7:A156=B4)+(K7:K156="C")*(A7:A156=B4)+(L7:L156="C")*(A7:A156=B4)+(M7:M156="C")*(A7:A156=B4)+(N7:N156="C")*(A7:A156=B4))</f>
        <v>9</v>
      </c>
      <c r="D162" s="14">
        <f t="shared" si="5"/>
        <v>0</v>
      </c>
    </row>
    <row r="163" spans="1:21" ht="13.8" x14ac:dyDescent="0.25">
      <c r="A163" s="5" t="s">
        <v>34</v>
      </c>
      <c r="B163" s="13">
        <f>COUNTIFS($A$7:$A$156,B4,$P$7:$P$156,"D")</f>
        <v>0</v>
      </c>
      <c r="C163" s="13">
        <f>SUMPRODUCT((J7:J156="D")*(A7:A156=B4)+(K7:K156="D")*(A7:A156=B4)+(L7:L156="D")*(A7:A156=B4)+(M7:M156="D")*(A7:A156=B4)+(N7:N156="D")*(A7:A156=B4))</f>
        <v>9</v>
      </c>
      <c r="D163" s="14">
        <f t="shared" si="5"/>
        <v>0</v>
      </c>
    </row>
    <row r="164" spans="1:21" ht="13.8" x14ac:dyDescent="0.25">
      <c r="A164" s="5" t="s">
        <v>36</v>
      </c>
      <c r="B164" s="13">
        <f>COUNTIFS($A$7:$A$156,B4,$P$7:$P$156,"E")</f>
        <v>0</v>
      </c>
      <c r="C164" s="13">
        <f>SUMPRODUCT((J7:J156="E")*(A7:A156=B4)+(K7:K156="E")*(A7:A156=B4)+(L7:L156="E")*(A7:A156=B4)+(M7:M156="E")*(A7:A156=B4)+(N7:N156="E")*(A7:A156=B4))</f>
        <v>9</v>
      </c>
      <c r="D164" s="14">
        <f t="shared" si="5"/>
        <v>0</v>
      </c>
    </row>
    <row r="165" spans="1:21" ht="13.8" x14ac:dyDescent="0.25">
      <c r="A165" s="5" t="s">
        <v>38</v>
      </c>
      <c r="B165" s="13">
        <f>COUNTIFS($A$7:$A$156,B4,$P$7:$P$156,"F")</f>
        <v>0</v>
      </c>
      <c r="C165" s="13">
        <f>SUMPRODUCT((J7:J156="F")*(A7:A156=B4)+(K7:K156="F")*(A7:A156=B4)+(L7:L156="F")*(A7:A156=B4)+(M7:M156="F")*(A7:A156=B4)+(N7:N156="F")*(A7:A156=B4))</f>
        <v>10</v>
      </c>
      <c r="D165" s="14">
        <f t="shared" si="5"/>
        <v>0</v>
      </c>
    </row>
    <row r="166" spans="1:21" ht="13.8" x14ac:dyDescent="0.25">
      <c r="A166" s="5" t="s">
        <v>40</v>
      </c>
      <c r="B166" s="13">
        <f>COUNTIFS($A$7:$A$156,B4,$P$7:$P$156,"G")</f>
        <v>0</v>
      </c>
      <c r="C166" s="13">
        <f>SUMPRODUCT((J7:J156="G")*(A7:A156=B4)+(K7:K156="G")*(A7:A156=B4)+(L7:L156="G")*(A7:A156=B4)+(M7:M156="G")*(A7:A156=B4)+(N7:N156="G")*(A7:A156=B4))</f>
        <v>10</v>
      </c>
      <c r="D166" s="14">
        <f t="shared" si="5"/>
        <v>0</v>
      </c>
    </row>
    <row r="167" spans="1:21" ht="13.8" x14ac:dyDescent="0.25">
      <c r="A167" s="5" t="s">
        <v>42</v>
      </c>
      <c r="B167" s="13">
        <f>COUNTIFS($A$7:$A$156,B4,$P$7:$P$156,"H")</f>
        <v>0</v>
      </c>
      <c r="C167" s="13">
        <f>SUMPRODUCT((J7:J156="H")*(A7:A156=B4)+(K7:K156="H")*(A7:A156=B4)+(L7:L156="H")*(A7:A156=B4)+(M7:M156="H")*(A7:A156=B4)+(N7:N156="H")*(A7:A156=B4))</f>
        <v>10</v>
      </c>
      <c r="D167" s="14">
        <f t="shared" si="5"/>
        <v>0</v>
      </c>
    </row>
    <row r="169" spans="1:21" ht="19.95" customHeight="1" x14ac:dyDescent="0.25">
      <c r="A169" s="24" t="s">
        <v>353</v>
      </c>
      <c r="B169" s="18"/>
      <c r="C169" s="18"/>
      <c r="D169" s="18"/>
      <c r="E169" s="18"/>
      <c r="F169" s="18"/>
    </row>
    <row r="170" spans="1:21" ht="13.8" x14ac:dyDescent="0.25">
      <c r="A170" s="15" t="s">
        <v>354</v>
      </c>
      <c r="B170" s="15" t="s">
        <v>355</v>
      </c>
      <c r="C170" s="15" t="s">
        <v>356</v>
      </c>
      <c r="D170" s="26" t="s">
        <v>357</v>
      </c>
      <c r="E170" s="27"/>
      <c r="F170" s="28"/>
    </row>
    <row r="171" spans="1:21" ht="34.049999999999997" customHeight="1" x14ac:dyDescent="0.3">
      <c r="A171" s="5">
        <v>1</v>
      </c>
      <c r="B171" s="16" t="str">
        <f>INDEX('Career Clusters &amp; Pathways'!$B$4:$B$11,MATCH(U171,'Career Clusters &amp; Pathways'!$A$4:$A$11,0))</f>
        <v>Engineering &amp; Construction</v>
      </c>
      <c r="C171" s="13" t="str">
        <f>ROUND(LARGE($S$7:$S$14,1),0)&amp;"%"</f>
        <v>0%</v>
      </c>
      <c r="D171" s="21" t="str">
        <f>INDEX('Career Clusters &amp; Pathways'!$D$4:$D$11,MATCH(U171,'Career Clusters &amp; Pathways'!$A$4:$A$11,0))</f>
        <v>Civil / Structural Engineer, Construction Manager, Industrial / Manufacturing Engineer, Renewable Energy Engineer, Supply Chain / Logistics Manager</v>
      </c>
      <c r="E171" s="22"/>
      <c r="F171" s="22"/>
      <c r="U171" t="str">
        <f>INDEX($R$7:$R$14,MATCH(LARGE($S$7:$S$14,1),$S$7:$S$14,0))</f>
        <v>A</v>
      </c>
    </row>
    <row r="172" spans="1:21" ht="34.049999999999997" customHeight="1" x14ac:dyDescent="0.3">
      <c r="A172" s="5">
        <v>2</v>
      </c>
      <c r="B172" s="16" t="str">
        <f>INDEX('Career Clusters &amp; Pathways'!$B$4:$B$11,MATCH(U172,'Career Clusters &amp; Pathways'!$A$4:$A$11,0))</f>
        <v>Information Technology</v>
      </c>
      <c r="C172" s="13" t="str">
        <f>ROUND(LARGE($S$7:$S$14,2),0)&amp;"%"</f>
        <v>0%</v>
      </c>
      <c r="D172" s="21" t="str">
        <f>INDEX('Career Clusters &amp; Pathways'!$D$4:$D$11,MATCH(U172,'Career Clusters &amp; Pathways'!$A$4:$A$11,0))</f>
        <v>Software Developer, Data Scientist / Analyst, Cybersecurity Analyst, Cloud / DevOps Engineer, UI/UX Designer</v>
      </c>
      <c r="E172" s="22"/>
      <c r="F172" s="22"/>
      <c r="U172" t="str">
        <f>INDEX($R$7:$R$14,MATCH(LARGE($S$7:$S$14,2),$S$7:$S$14,0))</f>
        <v>B</v>
      </c>
    </row>
    <row r="173" spans="1:21" ht="34.049999999999997" customHeight="1" x14ac:dyDescent="0.3">
      <c r="A173" s="5">
        <v>3</v>
      </c>
      <c r="B173" s="16" t="str">
        <f>INDEX('Career Clusters &amp; Pathways'!$B$4:$B$11,MATCH(U173,'Career Clusters &amp; Pathways'!$A$4:$A$11,0))</f>
        <v>Health Science</v>
      </c>
      <c r="C173" s="13" t="str">
        <f>ROUND(LARGE($S$7:$S$14,3),0)&amp;"%"</f>
        <v>0%</v>
      </c>
      <c r="D173" s="21" t="str">
        <f>INDEX('Career Clusters &amp; Pathways'!$D$4:$D$11,MATCH(U173,'Career Clusters &amp; Pathways'!$A$4:$A$11,0))</f>
        <v>Doctor / Dentist, Nurse, Physiotherapist / Allied Health, Pharmacist / Biotech Researcher, Psychologist / Counselor</v>
      </c>
      <c r="E173" s="22"/>
      <c r="F173" s="22"/>
      <c r="U173" t="str">
        <f>INDEX($R$7:$R$14,MATCH(LARGE($S$7:$S$14,3),$S$7:$S$14,0))</f>
        <v>C</v>
      </c>
    </row>
    <row r="175" spans="1:21" x14ac:dyDescent="0.25">
      <c r="A175" s="23" t="s">
        <v>358</v>
      </c>
      <c r="B175" s="18"/>
      <c r="C175" s="18"/>
      <c r="D175" s="18"/>
      <c r="E175" s="18"/>
      <c r="F175" s="18"/>
    </row>
  </sheetData>
  <mergeCells count="10">
    <mergeCell ref="A1:N1"/>
    <mergeCell ref="D173:F173"/>
    <mergeCell ref="A175:F175"/>
    <mergeCell ref="A169:F169"/>
    <mergeCell ref="D171:F171"/>
    <mergeCell ref="A2:N2"/>
    <mergeCell ref="D172:F172"/>
    <mergeCell ref="C4:H4"/>
    <mergeCell ref="D170:F170"/>
    <mergeCell ref="A158:E158"/>
  </mergeCells>
  <dataValidations count="2">
    <dataValidation type="list" showErrorMessage="1" sqref="B4" xr:uid="{00000000-0002-0000-0800-000000000000}">
      <formula1>"Set 1,Set 2,Set 3,Set 4,Set 5,Set 6,Set 7,Set 8,Set 9,Set 10"</formula1>
    </dataValidation>
    <dataValidation type="list" allowBlank="1" showErrorMessage="1" errorTitle="Invalid entry" error="Please enter a number from 1 to 5." sqref="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xr:uid="{00000000-0002-0000-0800-000001000000}">
      <formula1>"1,2,3,4,5"</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61"/>
  <sheetViews>
    <sheetView workbookViewId="0"/>
  </sheetViews>
  <sheetFormatPr defaultColWidth="12.6640625" defaultRowHeight="15.75" customHeight="1" x14ac:dyDescent="0.25"/>
  <cols>
    <col min="1" max="1" width="31.44140625" customWidth="1"/>
    <col min="2" max="2" width="24" customWidth="1"/>
    <col min="3" max="3" width="50.6640625" customWidth="1"/>
    <col min="4" max="4" width="19.21875" customWidth="1"/>
    <col min="5" max="5" width="34.33203125" customWidth="1"/>
    <col min="6" max="6" width="31.44140625" customWidth="1"/>
    <col min="7" max="7" width="21.77734375" customWidth="1"/>
    <col min="8" max="8" width="22.88671875" customWidth="1"/>
  </cols>
  <sheetData>
    <row r="1" spans="1:8" x14ac:dyDescent="0.25">
      <c r="A1" s="1" t="s">
        <v>27</v>
      </c>
      <c r="B1" s="1" t="s">
        <v>1152</v>
      </c>
      <c r="C1" s="1" t="s">
        <v>1153</v>
      </c>
      <c r="D1" s="1" t="s">
        <v>1154</v>
      </c>
      <c r="E1" s="1" t="s">
        <v>1155</v>
      </c>
      <c r="F1" s="1" t="s">
        <v>1156</v>
      </c>
      <c r="G1" s="1" t="s">
        <v>1157</v>
      </c>
      <c r="H1" s="1" t="s">
        <v>1158</v>
      </c>
    </row>
    <row r="2" spans="1:8" ht="15.75" customHeight="1" x14ac:dyDescent="0.3">
      <c r="A2" s="2" t="s">
        <v>1159</v>
      </c>
      <c r="B2" s="2" t="s">
        <v>1160</v>
      </c>
      <c r="C2" s="2" t="s">
        <v>1161</v>
      </c>
      <c r="D2" s="2" t="s">
        <v>1162</v>
      </c>
      <c r="E2" s="2" t="s">
        <v>1163</v>
      </c>
      <c r="F2" s="2" t="s">
        <v>1164</v>
      </c>
      <c r="G2" s="2" t="s">
        <v>1165</v>
      </c>
      <c r="H2" s="2" t="s">
        <v>1166</v>
      </c>
    </row>
    <row r="3" spans="1:8" ht="15.75" customHeight="1" x14ac:dyDescent="0.3">
      <c r="A3" s="2" t="s">
        <v>1159</v>
      </c>
      <c r="B3" s="2" t="s">
        <v>1167</v>
      </c>
      <c r="C3" s="2" t="s">
        <v>1168</v>
      </c>
      <c r="D3" s="2" t="s">
        <v>1162</v>
      </c>
      <c r="E3" s="2" t="s">
        <v>1169</v>
      </c>
      <c r="F3" s="2" t="s">
        <v>1170</v>
      </c>
      <c r="G3" s="2" t="s">
        <v>1165</v>
      </c>
      <c r="H3" s="2" t="s">
        <v>1166</v>
      </c>
    </row>
    <row r="4" spans="1:8" ht="15.75" customHeight="1" x14ac:dyDescent="0.3">
      <c r="A4" s="2" t="s">
        <v>1159</v>
      </c>
      <c r="B4" s="2" t="s">
        <v>1171</v>
      </c>
      <c r="C4" s="2" t="s">
        <v>1172</v>
      </c>
      <c r="D4" s="2" t="s">
        <v>1162</v>
      </c>
      <c r="E4" s="2" t="s">
        <v>1173</v>
      </c>
      <c r="F4" s="2" t="s">
        <v>1174</v>
      </c>
      <c r="G4" s="2" t="s">
        <v>1165</v>
      </c>
      <c r="H4" s="2" t="s">
        <v>1166</v>
      </c>
    </row>
    <row r="5" spans="1:8" ht="15.75" customHeight="1" x14ac:dyDescent="0.3">
      <c r="A5" s="2" t="s">
        <v>1159</v>
      </c>
      <c r="B5" s="2" t="s">
        <v>1175</v>
      </c>
      <c r="C5" s="2" t="s">
        <v>1176</v>
      </c>
      <c r="D5" s="2" t="s">
        <v>1177</v>
      </c>
      <c r="E5" s="2" t="s">
        <v>1178</v>
      </c>
      <c r="F5" s="2" t="s">
        <v>1179</v>
      </c>
      <c r="G5" s="2" t="s">
        <v>1180</v>
      </c>
      <c r="H5" s="2" t="s">
        <v>1181</v>
      </c>
    </row>
    <row r="6" spans="1:8" ht="15.75" customHeight="1" x14ac:dyDescent="0.3">
      <c r="A6" s="2" t="s">
        <v>1159</v>
      </c>
      <c r="B6" s="2" t="s">
        <v>1182</v>
      </c>
      <c r="C6" s="2" t="s">
        <v>1183</v>
      </c>
      <c r="D6" s="2" t="s">
        <v>1162</v>
      </c>
      <c r="E6" s="2" t="s">
        <v>1184</v>
      </c>
      <c r="F6" s="2" t="s">
        <v>1185</v>
      </c>
      <c r="G6" s="2" t="s">
        <v>1165</v>
      </c>
      <c r="H6" s="2" t="s">
        <v>1166</v>
      </c>
    </row>
    <row r="7" spans="1:8" ht="15.75" customHeight="1" x14ac:dyDescent="0.3">
      <c r="A7" s="2" t="s">
        <v>1159</v>
      </c>
      <c r="B7" s="2" t="s">
        <v>1186</v>
      </c>
      <c r="C7" s="2" t="s">
        <v>1187</v>
      </c>
      <c r="D7" s="2" t="s">
        <v>1177</v>
      </c>
      <c r="E7" s="2" t="s">
        <v>1188</v>
      </c>
      <c r="F7" s="2" t="s">
        <v>1189</v>
      </c>
      <c r="G7" s="2" t="s">
        <v>1180</v>
      </c>
      <c r="H7" s="2" t="s">
        <v>1181</v>
      </c>
    </row>
    <row r="8" spans="1:8" ht="15.75" customHeight="1" x14ac:dyDescent="0.3">
      <c r="A8" s="2" t="s">
        <v>1159</v>
      </c>
      <c r="B8" s="2" t="s">
        <v>1190</v>
      </c>
      <c r="C8" s="2" t="s">
        <v>1191</v>
      </c>
      <c r="D8" s="2" t="s">
        <v>1177</v>
      </c>
      <c r="E8" s="2" t="s">
        <v>1192</v>
      </c>
      <c r="F8" s="2" t="s">
        <v>1193</v>
      </c>
      <c r="G8" s="2" t="s">
        <v>1180</v>
      </c>
      <c r="H8" s="2" t="s">
        <v>1181</v>
      </c>
    </row>
    <row r="9" spans="1:8" ht="15.75" customHeight="1" x14ac:dyDescent="0.3">
      <c r="A9" s="2" t="s">
        <v>1159</v>
      </c>
      <c r="B9" s="2" t="s">
        <v>1194</v>
      </c>
      <c r="C9" s="2" t="s">
        <v>1195</v>
      </c>
      <c r="D9" s="2" t="s">
        <v>1177</v>
      </c>
      <c r="E9" s="2" t="s">
        <v>1196</v>
      </c>
      <c r="F9" s="2" t="s">
        <v>1197</v>
      </c>
      <c r="G9" s="2" t="s">
        <v>1180</v>
      </c>
      <c r="H9" s="2" t="s">
        <v>1181</v>
      </c>
    </row>
    <row r="10" spans="1:8" ht="15.75" customHeight="1" x14ac:dyDescent="0.3">
      <c r="A10" s="2" t="s">
        <v>1198</v>
      </c>
      <c r="B10" s="2" t="s">
        <v>1199</v>
      </c>
      <c r="C10" s="2" t="s">
        <v>1200</v>
      </c>
      <c r="D10" s="2" t="s">
        <v>1162</v>
      </c>
      <c r="E10" s="2" t="s">
        <v>1201</v>
      </c>
      <c r="F10" s="2" t="s">
        <v>1202</v>
      </c>
      <c r="G10" s="2" t="s">
        <v>1165</v>
      </c>
      <c r="H10" s="2" t="s">
        <v>1166</v>
      </c>
    </row>
    <row r="11" spans="1:8" ht="15.75" customHeight="1" x14ac:dyDescent="0.3">
      <c r="A11" s="2" t="s">
        <v>1198</v>
      </c>
      <c r="B11" s="2" t="s">
        <v>1203</v>
      </c>
      <c r="C11" s="2" t="s">
        <v>1204</v>
      </c>
      <c r="D11" s="2" t="s">
        <v>1162</v>
      </c>
      <c r="E11" s="2" t="s">
        <v>1205</v>
      </c>
      <c r="F11" s="2" t="s">
        <v>1206</v>
      </c>
      <c r="G11" s="2" t="s">
        <v>1165</v>
      </c>
      <c r="H11" s="2" t="s">
        <v>1166</v>
      </c>
    </row>
    <row r="12" spans="1:8" ht="15.75" customHeight="1" x14ac:dyDescent="0.3">
      <c r="A12" s="2" t="s">
        <v>1198</v>
      </c>
      <c r="B12" s="2" t="s">
        <v>1207</v>
      </c>
      <c r="C12" s="2" t="s">
        <v>1208</v>
      </c>
      <c r="D12" s="2" t="s">
        <v>1162</v>
      </c>
      <c r="E12" s="2" t="s">
        <v>1209</v>
      </c>
      <c r="F12" s="2" t="s">
        <v>1210</v>
      </c>
      <c r="G12" s="2" t="s">
        <v>1165</v>
      </c>
      <c r="H12" s="2" t="s">
        <v>1166</v>
      </c>
    </row>
    <row r="13" spans="1:8" ht="15.75" customHeight="1" x14ac:dyDescent="0.3">
      <c r="A13" s="2" t="s">
        <v>1198</v>
      </c>
      <c r="B13" s="2" t="s">
        <v>1211</v>
      </c>
      <c r="C13" s="2" t="s">
        <v>1212</v>
      </c>
      <c r="D13" s="2" t="s">
        <v>1162</v>
      </c>
      <c r="E13" s="2" t="s">
        <v>1213</v>
      </c>
      <c r="F13" s="2" t="s">
        <v>1214</v>
      </c>
      <c r="G13" s="2" t="s">
        <v>1165</v>
      </c>
      <c r="H13" s="2" t="s">
        <v>1166</v>
      </c>
    </row>
    <row r="14" spans="1:8" ht="15.75" customHeight="1" x14ac:dyDescent="0.3">
      <c r="A14" s="2" t="s">
        <v>1198</v>
      </c>
      <c r="B14" s="2" t="s">
        <v>1215</v>
      </c>
      <c r="C14" s="2" t="s">
        <v>1216</v>
      </c>
      <c r="D14" s="2" t="s">
        <v>1177</v>
      </c>
      <c r="E14" s="2" t="s">
        <v>1217</v>
      </c>
      <c r="F14" s="2" t="s">
        <v>1218</v>
      </c>
      <c r="G14" s="2" t="s">
        <v>1180</v>
      </c>
      <c r="H14" s="2" t="s">
        <v>1181</v>
      </c>
    </row>
    <row r="15" spans="1:8" ht="15.75" customHeight="1" x14ac:dyDescent="0.3">
      <c r="A15" s="2" t="s">
        <v>1198</v>
      </c>
      <c r="B15" s="2" t="s">
        <v>1219</v>
      </c>
      <c r="C15" s="2" t="s">
        <v>1220</v>
      </c>
      <c r="D15" s="2" t="s">
        <v>1162</v>
      </c>
      <c r="E15" s="2" t="s">
        <v>1221</v>
      </c>
      <c r="F15" s="2" t="s">
        <v>1222</v>
      </c>
      <c r="G15" s="2" t="s">
        <v>1165</v>
      </c>
      <c r="H15" s="2" t="s">
        <v>1166</v>
      </c>
    </row>
    <row r="16" spans="1:8" ht="15.75" customHeight="1" x14ac:dyDescent="0.3">
      <c r="A16" s="2" t="s">
        <v>1198</v>
      </c>
      <c r="B16" s="2" t="s">
        <v>1223</v>
      </c>
      <c r="C16" s="2" t="s">
        <v>1224</v>
      </c>
      <c r="D16" s="2" t="s">
        <v>1162</v>
      </c>
      <c r="E16" s="2" t="s">
        <v>1225</v>
      </c>
      <c r="F16" s="2" t="s">
        <v>1226</v>
      </c>
      <c r="G16" s="2" t="s">
        <v>1165</v>
      </c>
      <c r="H16" s="2" t="s">
        <v>1166</v>
      </c>
    </row>
    <row r="17" spans="1:8" ht="15.75" customHeight="1" x14ac:dyDescent="0.3">
      <c r="A17" s="2" t="s">
        <v>1198</v>
      </c>
      <c r="B17" s="2" t="s">
        <v>1227</v>
      </c>
      <c r="C17" s="2" t="s">
        <v>1228</v>
      </c>
      <c r="D17" s="2" t="s">
        <v>1177</v>
      </c>
      <c r="E17" s="2" t="s">
        <v>1229</v>
      </c>
      <c r="F17" s="2" t="s">
        <v>1230</v>
      </c>
      <c r="G17" s="2" t="s">
        <v>1180</v>
      </c>
      <c r="H17" s="2" t="s">
        <v>1181</v>
      </c>
    </row>
    <row r="18" spans="1:8" ht="15.75" customHeight="1" x14ac:dyDescent="0.3">
      <c r="A18" s="2" t="s">
        <v>1231</v>
      </c>
      <c r="B18" s="2" t="s">
        <v>1232</v>
      </c>
      <c r="C18" s="2" t="s">
        <v>1233</v>
      </c>
      <c r="D18" s="2" t="s">
        <v>1162</v>
      </c>
      <c r="E18" s="2" t="s">
        <v>1234</v>
      </c>
      <c r="F18" s="2" t="s">
        <v>1235</v>
      </c>
      <c r="G18" s="2" t="s">
        <v>1165</v>
      </c>
      <c r="H18" s="2" t="s">
        <v>1166</v>
      </c>
    </row>
    <row r="19" spans="1:8" ht="15.75" customHeight="1" x14ac:dyDescent="0.3">
      <c r="A19" s="2" t="s">
        <v>1231</v>
      </c>
      <c r="B19" s="2" t="s">
        <v>1236</v>
      </c>
      <c r="C19" s="2" t="s">
        <v>1237</v>
      </c>
      <c r="D19" s="2" t="s">
        <v>1162</v>
      </c>
      <c r="E19" s="2" t="s">
        <v>1238</v>
      </c>
      <c r="F19" s="2" t="s">
        <v>1239</v>
      </c>
      <c r="G19" s="2" t="s">
        <v>1165</v>
      </c>
      <c r="H19" s="2" t="s">
        <v>1166</v>
      </c>
    </row>
    <row r="20" spans="1:8" ht="15.75" customHeight="1" x14ac:dyDescent="0.3">
      <c r="A20" s="2" t="s">
        <v>1231</v>
      </c>
      <c r="B20" s="2" t="s">
        <v>1240</v>
      </c>
      <c r="C20" s="2" t="s">
        <v>1241</v>
      </c>
      <c r="D20" s="2" t="s">
        <v>1177</v>
      </c>
      <c r="E20" s="2" t="s">
        <v>1242</v>
      </c>
      <c r="F20" s="2" t="s">
        <v>1243</v>
      </c>
      <c r="G20" s="2" t="s">
        <v>1180</v>
      </c>
      <c r="H20" s="2" t="s">
        <v>1181</v>
      </c>
    </row>
    <row r="21" spans="1:8" ht="15.75" customHeight="1" x14ac:dyDescent="0.3">
      <c r="A21" s="2" t="s">
        <v>1231</v>
      </c>
      <c r="B21" s="2" t="s">
        <v>1244</v>
      </c>
      <c r="C21" s="2" t="s">
        <v>1245</v>
      </c>
      <c r="D21" s="2" t="s">
        <v>1162</v>
      </c>
      <c r="E21" s="2" t="s">
        <v>1246</v>
      </c>
      <c r="F21" s="2" t="s">
        <v>1247</v>
      </c>
      <c r="G21" s="2" t="s">
        <v>1165</v>
      </c>
      <c r="H21" s="2" t="s">
        <v>1166</v>
      </c>
    </row>
    <row r="22" spans="1:8" ht="15.75" customHeight="1" x14ac:dyDescent="0.3">
      <c r="A22" s="2" t="s">
        <v>1231</v>
      </c>
      <c r="B22" s="2" t="s">
        <v>1248</v>
      </c>
      <c r="C22" s="2" t="s">
        <v>1249</v>
      </c>
      <c r="D22" s="2" t="s">
        <v>1177</v>
      </c>
      <c r="E22" s="2" t="s">
        <v>1250</v>
      </c>
      <c r="F22" s="2" t="s">
        <v>1251</v>
      </c>
      <c r="G22" s="2" t="s">
        <v>1180</v>
      </c>
      <c r="H22" s="2" t="s">
        <v>1181</v>
      </c>
    </row>
    <row r="23" spans="1:8" ht="15.75" customHeight="1" x14ac:dyDescent="0.3">
      <c r="A23" s="2" t="s">
        <v>1231</v>
      </c>
      <c r="B23" s="2" t="s">
        <v>1252</v>
      </c>
      <c r="C23" s="2" t="s">
        <v>1253</v>
      </c>
      <c r="D23" s="2" t="s">
        <v>1177</v>
      </c>
      <c r="E23" s="2" t="s">
        <v>1254</v>
      </c>
      <c r="F23" s="2" t="s">
        <v>1255</v>
      </c>
      <c r="G23" s="2" t="s">
        <v>1180</v>
      </c>
      <c r="H23" s="2" t="s">
        <v>1181</v>
      </c>
    </row>
    <row r="24" spans="1:8" ht="15.75" customHeight="1" x14ac:dyDescent="0.3">
      <c r="A24" s="2" t="s">
        <v>1231</v>
      </c>
      <c r="B24" s="2" t="s">
        <v>1256</v>
      </c>
      <c r="C24" s="2" t="s">
        <v>1257</v>
      </c>
      <c r="D24" s="2" t="s">
        <v>1177</v>
      </c>
      <c r="E24" s="2" t="s">
        <v>1258</v>
      </c>
      <c r="F24" s="2" t="s">
        <v>1259</v>
      </c>
      <c r="G24" s="2" t="s">
        <v>1180</v>
      </c>
      <c r="H24" s="2" t="s">
        <v>1181</v>
      </c>
    </row>
    <row r="25" spans="1:8" ht="15.75" customHeight="1" x14ac:dyDescent="0.3">
      <c r="A25" s="2" t="s">
        <v>1231</v>
      </c>
      <c r="B25" s="2" t="s">
        <v>1260</v>
      </c>
      <c r="C25" s="2" t="s">
        <v>1261</v>
      </c>
      <c r="D25" s="2" t="s">
        <v>1162</v>
      </c>
      <c r="E25" s="2" t="s">
        <v>1262</v>
      </c>
      <c r="F25" s="2" t="s">
        <v>1263</v>
      </c>
      <c r="G25" s="2" t="s">
        <v>1165</v>
      </c>
      <c r="H25" s="2" t="s">
        <v>1166</v>
      </c>
    </row>
    <row r="26" spans="1:8" ht="15.75" customHeight="1" x14ac:dyDescent="0.3">
      <c r="A26" s="2" t="s">
        <v>1264</v>
      </c>
      <c r="B26" s="2" t="s">
        <v>1265</v>
      </c>
      <c r="C26" s="2" t="s">
        <v>1266</v>
      </c>
      <c r="D26" s="2" t="s">
        <v>1162</v>
      </c>
      <c r="E26" s="2" t="s">
        <v>1267</v>
      </c>
      <c r="F26" s="2" t="s">
        <v>1268</v>
      </c>
      <c r="G26" s="2" t="s">
        <v>1165</v>
      </c>
      <c r="H26" s="2" t="s">
        <v>1166</v>
      </c>
    </row>
    <row r="27" spans="1:8" ht="14.4" x14ac:dyDescent="0.3">
      <c r="A27" s="2" t="s">
        <v>1264</v>
      </c>
      <c r="B27" s="2" t="s">
        <v>1269</v>
      </c>
      <c r="C27" s="2" t="s">
        <v>1270</v>
      </c>
      <c r="D27" s="2" t="s">
        <v>1162</v>
      </c>
      <c r="E27" s="2" t="s">
        <v>1271</v>
      </c>
      <c r="F27" s="2" t="s">
        <v>1272</v>
      </c>
      <c r="G27" s="2" t="s">
        <v>1165</v>
      </c>
      <c r="H27" s="2" t="s">
        <v>1166</v>
      </c>
    </row>
    <row r="28" spans="1:8" ht="14.4" x14ac:dyDescent="0.3">
      <c r="A28" s="2" t="s">
        <v>1264</v>
      </c>
      <c r="B28" s="2" t="s">
        <v>1273</v>
      </c>
      <c r="C28" s="2" t="s">
        <v>1274</v>
      </c>
      <c r="D28" s="2" t="s">
        <v>1162</v>
      </c>
      <c r="E28" s="2" t="s">
        <v>1275</v>
      </c>
      <c r="F28" s="2" t="s">
        <v>1276</v>
      </c>
      <c r="G28" s="2" t="s">
        <v>1165</v>
      </c>
      <c r="H28" s="2" t="s">
        <v>1166</v>
      </c>
    </row>
    <row r="29" spans="1:8" ht="14.4" x14ac:dyDescent="0.3">
      <c r="A29" s="2" t="s">
        <v>1264</v>
      </c>
      <c r="B29" s="2" t="s">
        <v>1277</v>
      </c>
      <c r="C29" s="2" t="s">
        <v>1278</v>
      </c>
      <c r="D29" s="2" t="s">
        <v>1177</v>
      </c>
      <c r="E29" s="2" t="s">
        <v>1279</v>
      </c>
      <c r="F29" s="2" t="s">
        <v>1280</v>
      </c>
      <c r="G29" s="2" t="s">
        <v>1180</v>
      </c>
      <c r="H29" s="2" t="s">
        <v>1181</v>
      </c>
    </row>
    <row r="30" spans="1:8" ht="14.4" x14ac:dyDescent="0.3">
      <c r="A30" s="2" t="s">
        <v>1264</v>
      </c>
      <c r="B30" s="2" t="s">
        <v>1281</v>
      </c>
      <c r="C30" s="2" t="s">
        <v>1282</v>
      </c>
      <c r="D30" s="2" t="s">
        <v>1162</v>
      </c>
      <c r="E30" s="2" t="s">
        <v>1283</v>
      </c>
      <c r="F30" s="2" t="s">
        <v>1284</v>
      </c>
      <c r="G30" s="2" t="s">
        <v>1165</v>
      </c>
      <c r="H30" s="2" t="s">
        <v>1166</v>
      </c>
    </row>
    <row r="31" spans="1:8" ht="14.4" x14ac:dyDescent="0.3">
      <c r="A31" s="2" t="s">
        <v>1264</v>
      </c>
      <c r="B31" s="2" t="s">
        <v>1285</v>
      </c>
      <c r="C31" s="2" t="s">
        <v>1286</v>
      </c>
      <c r="D31" s="2" t="s">
        <v>1162</v>
      </c>
      <c r="E31" s="2" t="s">
        <v>1287</v>
      </c>
      <c r="F31" s="2" t="s">
        <v>1288</v>
      </c>
      <c r="G31" s="2" t="s">
        <v>1165</v>
      </c>
      <c r="H31" s="2" t="s">
        <v>1166</v>
      </c>
    </row>
    <row r="32" spans="1:8" ht="14.4" x14ac:dyDescent="0.3">
      <c r="A32" s="2" t="s">
        <v>1264</v>
      </c>
      <c r="B32" s="2" t="s">
        <v>1289</v>
      </c>
      <c r="C32" s="2" t="s">
        <v>1290</v>
      </c>
      <c r="D32" s="2" t="s">
        <v>1177</v>
      </c>
      <c r="E32" s="2" t="s">
        <v>1291</v>
      </c>
      <c r="F32" s="2" t="s">
        <v>1292</v>
      </c>
      <c r="G32" s="2" t="s">
        <v>1180</v>
      </c>
      <c r="H32" s="2" t="s">
        <v>1181</v>
      </c>
    </row>
    <row r="33" spans="1:8" ht="14.4" x14ac:dyDescent="0.3">
      <c r="A33" s="2" t="s">
        <v>1264</v>
      </c>
      <c r="B33" s="2" t="s">
        <v>1293</v>
      </c>
      <c r="C33" s="2" t="s">
        <v>1294</v>
      </c>
      <c r="D33" s="2" t="s">
        <v>1295</v>
      </c>
      <c r="E33" s="2" t="s">
        <v>1296</v>
      </c>
      <c r="F33" s="2" t="s">
        <v>1297</v>
      </c>
      <c r="G33" s="2" t="s">
        <v>1298</v>
      </c>
      <c r="H33" s="2" t="s">
        <v>1299</v>
      </c>
    </row>
    <row r="34" spans="1:8" ht="14.4" x14ac:dyDescent="0.3">
      <c r="A34" s="2" t="s">
        <v>1300</v>
      </c>
      <c r="B34" s="2" t="s">
        <v>1301</v>
      </c>
      <c r="C34" s="2" t="s">
        <v>1302</v>
      </c>
      <c r="D34" s="2" t="s">
        <v>1177</v>
      </c>
      <c r="E34" s="2" t="s">
        <v>1303</v>
      </c>
      <c r="F34" s="2" t="s">
        <v>1304</v>
      </c>
      <c r="G34" s="2" t="s">
        <v>1180</v>
      </c>
      <c r="H34" s="2" t="s">
        <v>1181</v>
      </c>
    </row>
    <row r="35" spans="1:8" ht="14.4" x14ac:dyDescent="0.3">
      <c r="A35" s="2" t="s">
        <v>1300</v>
      </c>
      <c r="B35" s="2" t="s">
        <v>1305</v>
      </c>
      <c r="C35" s="2" t="s">
        <v>1306</v>
      </c>
      <c r="D35" s="2" t="s">
        <v>1177</v>
      </c>
      <c r="E35" s="2" t="s">
        <v>1307</v>
      </c>
      <c r="F35" s="2" t="s">
        <v>1308</v>
      </c>
      <c r="G35" s="2" t="s">
        <v>1180</v>
      </c>
      <c r="H35" s="2" t="s">
        <v>1181</v>
      </c>
    </row>
    <row r="36" spans="1:8" ht="14.4" x14ac:dyDescent="0.3">
      <c r="A36" s="2" t="s">
        <v>1300</v>
      </c>
      <c r="B36" s="2" t="s">
        <v>1309</v>
      </c>
      <c r="C36" s="2" t="s">
        <v>1310</v>
      </c>
      <c r="D36" s="2" t="s">
        <v>1162</v>
      </c>
      <c r="E36" s="2" t="s">
        <v>1311</v>
      </c>
      <c r="F36" s="2" t="s">
        <v>1312</v>
      </c>
      <c r="G36" s="2" t="s">
        <v>1165</v>
      </c>
      <c r="H36" s="2" t="s">
        <v>1166</v>
      </c>
    </row>
    <row r="37" spans="1:8" ht="14.4" x14ac:dyDescent="0.3">
      <c r="A37" s="2" t="s">
        <v>1300</v>
      </c>
      <c r="B37" s="2" t="s">
        <v>1313</v>
      </c>
      <c r="C37" s="2" t="s">
        <v>1314</v>
      </c>
      <c r="D37" s="2" t="s">
        <v>1162</v>
      </c>
      <c r="E37" s="2" t="s">
        <v>1315</v>
      </c>
      <c r="F37" s="2" t="s">
        <v>1316</v>
      </c>
      <c r="G37" s="2" t="s">
        <v>1165</v>
      </c>
      <c r="H37" s="2" t="s">
        <v>1166</v>
      </c>
    </row>
    <row r="38" spans="1:8" ht="14.4" x14ac:dyDescent="0.3">
      <c r="A38" s="2" t="s">
        <v>1300</v>
      </c>
      <c r="B38" s="2" t="s">
        <v>1317</v>
      </c>
      <c r="C38" s="2" t="s">
        <v>1318</v>
      </c>
      <c r="D38" s="2" t="s">
        <v>1177</v>
      </c>
      <c r="E38" s="2" t="s">
        <v>1319</v>
      </c>
      <c r="F38" s="2" t="s">
        <v>1320</v>
      </c>
      <c r="G38" s="2" t="s">
        <v>1180</v>
      </c>
      <c r="H38" s="2" t="s">
        <v>1181</v>
      </c>
    </row>
    <row r="39" spans="1:8" ht="14.4" x14ac:dyDescent="0.3">
      <c r="A39" s="2" t="s">
        <v>1300</v>
      </c>
      <c r="B39" s="2" t="s">
        <v>1321</v>
      </c>
      <c r="C39" s="2" t="s">
        <v>1322</v>
      </c>
      <c r="D39" s="2" t="s">
        <v>1177</v>
      </c>
      <c r="E39" s="2" t="s">
        <v>1323</v>
      </c>
      <c r="F39" s="2" t="s">
        <v>1324</v>
      </c>
      <c r="G39" s="2" t="s">
        <v>1180</v>
      </c>
      <c r="H39" s="2" t="s">
        <v>1181</v>
      </c>
    </row>
    <row r="40" spans="1:8" ht="14.4" x14ac:dyDescent="0.3">
      <c r="A40" s="2" t="s">
        <v>1300</v>
      </c>
      <c r="B40" s="2" t="s">
        <v>1325</v>
      </c>
      <c r="C40" s="2" t="s">
        <v>1326</v>
      </c>
      <c r="D40" s="2" t="s">
        <v>1177</v>
      </c>
      <c r="E40" s="2" t="s">
        <v>1327</v>
      </c>
      <c r="F40" s="2" t="s">
        <v>1328</v>
      </c>
      <c r="G40" s="2" t="s">
        <v>1180</v>
      </c>
      <c r="H40" s="2" t="s">
        <v>1181</v>
      </c>
    </row>
    <row r="41" spans="1:8" ht="14.4" x14ac:dyDescent="0.3">
      <c r="A41" s="2" t="s">
        <v>1300</v>
      </c>
      <c r="B41" s="2" t="s">
        <v>1329</v>
      </c>
      <c r="C41" s="2" t="s">
        <v>1330</v>
      </c>
      <c r="D41" s="2" t="s">
        <v>1177</v>
      </c>
      <c r="E41" s="2" t="s">
        <v>1331</v>
      </c>
      <c r="F41" s="2" t="s">
        <v>1332</v>
      </c>
      <c r="G41" s="2" t="s">
        <v>1180</v>
      </c>
      <c r="H41" s="2" t="s">
        <v>1181</v>
      </c>
    </row>
    <row r="42" spans="1:8" ht="14.4" x14ac:dyDescent="0.3">
      <c r="A42" s="2" t="s">
        <v>1333</v>
      </c>
      <c r="B42" s="2" t="s">
        <v>1334</v>
      </c>
      <c r="C42" s="2" t="s">
        <v>1335</v>
      </c>
      <c r="D42" s="2" t="s">
        <v>1162</v>
      </c>
      <c r="E42" s="2" t="s">
        <v>1336</v>
      </c>
      <c r="F42" s="2" t="s">
        <v>1337</v>
      </c>
      <c r="G42" s="2" t="s">
        <v>1165</v>
      </c>
      <c r="H42" s="2" t="s">
        <v>1166</v>
      </c>
    </row>
    <row r="43" spans="1:8" ht="14.4" x14ac:dyDescent="0.3">
      <c r="A43" s="2" t="s">
        <v>1333</v>
      </c>
      <c r="B43" s="2" t="s">
        <v>1338</v>
      </c>
      <c r="C43" s="2" t="s">
        <v>1339</v>
      </c>
      <c r="D43" s="2" t="s">
        <v>1162</v>
      </c>
      <c r="E43" s="2" t="s">
        <v>1340</v>
      </c>
      <c r="F43" s="2" t="s">
        <v>1341</v>
      </c>
      <c r="G43" s="2" t="s">
        <v>1165</v>
      </c>
      <c r="H43" s="2" t="s">
        <v>1166</v>
      </c>
    </row>
    <row r="44" spans="1:8" ht="14.4" x14ac:dyDescent="0.3">
      <c r="A44" s="2" t="s">
        <v>1333</v>
      </c>
      <c r="B44" s="2" t="s">
        <v>1342</v>
      </c>
      <c r="C44" s="2" t="s">
        <v>1343</v>
      </c>
      <c r="D44" s="2" t="s">
        <v>1162</v>
      </c>
      <c r="E44" s="2" t="s">
        <v>1344</v>
      </c>
      <c r="F44" s="2" t="s">
        <v>1345</v>
      </c>
      <c r="G44" s="2" t="s">
        <v>1165</v>
      </c>
      <c r="H44" s="2" t="s">
        <v>1166</v>
      </c>
    </row>
    <row r="45" spans="1:8" ht="14.4" x14ac:dyDescent="0.3">
      <c r="A45" s="2" t="s">
        <v>1333</v>
      </c>
      <c r="B45" s="2" t="s">
        <v>1346</v>
      </c>
      <c r="C45" s="2" t="s">
        <v>1347</v>
      </c>
      <c r="D45" s="2" t="s">
        <v>1177</v>
      </c>
      <c r="E45" s="2" t="s">
        <v>1348</v>
      </c>
      <c r="F45" s="2" t="s">
        <v>1349</v>
      </c>
      <c r="G45" s="2" t="s">
        <v>1180</v>
      </c>
      <c r="H45" s="2" t="s">
        <v>1181</v>
      </c>
    </row>
    <row r="46" spans="1:8" ht="14.4" x14ac:dyDescent="0.3">
      <c r="A46" s="2" t="s">
        <v>1333</v>
      </c>
      <c r="B46" s="2" t="s">
        <v>1350</v>
      </c>
      <c r="C46" s="2" t="s">
        <v>1351</v>
      </c>
      <c r="D46" s="2" t="s">
        <v>1162</v>
      </c>
      <c r="E46" s="2" t="s">
        <v>1352</v>
      </c>
      <c r="F46" s="2" t="s">
        <v>1353</v>
      </c>
      <c r="G46" s="2" t="s">
        <v>1165</v>
      </c>
      <c r="H46" s="2" t="s">
        <v>1166</v>
      </c>
    </row>
    <row r="47" spans="1:8" ht="14.4" x14ac:dyDescent="0.3">
      <c r="A47" s="2" t="s">
        <v>1333</v>
      </c>
      <c r="B47" s="2" t="s">
        <v>1354</v>
      </c>
      <c r="C47" s="2" t="s">
        <v>1355</v>
      </c>
      <c r="D47" s="2" t="s">
        <v>1177</v>
      </c>
      <c r="E47" s="2" t="s">
        <v>1356</v>
      </c>
      <c r="F47" s="2" t="s">
        <v>1357</v>
      </c>
      <c r="G47" s="2" t="s">
        <v>1180</v>
      </c>
      <c r="H47" s="2" t="s">
        <v>1181</v>
      </c>
    </row>
    <row r="48" spans="1:8" ht="14.4" x14ac:dyDescent="0.3">
      <c r="A48" s="2" t="s">
        <v>1333</v>
      </c>
      <c r="B48" s="2" t="s">
        <v>1358</v>
      </c>
      <c r="C48" s="2" t="s">
        <v>1359</v>
      </c>
      <c r="D48" s="2" t="s">
        <v>1177</v>
      </c>
      <c r="E48" s="2" t="s">
        <v>1360</v>
      </c>
      <c r="F48" s="2" t="s">
        <v>1361</v>
      </c>
      <c r="G48" s="2" t="s">
        <v>1180</v>
      </c>
      <c r="H48" s="2" t="s">
        <v>1181</v>
      </c>
    </row>
    <row r="49" spans="1:8" ht="14.4" x14ac:dyDescent="0.3">
      <c r="A49" s="2" t="s">
        <v>1333</v>
      </c>
      <c r="B49" s="2" t="s">
        <v>1362</v>
      </c>
      <c r="C49" s="2" t="s">
        <v>1363</v>
      </c>
      <c r="D49" s="2" t="s">
        <v>1177</v>
      </c>
      <c r="E49" s="2" t="s">
        <v>1364</v>
      </c>
      <c r="F49" s="2" t="s">
        <v>1365</v>
      </c>
      <c r="G49" s="2" t="s">
        <v>1180</v>
      </c>
      <c r="H49" s="2" t="s">
        <v>1181</v>
      </c>
    </row>
    <row r="50" spans="1:8" ht="14.4" x14ac:dyDescent="0.3">
      <c r="A50" s="2" t="s">
        <v>1366</v>
      </c>
      <c r="B50" s="2" t="s">
        <v>1367</v>
      </c>
      <c r="C50" s="2" t="s">
        <v>1368</v>
      </c>
      <c r="D50" s="2" t="s">
        <v>1177</v>
      </c>
      <c r="E50" s="2" t="s">
        <v>1369</v>
      </c>
      <c r="F50" s="2" t="s">
        <v>1370</v>
      </c>
      <c r="G50" s="2" t="s">
        <v>1180</v>
      </c>
      <c r="H50" s="2" t="s">
        <v>1181</v>
      </c>
    </row>
    <row r="51" spans="1:8" ht="14.4" x14ac:dyDescent="0.3">
      <c r="A51" s="2" t="s">
        <v>1366</v>
      </c>
      <c r="B51" s="2" t="s">
        <v>1371</v>
      </c>
      <c r="C51" s="2" t="s">
        <v>1372</v>
      </c>
      <c r="D51" s="2" t="s">
        <v>1177</v>
      </c>
      <c r="E51" s="2" t="s">
        <v>1373</v>
      </c>
      <c r="F51" s="2" t="s">
        <v>1374</v>
      </c>
      <c r="G51" s="2" t="s">
        <v>1180</v>
      </c>
      <c r="H51" s="2" t="s">
        <v>1181</v>
      </c>
    </row>
    <row r="52" spans="1:8" ht="14.4" x14ac:dyDescent="0.3">
      <c r="A52" s="2" t="s">
        <v>1366</v>
      </c>
      <c r="B52" s="2" t="s">
        <v>1375</v>
      </c>
      <c r="C52" s="2" t="s">
        <v>1376</v>
      </c>
      <c r="D52" s="2" t="s">
        <v>1177</v>
      </c>
      <c r="E52" s="2" t="s">
        <v>1377</v>
      </c>
      <c r="F52" s="2" t="s">
        <v>1378</v>
      </c>
      <c r="G52" s="2" t="s">
        <v>1180</v>
      </c>
      <c r="H52" s="2" t="s">
        <v>1181</v>
      </c>
    </row>
    <row r="53" spans="1:8" ht="14.4" x14ac:dyDescent="0.3">
      <c r="A53" s="2" t="s">
        <v>1366</v>
      </c>
      <c r="B53" s="2" t="s">
        <v>1379</v>
      </c>
      <c r="C53" s="2" t="s">
        <v>1380</v>
      </c>
      <c r="D53" s="2" t="s">
        <v>1177</v>
      </c>
      <c r="E53" s="2" t="s">
        <v>1381</v>
      </c>
      <c r="F53" s="2" t="s">
        <v>1382</v>
      </c>
      <c r="G53" s="2" t="s">
        <v>1180</v>
      </c>
      <c r="H53" s="2" t="s">
        <v>1181</v>
      </c>
    </row>
    <row r="54" spans="1:8" ht="14.4" x14ac:dyDescent="0.3">
      <c r="A54" s="2" t="s">
        <v>1366</v>
      </c>
      <c r="B54" s="2" t="s">
        <v>1383</v>
      </c>
      <c r="C54" s="2" t="s">
        <v>1384</v>
      </c>
      <c r="D54" s="2" t="s">
        <v>1162</v>
      </c>
      <c r="E54" s="2" t="s">
        <v>1385</v>
      </c>
      <c r="F54" s="2" t="s">
        <v>1386</v>
      </c>
      <c r="G54" s="2" t="s">
        <v>1165</v>
      </c>
      <c r="H54" s="2" t="s">
        <v>1166</v>
      </c>
    </row>
    <row r="55" spans="1:8" ht="14.4" x14ac:dyDescent="0.3">
      <c r="A55" s="2" t="s">
        <v>1366</v>
      </c>
      <c r="B55" s="2" t="s">
        <v>1387</v>
      </c>
      <c r="C55" s="2" t="s">
        <v>1388</v>
      </c>
      <c r="D55" s="2" t="s">
        <v>1177</v>
      </c>
      <c r="E55" s="2" t="s">
        <v>1389</v>
      </c>
      <c r="F55" s="2" t="s">
        <v>1390</v>
      </c>
      <c r="G55" s="2" t="s">
        <v>1180</v>
      </c>
      <c r="H55" s="2" t="s">
        <v>1181</v>
      </c>
    </row>
    <row r="56" spans="1:8" ht="14.4" x14ac:dyDescent="0.3">
      <c r="A56" s="2" t="s">
        <v>1366</v>
      </c>
      <c r="B56" s="2" t="s">
        <v>1391</v>
      </c>
      <c r="C56" s="2" t="s">
        <v>1392</v>
      </c>
      <c r="D56" s="2" t="s">
        <v>1177</v>
      </c>
      <c r="E56" s="2" t="s">
        <v>1393</v>
      </c>
      <c r="F56" s="2" t="s">
        <v>1394</v>
      </c>
      <c r="G56" s="2" t="s">
        <v>1180</v>
      </c>
      <c r="H56" s="2" t="s">
        <v>1181</v>
      </c>
    </row>
    <row r="57" spans="1:8" ht="14.4" x14ac:dyDescent="0.3">
      <c r="A57" s="2" t="s">
        <v>1366</v>
      </c>
      <c r="B57" s="2" t="s">
        <v>1395</v>
      </c>
      <c r="C57" s="2" t="s">
        <v>1396</v>
      </c>
      <c r="D57" s="2" t="s">
        <v>1177</v>
      </c>
      <c r="E57" s="2" t="s">
        <v>1397</v>
      </c>
      <c r="F57" s="2" t="s">
        <v>1398</v>
      </c>
      <c r="G57" s="2" t="s">
        <v>1180</v>
      </c>
      <c r="H57" s="2" t="s">
        <v>1181</v>
      </c>
    </row>
    <row r="58" spans="1:8" ht="14.4" x14ac:dyDescent="0.3">
      <c r="A58" s="2" t="s">
        <v>33</v>
      </c>
      <c r="B58" s="2" t="s">
        <v>1399</v>
      </c>
      <c r="C58" s="2" t="s">
        <v>1400</v>
      </c>
      <c r="D58" s="2" t="s">
        <v>1162</v>
      </c>
      <c r="E58" s="2" t="s">
        <v>1401</v>
      </c>
      <c r="F58" s="2" t="s">
        <v>1402</v>
      </c>
      <c r="G58" s="2" t="s">
        <v>1165</v>
      </c>
      <c r="H58" s="2" t="s">
        <v>1166</v>
      </c>
    </row>
    <row r="59" spans="1:8" ht="14.4" x14ac:dyDescent="0.3">
      <c r="A59" s="2" t="s">
        <v>33</v>
      </c>
      <c r="B59" s="2" t="s">
        <v>1403</v>
      </c>
      <c r="C59" s="2" t="s">
        <v>1404</v>
      </c>
      <c r="D59" s="2" t="s">
        <v>1162</v>
      </c>
      <c r="E59" s="2" t="s">
        <v>1405</v>
      </c>
      <c r="F59" s="2" t="s">
        <v>1406</v>
      </c>
      <c r="G59" s="2" t="s">
        <v>1165</v>
      </c>
      <c r="H59" s="2" t="s">
        <v>1166</v>
      </c>
    </row>
    <row r="60" spans="1:8" ht="14.4" x14ac:dyDescent="0.3">
      <c r="A60" s="2" t="s">
        <v>33</v>
      </c>
      <c r="B60" s="2" t="s">
        <v>1407</v>
      </c>
      <c r="C60" s="2" t="s">
        <v>1408</v>
      </c>
      <c r="D60" s="2" t="s">
        <v>1162</v>
      </c>
      <c r="E60" s="2" t="s">
        <v>1409</v>
      </c>
      <c r="F60" s="2" t="s">
        <v>1410</v>
      </c>
      <c r="G60" s="2" t="s">
        <v>1165</v>
      </c>
      <c r="H60" s="2" t="s">
        <v>1166</v>
      </c>
    </row>
    <row r="61" spans="1:8" ht="14.4" x14ac:dyDescent="0.3">
      <c r="A61" s="2" t="s">
        <v>33</v>
      </c>
      <c r="B61" s="2" t="s">
        <v>1411</v>
      </c>
      <c r="C61" s="2" t="s">
        <v>1412</v>
      </c>
      <c r="D61" s="2" t="s">
        <v>1162</v>
      </c>
      <c r="E61" s="2" t="s">
        <v>1413</v>
      </c>
      <c r="F61" s="2" t="s">
        <v>1414</v>
      </c>
      <c r="G61" s="2" t="s">
        <v>1165</v>
      </c>
      <c r="H61" s="2" t="s">
        <v>1166</v>
      </c>
    </row>
    <row r="62" spans="1:8" ht="14.4" x14ac:dyDescent="0.3">
      <c r="A62" s="2" t="s">
        <v>33</v>
      </c>
      <c r="B62" s="2" t="s">
        <v>1415</v>
      </c>
      <c r="C62" s="2" t="s">
        <v>1416</v>
      </c>
      <c r="D62" s="2" t="s">
        <v>1162</v>
      </c>
      <c r="E62" s="2" t="s">
        <v>1417</v>
      </c>
      <c r="F62" s="2" t="s">
        <v>1418</v>
      </c>
      <c r="G62" s="2" t="s">
        <v>1165</v>
      </c>
      <c r="H62" s="2" t="s">
        <v>1166</v>
      </c>
    </row>
    <row r="63" spans="1:8" ht="14.4" x14ac:dyDescent="0.3">
      <c r="A63" s="2" t="s">
        <v>33</v>
      </c>
      <c r="B63" s="2" t="s">
        <v>1419</v>
      </c>
      <c r="C63" s="2" t="s">
        <v>1420</v>
      </c>
      <c r="D63" s="2" t="s">
        <v>1162</v>
      </c>
      <c r="E63" s="2" t="s">
        <v>1421</v>
      </c>
      <c r="F63" s="2" t="s">
        <v>1422</v>
      </c>
      <c r="G63" s="2" t="s">
        <v>1165</v>
      </c>
      <c r="H63" s="2" t="s">
        <v>1166</v>
      </c>
    </row>
    <row r="64" spans="1:8" ht="14.4" x14ac:dyDescent="0.3">
      <c r="A64" s="2" t="s">
        <v>33</v>
      </c>
      <c r="B64" s="2" t="s">
        <v>1423</v>
      </c>
      <c r="C64" s="2" t="s">
        <v>1424</v>
      </c>
      <c r="D64" s="2" t="s">
        <v>1162</v>
      </c>
      <c r="E64" s="2" t="s">
        <v>1425</v>
      </c>
      <c r="F64" s="2" t="s">
        <v>1426</v>
      </c>
      <c r="G64" s="2" t="s">
        <v>1165</v>
      </c>
      <c r="H64" s="2" t="s">
        <v>1166</v>
      </c>
    </row>
    <row r="65" spans="1:8" ht="14.4" x14ac:dyDescent="0.3">
      <c r="A65" s="2" t="s">
        <v>33</v>
      </c>
      <c r="B65" s="2" t="s">
        <v>1427</v>
      </c>
      <c r="C65" s="2" t="s">
        <v>1428</v>
      </c>
      <c r="D65" s="2" t="s">
        <v>1177</v>
      </c>
      <c r="E65" s="2" t="s">
        <v>1429</v>
      </c>
      <c r="F65" s="2" t="s">
        <v>1430</v>
      </c>
      <c r="G65" s="2" t="s">
        <v>1180</v>
      </c>
      <c r="H65" s="2" t="s">
        <v>1181</v>
      </c>
    </row>
    <row r="66" spans="1:8" ht="14.4" x14ac:dyDescent="0.3">
      <c r="A66" s="2" t="s">
        <v>1431</v>
      </c>
      <c r="B66" s="2" t="s">
        <v>1432</v>
      </c>
      <c r="C66" s="2" t="s">
        <v>1433</v>
      </c>
      <c r="D66" s="2" t="s">
        <v>1177</v>
      </c>
      <c r="E66" s="2" t="s">
        <v>1434</v>
      </c>
      <c r="F66" s="2" t="s">
        <v>1435</v>
      </c>
      <c r="G66" s="2" t="s">
        <v>1180</v>
      </c>
      <c r="H66" s="2" t="s">
        <v>1181</v>
      </c>
    </row>
    <row r="67" spans="1:8" ht="14.4" x14ac:dyDescent="0.3">
      <c r="A67" s="2" t="s">
        <v>1431</v>
      </c>
      <c r="B67" s="2" t="s">
        <v>1436</v>
      </c>
      <c r="C67" s="2" t="s">
        <v>1437</v>
      </c>
      <c r="D67" s="2" t="s">
        <v>1177</v>
      </c>
      <c r="E67" s="2" t="s">
        <v>1438</v>
      </c>
      <c r="F67" s="2" t="s">
        <v>1439</v>
      </c>
      <c r="G67" s="2" t="s">
        <v>1180</v>
      </c>
      <c r="H67" s="2" t="s">
        <v>1181</v>
      </c>
    </row>
    <row r="68" spans="1:8" ht="14.4" x14ac:dyDescent="0.3">
      <c r="A68" s="2" t="s">
        <v>1431</v>
      </c>
      <c r="B68" s="2" t="s">
        <v>1440</v>
      </c>
      <c r="C68" s="2" t="s">
        <v>1441</v>
      </c>
      <c r="D68" s="2" t="s">
        <v>1177</v>
      </c>
      <c r="E68" s="2" t="s">
        <v>1442</v>
      </c>
      <c r="F68" s="2" t="s">
        <v>1443</v>
      </c>
      <c r="G68" s="2" t="s">
        <v>1180</v>
      </c>
      <c r="H68" s="2" t="s">
        <v>1181</v>
      </c>
    </row>
    <row r="69" spans="1:8" ht="14.4" x14ac:dyDescent="0.3">
      <c r="A69" s="2" t="s">
        <v>1431</v>
      </c>
      <c r="B69" s="2" t="s">
        <v>1444</v>
      </c>
      <c r="C69" s="2" t="s">
        <v>1445</v>
      </c>
      <c r="D69" s="2" t="s">
        <v>1177</v>
      </c>
      <c r="E69" s="2" t="s">
        <v>1446</v>
      </c>
      <c r="F69" s="2" t="s">
        <v>1447</v>
      </c>
      <c r="G69" s="2" t="s">
        <v>1180</v>
      </c>
      <c r="H69" s="2" t="s">
        <v>1181</v>
      </c>
    </row>
    <row r="70" spans="1:8" ht="14.4" x14ac:dyDescent="0.3">
      <c r="A70" s="2" t="s">
        <v>1431</v>
      </c>
      <c r="B70" s="2" t="s">
        <v>1448</v>
      </c>
      <c r="C70" s="2" t="s">
        <v>1449</v>
      </c>
      <c r="D70" s="2" t="s">
        <v>1177</v>
      </c>
      <c r="E70" s="2" t="s">
        <v>1450</v>
      </c>
      <c r="F70" s="2" t="s">
        <v>1451</v>
      </c>
      <c r="G70" s="2" t="s">
        <v>1180</v>
      </c>
      <c r="H70" s="2" t="s">
        <v>1181</v>
      </c>
    </row>
    <row r="71" spans="1:8" ht="14.4" x14ac:dyDescent="0.3">
      <c r="A71" s="2" t="s">
        <v>1431</v>
      </c>
      <c r="B71" s="2" t="s">
        <v>1452</v>
      </c>
      <c r="C71" s="2" t="s">
        <v>1453</v>
      </c>
      <c r="D71" s="2" t="s">
        <v>1177</v>
      </c>
      <c r="E71" s="2" t="s">
        <v>1454</v>
      </c>
      <c r="F71" s="2" t="s">
        <v>1455</v>
      </c>
      <c r="G71" s="2" t="s">
        <v>1180</v>
      </c>
      <c r="H71" s="2" t="s">
        <v>1181</v>
      </c>
    </row>
    <row r="72" spans="1:8" ht="14.4" x14ac:dyDescent="0.3">
      <c r="A72" s="2" t="s">
        <v>1431</v>
      </c>
      <c r="B72" s="2" t="s">
        <v>1456</v>
      </c>
      <c r="C72" s="2" t="s">
        <v>1457</v>
      </c>
      <c r="D72" s="2" t="s">
        <v>1177</v>
      </c>
      <c r="E72" s="2" t="s">
        <v>1458</v>
      </c>
      <c r="F72" s="2" t="s">
        <v>1459</v>
      </c>
      <c r="G72" s="2" t="s">
        <v>1180</v>
      </c>
      <c r="H72" s="2" t="s">
        <v>1181</v>
      </c>
    </row>
    <row r="73" spans="1:8" ht="14.4" x14ac:dyDescent="0.3">
      <c r="A73" s="2" t="s">
        <v>1431</v>
      </c>
      <c r="B73" s="2" t="s">
        <v>1460</v>
      </c>
      <c r="C73" s="2" t="s">
        <v>1461</v>
      </c>
      <c r="D73" s="2" t="s">
        <v>1462</v>
      </c>
      <c r="E73" s="2" t="s">
        <v>1463</v>
      </c>
      <c r="F73" s="2" t="s">
        <v>1464</v>
      </c>
      <c r="G73" s="2" t="s">
        <v>1180</v>
      </c>
      <c r="H73" s="2" t="s">
        <v>1181</v>
      </c>
    </row>
    <row r="74" spans="1:8" ht="14.4" x14ac:dyDescent="0.3">
      <c r="A74" s="2" t="s">
        <v>1465</v>
      </c>
      <c r="B74" s="2" t="s">
        <v>1466</v>
      </c>
      <c r="C74" s="2" t="s">
        <v>1467</v>
      </c>
      <c r="D74" s="2" t="s">
        <v>1162</v>
      </c>
      <c r="E74" s="2" t="s">
        <v>1468</v>
      </c>
      <c r="F74" s="2" t="s">
        <v>1469</v>
      </c>
      <c r="G74" s="2" t="s">
        <v>1165</v>
      </c>
      <c r="H74" s="2" t="s">
        <v>1166</v>
      </c>
    </row>
    <row r="75" spans="1:8" ht="14.4" x14ac:dyDescent="0.3">
      <c r="A75" s="2" t="s">
        <v>1465</v>
      </c>
      <c r="B75" s="2" t="s">
        <v>1470</v>
      </c>
      <c r="C75" s="2" t="s">
        <v>1471</v>
      </c>
      <c r="D75" s="2" t="s">
        <v>1162</v>
      </c>
      <c r="E75" s="2" t="s">
        <v>1472</v>
      </c>
      <c r="F75" s="2" t="s">
        <v>1473</v>
      </c>
      <c r="G75" s="2" t="s">
        <v>1165</v>
      </c>
      <c r="H75" s="2" t="s">
        <v>1166</v>
      </c>
    </row>
    <row r="76" spans="1:8" ht="14.4" x14ac:dyDescent="0.3">
      <c r="A76" s="2" t="s">
        <v>1465</v>
      </c>
      <c r="B76" s="2" t="s">
        <v>1474</v>
      </c>
      <c r="C76" s="2" t="s">
        <v>1475</v>
      </c>
      <c r="D76" s="2" t="s">
        <v>1177</v>
      </c>
      <c r="E76" s="2" t="s">
        <v>1476</v>
      </c>
      <c r="F76" s="2" t="s">
        <v>1477</v>
      </c>
      <c r="G76" s="2" t="s">
        <v>1180</v>
      </c>
      <c r="H76" s="2" t="s">
        <v>1181</v>
      </c>
    </row>
    <row r="77" spans="1:8" ht="14.4" x14ac:dyDescent="0.3">
      <c r="A77" s="2" t="s">
        <v>1465</v>
      </c>
      <c r="B77" s="2" t="s">
        <v>1478</v>
      </c>
      <c r="C77" s="2" t="s">
        <v>1479</v>
      </c>
      <c r="D77" s="2" t="s">
        <v>1177</v>
      </c>
      <c r="E77" s="2" t="s">
        <v>1480</v>
      </c>
      <c r="F77" s="2" t="s">
        <v>1481</v>
      </c>
      <c r="G77" s="2" t="s">
        <v>1180</v>
      </c>
      <c r="H77" s="2" t="s">
        <v>1181</v>
      </c>
    </row>
    <row r="78" spans="1:8" ht="14.4" x14ac:dyDescent="0.3">
      <c r="A78" s="2" t="s">
        <v>1465</v>
      </c>
      <c r="B78" s="2" t="s">
        <v>1482</v>
      </c>
      <c r="C78" s="2" t="s">
        <v>1483</v>
      </c>
      <c r="D78" s="2" t="s">
        <v>1162</v>
      </c>
      <c r="E78" s="2" t="s">
        <v>1484</v>
      </c>
      <c r="F78" s="2" t="s">
        <v>1485</v>
      </c>
      <c r="G78" s="2" t="s">
        <v>1165</v>
      </c>
      <c r="H78" s="2" t="s">
        <v>1166</v>
      </c>
    </row>
    <row r="79" spans="1:8" ht="14.4" x14ac:dyDescent="0.3">
      <c r="A79" s="2" t="s">
        <v>1465</v>
      </c>
      <c r="B79" s="2" t="s">
        <v>1486</v>
      </c>
      <c r="C79" s="2" t="s">
        <v>1487</v>
      </c>
      <c r="D79" s="2" t="s">
        <v>1462</v>
      </c>
      <c r="E79" s="2" t="s">
        <v>1488</v>
      </c>
      <c r="F79" s="2" t="s">
        <v>1489</v>
      </c>
      <c r="G79" s="2" t="s">
        <v>1180</v>
      </c>
      <c r="H79" s="2" t="s">
        <v>1181</v>
      </c>
    </row>
    <row r="80" spans="1:8" ht="14.4" x14ac:dyDescent="0.3">
      <c r="A80" s="2" t="s">
        <v>1465</v>
      </c>
      <c r="B80" s="2" t="s">
        <v>1490</v>
      </c>
      <c r="C80" s="2" t="s">
        <v>1491</v>
      </c>
      <c r="D80" s="2" t="s">
        <v>1177</v>
      </c>
      <c r="E80" s="2" t="s">
        <v>1492</v>
      </c>
      <c r="F80" s="2" t="s">
        <v>1493</v>
      </c>
      <c r="G80" s="2" t="s">
        <v>1180</v>
      </c>
      <c r="H80" s="2" t="s">
        <v>1181</v>
      </c>
    </row>
    <row r="81" spans="1:8" ht="14.4" x14ac:dyDescent="0.3">
      <c r="A81" s="2" t="s">
        <v>1465</v>
      </c>
      <c r="B81" s="2" t="s">
        <v>1494</v>
      </c>
      <c r="C81" s="2" t="s">
        <v>1495</v>
      </c>
      <c r="D81" s="2" t="s">
        <v>1177</v>
      </c>
      <c r="E81" s="2" t="s">
        <v>1496</v>
      </c>
      <c r="F81" s="2" t="s">
        <v>1497</v>
      </c>
      <c r="G81" s="2" t="s">
        <v>1180</v>
      </c>
      <c r="H81" s="2" t="s">
        <v>1181</v>
      </c>
    </row>
    <row r="82" spans="1:8" ht="14.4" x14ac:dyDescent="0.3">
      <c r="A82" s="2" t="s">
        <v>31</v>
      </c>
      <c r="B82" s="2" t="s">
        <v>1498</v>
      </c>
      <c r="C82" s="2" t="s">
        <v>1499</v>
      </c>
      <c r="D82" s="2" t="s">
        <v>1500</v>
      </c>
      <c r="E82" s="2" t="s">
        <v>1501</v>
      </c>
      <c r="F82" s="2" t="s">
        <v>1502</v>
      </c>
      <c r="G82" s="2" t="s">
        <v>1503</v>
      </c>
      <c r="H82" s="2" t="s">
        <v>1504</v>
      </c>
    </row>
    <row r="83" spans="1:8" ht="14.4" x14ac:dyDescent="0.3">
      <c r="A83" s="2" t="s">
        <v>31</v>
      </c>
      <c r="B83" s="2" t="s">
        <v>1505</v>
      </c>
      <c r="C83" s="2" t="s">
        <v>1506</v>
      </c>
      <c r="D83" s="2" t="s">
        <v>1500</v>
      </c>
      <c r="E83" s="2" t="s">
        <v>1507</v>
      </c>
      <c r="F83" s="2" t="s">
        <v>1508</v>
      </c>
      <c r="G83" s="2" t="s">
        <v>1503</v>
      </c>
      <c r="H83" s="2" t="s">
        <v>1504</v>
      </c>
    </row>
    <row r="84" spans="1:8" ht="14.4" x14ac:dyDescent="0.3">
      <c r="A84" s="2" t="s">
        <v>31</v>
      </c>
      <c r="B84" s="2" t="s">
        <v>1509</v>
      </c>
      <c r="C84" s="2" t="s">
        <v>1510</v>
      </c>
      <c r="D84" s="2" t="s">
        <v>1500</v>
      </c>
      <c r="E84" s="2" t="s">
        <v>1511</v>
      </c>
      <c r="F84" s="2" t="s">
        <v>1512</v>
      </c>
      <c r="G84" s="2" t="s">
        <v>1503</v>
      </c>
      <c r="H84" s="2" t="s">
        <v>1504</v>
      </c>
    </row>
    <row r="85" spans="1:8" ht="14.4" x14ac:dyDescent="0.3">
      <c r="A85" s="2" t="s">
        <v>31</v>
      </c>
      <c r="B85" s="2" t="s">
        <v>1513</v>
      </c>
      <c r="C85" s="2" t="s">
        <v>1514</v>
      </c>
      <c r="D85" s="2" t="s">
        <v>1500</v>
      </c>
      <c r="E85" s="2" t="s">
        <v>1515</v>
      </c>
      <c r="F85" s="2" t="s">
        <v>1516</v>
      </c>
      <c r="G85" s="2" t="s">
        <v>1503</v>
      </c>
      <c r="H85" s="2" t="s">
        <v>1504</v>
      </c>
    </row>
    <row r="86" spans="1:8" ht="14.4" x14ac:dyDescent="0.3">
      <c r="A86" s="2" t="s">
        <v>31</v>
      </c>
      <c r="B86" s="2" t="s">
        <v>1517</v>
      </c>
      <c r="C86" s="2" t="s">
        <v>1518</v>
      </c>
      <c r="D86" s="2" t="s">
        <v>1162</v>
      </c>
      <c r="E86" s="2" t="s">
        <v>1519</v>
      </c>
      <c r="F86" s="2" t="s">
        <v>1520</v>
      </c>
      <c r="G86" s="2" t="s">
        <v>1165</v>
      </c>
      <c r="H86" s="2" t="s">
        <v>1166</v>
      </c>
    </row>
    <row r="87" spans="1:8" ht="14.4" x14ac:dyDescent="0.3">
      <c r="A87" s="2" t="s">
        <v>31</v>
      </c>
      <c r="B87" s="2" t="s">
        <v>1521</v>
      </c>
      <c r="C87" s="2" t="s">
        <v>1522</v>
      </c>
      <c r="D87" s="2" t="s">
        <v>1162</v>
      </c>
      <c r="E87" s="2" t="s">
        <v>1523</v>
      </c>
      <c r="F87" s="2" t="s">
        <v>1524</v>
      </c>
      <c r="G87" s="2" t="s">
        <v>1165</v>
      </c>
      <c r="H87" s="2" t="s">
        <v>1166</v>
      </c>
    </row>
    <row r="88" spans="1:8" ht="14.4" x14ac:dyDescent="0.3">
      <c r="A88" s="2" t="s">
        <v>31</v>
      </c>
      <c r="B88" s="2" t="s">
        <v>1525</v>
      </c>
      <c r="C88" s="2" t="s">
        <v>1526</v>
      </c>
      <c r="D88" s="2" t="s">
        <v>1162</v>
      </c>
      <c r="E88" s="2" t="s">
        <v>1527</v>
      </c>
      <c r="F88" s="2" t="s">
        <v>1528</v>
      </c>
      <c r="G88" s="2" t="s">
        <v>1165</v>
      </c>
      <c r="H88" s="2" t="s">
        <v>1166</v>
      </c>
    </row>
    <row r="89" spans="1:8" ht="14.4" x14ac:dyDescent="0.3">
      <c r="A89" s="2" t="s">
        <v>31</v>
      </c>
      <c r="B89" s="2" t="s">
        <v>1529</v>
      </c>
      <c r="C89" s="2" t="s">
        <v>1530</v>
      </c>
      <c r="D89" s="2" t="s">
        <v>1162</v>
      </c>
      <c r="E89" s="2" t="s">
        <v>1531</v>
      </c>
      <c r="F89" s="2" t="s">
        <v>1532</v>
      </c>
      <c r="G89" s="2" t="s">
        <v>1165</v>
      </c>
      <c r="H89" s="2" t="s">
        <v>1166</v>
      </c>
    </row>
    <row r="90" spans="1:8" ht="14.4" x14ac:dyDescent="0.3">
      <c r="A90" s="2" t="s">
        <v>1533</v>
      </c>
      <c r="B90" s="2" t="s">
        <v>1534</v>
      </c>
      <c r="C90" s="2" t="s">
        <v>1535</v>
      </c>
      <c r="D90" s="2" t="s">
        <v>1177</v>
      </c>
      <c r="E90" s="2" t="s">
        <v>1536</v>
      </c>
      <c r="F90" s="2" t="s">
        <v>1537</v>
      </c>
      <c r="G90" s="2" t="s">
        <v>1180</v>
      </c>
      <c r="H90" s="2" t="s">
        <v>1181</v>
      </c>
    </row>
    <row r="91" spans="1:8" ht="14.4" x14ac:dyDescent="0.3">
      <c r="A91" s="2" t="s">
        <v>1533</v>
      </c>
      <c r="B91" s="2" t="s">
        <v>1538</v>
      </c>
      <c r="C91" s="2" t="s">
        <v>1539</v>
      </c>
      <c r="D91" s="2" t="s">
        <v>1162</v>
      </c>
      <c r="E91" s="2" t="s">
        <v>1540</v>
      </c>
      <c r="F91" s="2" t="s">
        <v>1541</v>
      </c>
      <c r="G91" s="2" t="s">
        <v>1165</v>
      </c>
      <c r="H91" s="2" t="s">
        <v>1166</v>
      </c>
    </row>
    <row r="92" spans="1:8" ht="14.4" x14ac:dyDescent="0.3">
      <c r="A92" s="2" t="s">
        <v>1533</v>
      </c>
      <c r="B92" s="2" t="s">
        <v>1542</v>
      </c>
      <c r="C92" s="2" t="s">
        <v>1543</v>
      </c>
      <c r="D92" s="2" t="s">
        <v>1177</v>
      </c>
      <c r="E92" s="2" t="s">
        <v>1544</v>
      </c>
      <c r="F92" s="2" t="s">
        <v>1545</v>
      </c>
      <c r="G92" s="2" t="s">
        <v>1180</v>
      </c>
      <c r="H92" s="2" t="s">
        <v>1181</v>
      </c>
    </row>
    <row r="93" spans="1:8" ht="14.4" x14ac:dyDescent="0.3">
      <c r="A93" s="2" t="s">
        <v>1533</v>
      </c>
      <c r="B93" s="2" t="s">
        <v>1546</v>
      </c>
      <c r="C93" s="2" t="s">
        <v>1547</v>
      </c>
      <c r="D93" s="2" t="s">
        <v>1177</v>
      </c>
      <c r="E93" s="2" t="s">
        <v>1548</v>
      </c>
      <c r="F93" s="2" t="s">
        <v>1549</v>
      </c>
      <c r="G93" s="2" t="s">
        <v>1180</v>
      </c>
      <c r="H93" s="2" t="s">
        <v>1181</v>
      </c>
    </row>
    <row r="94" spans="1:8" ht="14.4" x14ac:dyDescent="0.3">
      <c r="A94" s="2" t="s">
        <v>1533</v>
      </c>
      <c r="B94" s="2" t="s">
        <v>1550</v>
      </c>
      <c r="C94" s="2" t="s">
        <v>1551</v>
      </c>
      <c r="D94" s="2" t="s">
        <v>1162</v>
      </c>
      <c r="E94" s="2" t="s">
        <v>1552</v>
      </c>
      <c r="F94" s="2" t="s">
        <v>1553</v>
      </c>
      <c r="G94" s="2" t="s">
        <v>1165</v>
      </c>
      <c r="H94" s="2" t="s">
        <v>1166</v>
      </c>
    </row>
    <row r="95" spans="1:8" ht="14.4" x14ac:dyDescent="0.3">
      <c r="A95" s="2" t="s">
        <v>1533</v>
      </c>
      <c r="B95" s="2" t="s">
        <v>1554</v>
      </c>
      <c r="C95" s="2" t="s">
        <v>1555</v>
      </c>
      <c r="D95" s="2" t="s">
        <v>1162</v>
      </c>
      <c r="E95" s="2" t="s">
        <v>1556</v>
      </c>
      <c r="F95" s="2" t="s">
        <v>1557</v>
      </c>
      <c r="G95" s="2" t="s">
        <v>1165</v>
      </c>
      <c r="H95" s="2" t="s">
        <v>1166</v>
      </c>
    </row>
    <row r="96" spans="1:8" ht="14.4" x14ac:dyDescent="0.3">
      <c r="A96" s="2" t="s">
        <v>1533</v>
      </c>
      <c r="B96" s="2" t="s">
        <v>1558</v>
      </c>
      <c r="C96" s="2" t="s">
        <v>1559</v>
      </c>
      <c r="D96" s="2" t="s">
        <v>1162</v>
      </c>
      <c r="E96" s="2" t="s">
        <v>1560</v>
      </c>
      <c r="F96" s="2" t="s">
        <v>1561</v>
      </c>
      <c r="G96" s="2" t="s">
        <v>1165</v>
      </c>
      <c r="H96" s="2" t="s">
        <v>1166</v>
      </c>
    </row>
    <row r="97" spans="1:8" ht="14.4" x14ac:dyDescent="0.3">
      <c r="A97" s="2" t="s">
        <v>1533</v>
      </c>
      <c r="B97" s="2" t="s">
        <v>1562</v>
      </c>
      <c r="C97" s="2" t="s">
        <v>1563</v>
      </c>
      <c r="D97" s="2" t="s">
        <v>1462</v>
      </c>
      <c r="E97" s="2" t="s">
        <v>1564</v>
      </c>
      <c r="F97" s="2" t="s">
        <v>1565</v>
      </c>
      <c r="G97" s="2" t="s">
        <v>1180</v>
      </c>
      <c r="H97" s="2" t="s">
        <v>1181</v>
      </c>
    </row>
    <row r="98" spans="1:8" ht="14.4" x14ac:dyDescent="0.3">
      <c r="A98" s="2" t="s">
        <v>1566</v>
      </c>
      <c r="B98" s="2" t="s">
        <v>1567</v>
      </c>
      <c r="C98" s="2" t="s">
        <v>1568</v>
      </c>
      <c r="D98" s="2" t="s">
        <v>1162</v>
      </c>
      <c r="E98" s="2" t="s">
        <v>1569</v>
      </c>
      <c r="F98" s="2" t="s">
        <v>1570</v>
      </c>
      <c r="G98" s="2" t="s">
        <v>1165</v>
      </c>
      <c r="H98" s="2" t="s">
        <v>1166</v>
      </c>
    </row>
    <row r="99" spans="1:8" ht="14.4" x14ac:dyDescent="0.3">
      <c r="A99" s="2" t="s">
        <v>1566</v>
      </c>
      <c r="B99" s="2" t="s">
        <v>1571</v>
      </c>
      <c r="C99" s="2" t="s">
        <v>1572</v>
      </c>
      <c r="D99" s="2" t="s">
        <v>1162</v>
      </c>
      <c r="E99" s="2" t="s">
        <v>1573</v>
      </c>
      <c r="F99" s="2" t="s">
        <v>1574</v>
      </c>
      <c r="G99" s="2" t="s">
        <v>1165</v>
      </c>
      <c r="H99" s="2" t="s">
        <v>1166</v>
      </c>
    </row>
    <row r="100" spans="1:8" ht="14.4" x14ac:dyDescent="0.3">
      <c r="A100" s="2" t="s">
        <v>1566</v>
      </c>
      <c r="B100" s="2" t="s">
        <v>1575</v>
      </c>
      <c r="C100" s="2" t="s">
        <v>1576</v>
      </c>
      <c r="D100" s="2" t="s">
        <v>1162</v>
      </c>
      <c r="E100" s="2" t="s">
        <v>1577</v>
      </c>
      <c r="F100" s="2" t="s">
        <v>1578</v>
      </c>
      <c r="G100" s="2" t="s">
        <v>1165</v>
      </c>
      <c r="H100" s="2" t="s">
        <v>1166</v>
      </c>
    </row>
    <row r="101" spans="1:8" ht="14.4" x14ac:dyDescent="0.3">
      <c r="A101" s="2" t="s">
        <v>1566</v>
      </c>
      <c r="B101" s="2" t="s">
        <v>1579</v>
      </c>
      <c r="C101" s="2" t="s">
        <v>1580</v>
      </c>
      <c r="D101" s="2" t="s">
        <v>1162</v>
      </c>
      <c r="E101" s="2" t="s">
        <v>1581</v>
      </c>
      <c r="F101" s="2" t="s">
        <v>1582</v>
      </c>
      <c r="G101" s="2" t="s">
        <v>1165</v>
      </c>
      <c r="H101" s="2" t="s">
        <v>1166</v>
      </c>
    </row>
    <row r="102" spans="1:8" ht="14.4" x14ac:dyDescent="0.3">
      <c r="A102" s="2" t="s">
        <v>1566</v>
      </c>
      <c r="B102" s="2" t="s">
        <v>1583</v>
      </c>
      <c r="C102" s="2" t="s">
        <v>1584</v>
      </c>
      <c r="D102" s="2" t="s">
        <v>1500</v>
      </c>
      <c r="E102" s="2" t="s">
        <v>1585</v>
      </c>
      <c r="F102" s="2" t="s">
        <v>1586</v>
      </c>
      <c r="G102" s="2" t="s">
        <v>1503</v>
      </c>
      <c r="H102" s="2" t="s">
        <v>1504</v>
      </c>
    </row>
    <row r="103" spans="1:8" ht="14.4" x14ac:dyDescent="0.3">
      <c r="A103" s="2" t="s">
        <v>1566</v>
      </c>
      <c r="B103" s="2" t="s">
        <v>1587</v>
      </c>
      <c r="C103" s="2" t="s">
        <v>1588</v>
      </c>
      <c r="D103" s="2" t="s">
        <v>1177</v>
      </c>
      <c r="E103" s="2" t="s">
        <v>1589</v>
      </c>
      <c r="F103" s="2" t="s">
        <v>1590</v>
      </c>
      <c r="G103" s="2" t="s">
        <v>1180</v>
      </c>
      <c r="H103" s="2" t="s">
        <v>1181</v>
      </c>
    </row>
    <row r="104" spans="1:8" ht="14.4" x14ac:dyDescent="0.3">
      <c r="A104" s="2" t="s">
        <v>1566</v>
      </c>
      <c r="B104" s="2" t="s">
        <v>1591</v>
      </c>
      <c r="C104" s="2" t="s">
        <v>1592</v>
      </c>
      <c r="D104" s="2" t="s">
        <v>1462</v>
      </c>
      <c r="E104" s="2" t="s">
        <v>1593</v>
      </c>
      <c r="F104" s="2" t="s">
        <v>1594</v>
      </c>
      <c r="G104" s="2" t="s">
        <v>1180</v>
      </c>
      <c r="H104" s="2" t="s">
        <v>1181</v>
      </c>
    </row>
    <row r="105" spans="1:8" ht="14.4" x14ac:dyDescent="0.3">
      <c r="A105" s="2" t="s">
        <v>1566</v>
      </c>
      <c r="B105" s="2" t="s">
        <v>1595</v>
      </c>
      <c r="C105" s="2" t="s">
        <v>1596</v>
      </c>
      <c r="D105" s="2" t="s">
        <v>1177</v>
      </c>
      <c r="E105" s="2" t="s">
        <v>1597</v>
      </c>
      <c r="F105" s="2" t="s">
        <v>1598</v>
      </c>
      <c r="G105" s="2" t="s">
        <v>1180</v>
      </c>
      <c r="H105" s="2" t="s">
        <v>1181</v>
      </c>
    </row>
    <row r="106" spans="1:8" ht="14.4" x14ac:dyDescent="0.3">
      <c r="A106" s="2" t="s">
        <v>1599</v>
      </c>
      <c r="B106" s="2" t="s">
        <v>1600</v>
      </c>
      <c r="C106" s="2" t="s">
        <v>1601</v>
      </c>
      <c r="D106" s="2" t="s">
        <v>1162</v>
      </c>
      <c r="E106" s="2" t="s">
        <v>1602</v>
      </c>
      <c r="F106" s="2" t="s">
        <v>1603</v>
      </c>
      <c r="G106" s="2" t="s">
        <v>1165</v>
      </c>
      <c r="H106" s="2" t="s">
        <v>1166</v>
      </c>
    </row>
    <row r="107" spans="1:8" ht="14.4" x14ac:dyDescent="0.3">
      <c r="A107" s="2" t="s">
        <v>1599</v>
      </c>
      <c r="B107" s="2" t="s">
        <v>1604</v>
      </c>
      <c r="C107" s="2" t="s">
        <v>1605</v>
      </c>
      <c r="D107" s="2" t="s">
        <v>1500</v>
      </c>
      <c r="E107" s="2" t="s">
        <v>1606</v>
      </c>
      <c r="F107" s="2" t="s">
        <v>1607</v>
      </c>
      <c r="G107" s="2" t="s">
        <v>1503</v>
      </c>
      <c r="H107" s="2" t="s">
        <v>1504</v>
      </c>
    </row>
    <row r="108" spans="1:8" ht="14.4" x14ac:dyDescent="0.3">
      <c r="A108" s="2" t="s">
        <v>1599</v>
      </c>
      <c r="B108" s="2" t="s">
        <v>1608</v>
      </c>
      <c r="C108" s="2" t="s">
        <v>1609</v>
      </c>
      <c r="D108" s="2" t="s">
        <v>1162</v>
      </c>
      <c r="E108" s="2" t="s">
        <v>1610</v>
      </c>
      <c r="F108" s="2" t="s">
        <v>1611</v>
      </c>
      <c r="G108" s="2" t="s">
        <v>1165</v>
      </c>
      <c r="H108" s="2" t="s">
        <v>1166</v>
      </c>
    </row>
    <row r="109" spans="1:8" ht="14.4" x14ac:dyDescent="0.3">
      <c r="A109" s="2" t="s">
        <v>1599</v>
      </c>
      <c r="B109" s="2" t="s">
        <v>1612</v>
      </c>
      <c r="C109" s="2" t="s">
        <v>1613</v>
      </c>
      <c r="D109" s="2" t="s">
        <v>1162</v>
      </c>
      <c r="E109" s="2" t="s">
        <v>1614</v>
      </c>
      <c r="F109" s="2" t="s">
        <v>1615</v>
      </c>
      <c r="G109" s="2" t="s">
        <v>1165</v>
      </c>
      <c r="H109" s="2" t="s">
        <v>1166</v>
      </c>
    </row>
    <row r="110" spans="1:8" ht="14.4" x14ac:dyDescent="0.3">
      <c r="A110" s="2" t="s">
        <v>1599</v>
      </c>
      <c r="B110" s="2" t="s">
        <v>1616</v>
      </c>
      <c r="C110" s="2" t="s">
        <v>1617</v>
      </c>
      <c r="D110" s="2" t="s">
        <v>1162</v>
      </c>
      <c r="E110" s="2" t="s">
        <v>1618</v>
      </c>
      <c r="F110" s="2" t="s">
        <v>1619</v>
      </c>
      <c r="G110" s="2" t="s">
        <v>1165</v>
      </c>
      <c r="H110" s="2" t="s">
        <v>1166</v>
      </c>
    </row>
    <row r="111" spans="1:8" ht="14.4" x14ac:dyDescent="0.3">
      <c r="A111" s="2" t="s">
        <v>1599</v>
      </c>
      <c r="B111" s="2" t="s">
        <v>1620</v>
      </c>
      <c r="C111" s="2" t="s">
        <v>1621</v>
      </c>
      <c r="D111" s="2" t="s">
        <v>1162</v>
      </c>
      <c r="E111" s="2" t="s">
        <v>1622</v>
      </c>
      <c r="F111" s="2" t="s">
        <v>1623</v>
      </c>
      <c r="G111" s="2" t="s">
        <v>1165</v>
      </c>
      <c r="H111" s="2" t="s">
        <v>1166</v>
      </c>
    </row>
    <row r="112" spans="1:8" ht="14.4" x14ac:dyDescent="0.3">
      <c r="A112" s="2" t="s">
        <v>1599</v>
      </c>
      <c r="B112" s="2" t="s">
        <v>1624</v>
      </c>
      <c r="C112" s="2" t="s">
        <v>1625</v>
      </c>
      <c r="D112" s="2" t="s">
        <v>1177</v>
      </c>
      <c r="E112" s="2" t="s">
        <v>1626</v>
      </c>
      <c r="F112" s="2" t="s">
        <v>1627</v>
      </c>
      <c r="G112" s="2" t="s">
        <v>1180</v>
      </c>
      <c r="H112" s="2" t="s">
        <v>1181</v>
      </c>
    </row>
    <row r="113" spans="1:8" ht="14.4" x14ac:dyDescent="0.3">
      <c r="A113" s="2" t="s">
        <v>1599</v>
      </c>
      <c r="B113" s="2" t="s">
        <v>1628</v>
      </c>
      <c r="C113" s="2" t="s">
        <v>1629</v>
      </c>
      <c r="D113" s="2" t="s">
        <v>1177</v>
      </c>
      <c r="E113" s="2" t="s">
        <v>1630</v>
      </c>
      <c r="F113" s="2" t="s">
        <v>1631</v>
      </c>
      <c r="G113" s="2" t="s">
        <v>1180</v>
      </c>
      <c r="H113" s="2" t="s">
        <v>1181</v>
      </c>
    </row>
    <row r="114" spans="1:8" ht="14.4" x14ac:dyDescent="0.3">
      <c r="A114" s="2" t="s">
        <v>1632</v>
      </c>
      <c r="B114" s="2" t="s">
        <v>1633</v>
      </c>
      <c r="C114" s="2" t="s">
        <v>1634</v>
      </c>
      <c r="D114" s="2" t="s">
        <v>1162</v>
      </c>
      <c r="E114" s="2" t="s">
        <v>1635</v>
      </c>
      <c r="F114" s="2" t="s">
        <v>1636</v>
      </c>
      <c r="G114" s="2" t="s">
        <v>1165</v>
      </c>
      <c r="H114" s="2" t="s">
        <v>1166</v>
      </c>
    </row>
    <row r="115" spans="1:8" ht="14.4" x14ac:dyDescent="0.3">
      <c r="A115" s="2" t="s">
        <v>1632</v>
      </c>
      <c r="B115" s="2" t="s">
        <v>1637</v>
      </c>
      <c r="C115" s="2" t="s">
        <v>1638</v>
      </c>
      <c r="D115" s="2" t="s">
        <v>1162</v>
      </c>
      <c r="E115" s="2" t="s">
        <v>1639</v>
      </c>
      <c r="F115" s="2" t="s">
        <v>1640</v>
      </c>
      <c r="G115" s="2" t="s">
        <v>1165</v>
      </c>
      <c r="H115" s="2" t="s">
        <v>1166</v>
      </c>
    </row>
    <row r="116" spans="1:8" ht="14.4" x14ac:dyDescent="0.3">
      <c r="A116" s="2" t="s">
        <v>1632</v>
      </c>
      <c r="B116" s="2" t="s">
        <v>1641</v>
      </c>
      <c r="C116" s="2" t="s">
        <v>1642</v>
      </c>
      <c r="D116" s="2" t="s">
        <v>1162</v>
      </c>
      <c r="E116" s="2" t="s">
        <v>1643</v>
      </c>
      <c r="F116" s="2" t="s">
        <v>1644</v>
      </c>
      <c r="G116" s="2" t="s">
        <v>1165</v>
      </c>
      <c r="H116" s="2" t="s">
        <v>1166</v>
      </c>
    </row>
    <row r="117" spans="1:8" ht="14.4" x14ac:dyDescent="0.3">
      <c r="A117" s="2" t="s">
        <v>1632</v>
      </c>
      <c r="B117" s="2" t="s">
        <v>1645</v>
      </c>
      <c r="C117" s="2" t="s">
        <v>1646</v>
      </c>
      <c r="D117" s="2" t="s">
        <v>1177</v>
      </c>
      <c r="E117" s="2" t="s">
        <v>1647</v>
      </c>
      <c r="F117" s="2" t="s">
        <v>1648</v>
      </c>
      <c r="G117" s="2" t="s">
        <v>1180</v>
      </c>
      <c r="H117" s="2" t="s">
        <v>1181</v>
      </c>
    </row>
    <row r="118" spans="1:8" ht="14.4" x14ac:dyDescent="0.3">
      <c r="A118" s="2" t="s">
        <v>1632</v>
      </c>
      <c r="B118" s="2" t="s">
        <v>1649</v>
      </c>
      <c r="C118" s="2" t="s">
        <v>1650</v>
      </c>
      <c r="D118" s="2" t="s">
        <v>1162</v>
      </c>
      <c r="E118" s="2" t="s">
        <v>1651</v>
      </c>
      <c r="F118" s="2" t="s">
        <v>1652</v>
      </c>
      <c r="G118" s="2" t="s">
        <v>1165</v>
      </c>
      <c r="H118" s="2" t="s">
        <v>1166</v>
      </c>
    </row>
    <row r="119" spans="1:8" ht="14.4" x14ac:dyDescent="0.3">
      <c r="A119" s="2" t="s">
        <v>1632</v>
      </c>
      <c r="B119" s="2" t="s">
        <v>1653</v>
      </c>
      <c r="C119" s="2" t="s">
        <v>1654</v>
      </c>
      <c r="D119" s="2" t="s">
        <v>1500</v>
      </c>
      <c r="E119" s="2" t="s">
        <v>1655</v>
      </c>
      <c r="F119" s="2" t="s">
        <v>1656</v>
      </c>
      <c r="G119" s="2" t="s">
        <v>1503</v>
      </c>
      <c r="H119" s="2" t="s">
        <v>1504</v>
      </c>
    </row>
    <row r="120" spans="1:8" ht="14.4" x14ac:dyDescent="0.3">
      <c r="A120" s="2" t="s">
        <v>1632</v>
      </c>
      <c r="B120" s="2" t="s">
        <v>1657</v>
      </c>
      <c r="C120" s="2" t="s">
        <v>1658</v>
      </c>
      <c r="D120" s="2" t="s">
        <v>1177</v>
      </c>
      <c r="E120" s="2" t="s">
        <v>1659</v>
      </c>
      <c r="F120" s="2" t="s">
        <v>1660</v>
      </c>
      <c r="G120" s="2" t="s">
        <v>1180</v>
      </c>
      <c r="H120" s="2" t="s">
        <v>1181</v>
      </c>
    </row>
    <row r="121" spans="1:8" ht="14.4" x14ac:dyDescent="0.3">
      <c r="A121" s="2" t="s">
        <v>1632</v>
      </c>
      <c r="B121" s="2" t="s">
        <v>1661</v>
      </c>
      <c r="C121" s="2" t="s">
        <v>1662</v>
      </c>
      <c r="D121" s="2" t="s">
        <v>1162</v>
      </c>
      <c r="E121" s="2" t="s">
        <v>1663</v>
      </c>
      <c r="F121" s="2" t="s">
        <v>1664</v>
      </c>
      <c r="G121" s="2" t="s">
        <v>1165</v>
      </c>
      <c r="H121" s="2" t="s">
        <v>1166</v>
      </c>
    </row>
    <row r="122" spans="1:8" ht="14.4" x14ac:dyDescent="0.3">
      <c r="A122" s="2" t="s">
        <v>1665</v>
      </c>
      <c r="B122" s="2" t="s">
        <v>1666</v>
      </c>
      <c r="C122" s="2" t="s">
        <v>1667</v>
      </c>
      <c r="D122" s="2" t="s">
        <v>1162</v>
      </c>
      <c r="E122" s="2" t="s">
        <v>1668</v>
      </c>
      <c r="F122" s="2" t="s">
        <v>1669</v>
      </c>
      <c r="G122" s="2" t="s">
        <v>1165</v>
      </c>
      <c r="H122" s="2" t="s">
        <v>1166</v>
      </c>
    </row>
    <row r="123" spans="1:8" ht="14.4" x14ac:dyDescent="0.3">
      <c r="A123" s="2" t="s">
        <v>1665</v>
      </c>
      <c r="B123" s="2" t="s">
        <v>1670</v>
      </c>
      <c r="C123" s="2" t="s">
        <v>1671</v>
      </c>
      <c r="D123" s="2" t="s">
        <v>1177</v>
      </c>
      <c r="E123" s="2" t="s">
        <v>1672</v>
      </c>
      <c r="F123" s="2" t="s">
        <v>1673</v>
      </c>
      <c r="G123" s="2" t="s">
        <v>1180</v>
      </c>
      <c r="H123" s="2" t="s">
        <v>1181</v>
      </c>
    </row>
    <row r="124" spans="1:8" ht="14.4" x14ac:dyDescent="0.3">
      <c r="A124" s="2" t="s">
        <v>1665</v>
      </c>
      <c r="B124" s="2" t="s">
        <v>1674</v>
      </c>
      <c r="C124" s="2" t="s">
        <v>1675</v>
      </c>
      <c r="D124" s="2" t="s">
        <v>1177</v>
      </c>
      <c r="E124" s="2" t="s">
        <v>1676</v>
      </c>
      <c r="F124" s="2" t="s">
        <v>1677</v>
      </c>
      <c r="G124" s="2" t="s">
        <v>1180</v>
      </c>
      <c r="H124" s="2" t="s">
        <v>1181</v>
      </c>
    </row>
    <row r="125" spans="1:8" ht="14.4" x14ac:dyDescent="0.3">
      <c r="A125" s="2" t="s">
        <v>1665</v>
      </c>
      <c r="B125" s="2" t="s">
        <v>1678</v>
      </c>
      <c r="C125" s="2" t="s">
        <v>1679</v>
      </c>
      <c r="D125" s="2" t="s">
        <v>1177</v>
      </c>
      <c r="E125" s="2" t="s">
        <v>1680</v>
      </c>
      <c r="F125" s="2" t="s">
        <v>1681</v>
      </c>
      <c r="G125" s="2" t="s">
        <v>1180</v>
      </c>
      <c r="H125" s="2" t="s">
        <v>1181</v>
      </c>
    </row>
    <row r="126" spans="1:8" ht="14.4" x14ac:dyDescent="0.3">
      <c r="A126" s="2" t="s">
        <v>1665</v>
      </c>
      <c r="B126" s="2" t="s">
        <v>1682</v>
      </c>
      <c r="C126" s="2" t="s">
        <v>1683</v>
      </c>
      <c r="D126" s="2" t="s">
        <v>1162</v>
      </c>
      <c r="E126" s="2" t="s">
        <v>1684</v>
      </c>
      <c r="F126" s="2" t="s">
        <v>1685</v>
      </c>
      <c r="G126" s="2" t="s">
        <v>1165</v>
      </c>
      <c r="H126" s="2" t="s">
        <v>1166</v>
      </c>
    </row>
    <row r="127" spans="1:8" ht="14.4" x14ac:dyDescent="0.3">
      <c r="A127" s="2" t="s">
        <v>1665</v>
      </c>
      <c r="B127" s="2" t="s">
        <v>1686</v>
      </c>
      <c r="C127" s="2" t="s">
        <v>1687</v>
      </c>
      <c r="D127" s="2" t="s">
        <v>1177</v>
      </c>
      <c r="E127" s="2" t="s">
        <v>1688</v>
      </c>
      <c r="F127" s="2" t="s">
        <v>1689</v>
      </c>
      <c r="G127" s="2" t="s">
        <v>1180</v>
      </c>
      <c r="H127" s="2" t="s">
        <v>1181</v>
      </c>
    </row>
    <row r="128" spans="1:8" ht="14.4" x14ac:dyDescent="0.3">
      <c r="A128" s="2" t="s">
        <v>1665</v>
      </c>
      <c r="B128" s="2" t="s">
        <v>1690</v>
      </c>
      <c r="C128" s="2" t="s">
        <v>1691</v>
      </c>
      <c r="D128" s="2" t="s">
        <v>1162</v>
      </c>
      <c r="E128" s="2" t="s">
        <v>1692</v>
      </c>
      <c r="F128" s="2" t="s">
        <v>1693</v>
      </c>
      <c r="G128" s="2" t="s">
        <v>1165</v>
      </c>
      <c r="H128" s="2" t="s">
        <v>1166</v>
      </c>
    </row>
    <row r="129" spans="1:8" ht="14.4" x14ac:dyDescent="0.3">
      <c r="A129" s="2" t="s">
        <v>1665</v>
      </c>
      <c r="B129" s="2" t="s">
        <v>1694</v>
      </c>
      <c r="C129" s="2" t="s">
        <v>1695</v>
      </c>
      <c r="D129" s="2" t="s">
        <v>1162</v>
      </c>
      <c r="E129" s="2" t="s">
        <v>1696</v>
      </c>
      <c r="F129" s="2" t="s">
        <v>1697</v>
      </c>
      <c r="G129" s="2" t="s">
        <v>1165</v>
      </c>
      <c r="H129" s="2" t="s">
        <v>1166</v>
      </c>
    </row>
    <row r="130" spans="1:8" ht="14.4" x14ac:dyDescent="0.3">
      <c r="A130" s="2" t="s">
        <v>1698</v>
      </c>
      <c r="B130" s="2" t="s">
        <v>1699</v>
      </c>
      <c r="C130" s="2" t="s">
        <v>1700</v>
      </c>
      <c r="D130" s="2" t="s">
        <v>1500</v>
      </c>
      <c r="E130" s="2" t="s">
        <v>1701</v>
      </c>
      <c r="F130" s="2" t="s">
        <v>1702</v>
      </c>
      <c r="G130" s="2" t="s">
        <v>1503</v>
      </c>
      <c r="H130" s="2" t="s">
        <v>1504</v>
      </c>
    </row>
    <row r="131" spans="1:8" ht="14.4" x14ac:dyDescent="0.3">
      <c r="A131" s="2" t="s">
        <v>1698</v>
      </c>
      <c r="B131" s="2" t="s">
        <v>1703</v>
      </c>
      <c r="C131" s="2" t="s">
        <v>1704</v>
      </c>
      <c r="D131" s="2" t="s">
        <v>1177</v>
      </c>
      <c r="E131" s="2" t="s">
        <v>1705</v>
      </c>
      <c r="F131" s="2" t="s">
        <v>1706</v>
      </c>
      <c r="G131" s="2" t="s">
        <v>1180</v>
      </c>
      <c r="H131" s="2" t="s">
        <v>1181</v>
      </c>
    </row>
    <row r="132" spans="1:8" ht="14.4" x14ac:dyDescent="0.3">
      <c r="A132" s="2" t="s">
        <v>1698</v>
      </c>
      <c r="B132" s="2" t="s">
        <v>1707</v>
      </c>
      <c r="C132" s="2" t="s">
        <v>1708</v>
      </c>
      <c r="D132" s="2" t="s">
        <v>1162</v>
      </c>
      <c r="E132" s="2" t="s">
        <v>1709</v>
      </c>
      <c r="F132" s="2" t="s">
        <v>1710</v>
      </c>
      <c r="G132" s="2" t="s">
        <v>1165</v>
      </c>
      <c r="H132" s="2" t="s">
        <v>1166</v>
      </c>
    </row>
    <row r="133" spans="1:8" ht="14.4" x14ac:dyDescent="0.3">
      <c r="A133" s="2" t="s">
        <v>1698</v>
      </c>
      <c r="B133" s="2" t="s">
        <v>1711</v>
      </c>
      <c r="C133" s="2" t="s">
        <v>1712</v>
      </c>
      <c r="D133" s="2" t="s">
        <v>1500</v>
      </c>
      <c r="E133" s="2" t="s">
        <v>1713</v>
      </c>
      <c r="F133" s="2" t="s">
        <v>1714</v>
      </c>
      <c r="G133" s="2" t="s">
        <v>1503</v>
      </c>
      <c r="H133" s="2" t="s">
        <v>1504</v>
      </c>
    </row>
    <row r="134" spans="1:8" ht="14.4" x14ac:dyDescent="0.3">
      <c r="A134" s="2" t="s">
        <v>1698</v>
      </c>
      <c r="B134" s="2" t="s">
        <v>1715</v>
      </c>
      <c r="C134" s="2" t="s">
        <v>1716</v>
      </c>
      <c r="D134" s="2" t="s">
        <v>1162</v>
      </c>
      <c r="E134" s="2" t="s">
        <v>1717</v>
      </c>
      <c r="F134" s="2" t="s">
        <v>1718</v>
      </c>
      <c r="G134" s="2" t="s">
        <v>1165</v>
      </c>
      <c r="H134" s="2" t="s">
        <v>1166</v>
      </c>
    </row>
    <row r="135" spans="1:8" ht="14.4" x14ac:dyDescent="0.3">
      <c r="A135" s="2" t="s">
        <v>1698</v>
      </c>
      <c r="B135" s="2" t="s">
        <v>1719</v>
      </c>
      <c r="C135" s="2" t="s">
        <v>1720</v>
      </c>
      <c r="D135" s="2" t="s">
        <v>1162</v>
      </c>
      <c r="E135" s="2" t="s">
        <v>1721</v>
      </c>
      <c r="F135" s="2" t="s">
        <v>1722</v>
      </c>
      <c r="G135" s="2" t="s">
        <v>1165</v>
      </c>
      <c r="H135" s="2" t="s">
        <v>1166</v>
      </c>
    </row>
    <row r="136" spans="1:8" ht="14.4" x14ac:dyDescent="0.3">
      <c r="A136" s="2" t="s">
        <v>1698</v>
      </c>
      <c r="B136" s="2" t="s">
        <v>1723</v>
      </c>
      <c r="C136" s="2" t="s">
        <v>1724</v>
      </c>
      <c r="D136" s="2" t="s">
        <v>1500</v>
      </c>
      <c r="E136" s="2" t="s">
        <v>1725</v>
      </c>
      <c r="F136" s="2" t="s">
        <v>1726</v>
      </c>
      <c r="G136" s="2" t="s">
        <v>1503</v>
      </c>
      <c r="H136" s="2" t="s">
        <v>1504</v>
      </c>
    </row>
    <row r="137" spans="1:8" ht="14.4" x14ac:dyDescent="0.3">
      <c r="A137" s="2" t="s">
        <v>1698</v>
      </c>
      <c r="B137" s="2" t="s">
        <v>1727</v>
      </c>
      <c r="C137" s="2" t="s">
        <v>1728</v>
      </c>
      <c r="D137" s="2" t="s">
        <v>1500</v>
      </c>
      <c r="E137" s="2" t="s">
        <v>1729</v>
      </c>
      <c r="F137" s="2" t="s">
        <v>1730</v>
      </c>
      <c r="G137" s="2" t="s">
        <v>1503</v>
      </c>
      <c r="H137" s="2" t="s">
        <v>1504</v>
      </c>
    </row>
    <row r="138" spans="1:8" ht="14.4" x14ac:dyDescent="0.3">
      <c r="A138" s="2" t="s">
        <v>1731</v>
      </c>
      <c r="B138" s="2" t="s">
        <v>1732</v>
      </c>
      <c r="C138" s="2" t="s">
        <v>1733</v>
      </c>
      <c r="D138" s="2" t="s">
        <v>1177</v>
      </c>
      <c r="E138" s="2" t="s">
        <v>1734</v>
      </c>
      <c r="F138" s="2" t="s">
        <v>1735</v>
      </c>
      <c r="G138" s="2" t="s">
        <v>1180</v>
      </c>
      <c r="H138" s="2" t="s">
        <v>1181</v>
      </c>
    </row>
    <row r="139" spans="1:8" ht="14.4" x14ac:dyDescent="0.3">
      <c r="A139" s="2" t="s">
        <v>1731</v>
      </c>
      <c r="B139" s="2" t="s">
        <v>1736</v>
      </c>
      <c r="C139" s="2" t="s">
        <v>1737</v>
      </c>
      <c r="D139" s="2" t="s">
        <v>1177</v>
      </c>
      <c r="E139" s="2" t="s">
        <v>1738</v>
      </c>
      <c r="F139" s="2" t="s">
        <v>1739</v>
      </c>
      <c r="G139" s="2" t="s">
        <v>1180</v>
      </c>
      <c r="H139" s="2" t="s">
        <v>1181</v>
      </c>
    </row>
    <row r="140" spans="1:8" ht="14.4" x14ac:dyDescent="0.3">
      <c r="A140" s="2" t="s">
        <v>1731</v>
      </c>
      <c r="B140" s="2" t="s">
        <v>1740</v>
      </c>
      <c r="C140" s="2" t="s">
        <v>1741</v>
      </c>
      <c r="D140" s="2" t="s">
        <v>1177</v>
      </c>
      <c r="E140" s="2" t="s">
        <v>1742</v>
      </c>
      <c r="F140" s="2" t="s">
        <v>1743</v>
      </c>
      <c r="G140" s="2" t="s">
        <v>1180</v>
      </c>
      <c r="H140" s="2" t="s">
        <v>1181</v>
      </c>
    </row>
    <row r="141" spans="1:8" ht="14.4" x14ac:dyDescent="0.3">
      <c r="A141" s="2" t="s">
        <v>1731</v>
      </c>
      <c r="B141" s="2" t="s">
        <v>1744</v>
      </c>
      <c r="C141" s="2" t="s">
        <v>1745</v>
      </c>
      <c r="D141" s="2" t="s">
        <v>1162</v>
      </c>
      <c r="E141" s="2" t="s">
        <v>1746</v>
      </c>
      <c r="F141" s="2" t="s">
        <v>1747</v>
      </c>
      <c r="G141" s="2" t="s">
        <v>1165</v>
      </c>
      <c r="H141" s="2" t="s">
        <v>1166</v>
      </c>
    </row>
    <row r="142" spans="1:8" ht="14.4" x14ac:dyDescent="0.3">
      <c r="A142" s="2" t="s">
        <v>1731</v>
      </c>
      <c r="B142" s="2" t="s">
        <v>1748</v>
      </c>
      <c r="C142" s="2" t="s">
        <v>1749</v>
      </c>
      <c r="D142" s="2" t="s">
        <v>1462</v>
      </c>
      <c r="E142" s="2" t="s">
        <v>1750</v>
      </c>
      <c r="F142" s="2" t="s">
        <v>1751</v>
      </c>
      <c r="G142" s="2" t="s">
        <v>1180</v>
      </c>
      <c r="H142" s="2" t="s">
        <v>1181</v>
      </c>
    </row>
    <row r="143" spans="1:8" ht="14.4" x14ac:dyDescent="0.3">
      <c r="A143" s="2" t="s">
        <v>1731</v>
      </c>
      <c r="B143" s="2" t="s">
        <v>1752</v>
      </c>
      <c r="C143" s="2" t="s">
        <v>1753</v>
      </c>
      <c r="D143" s="2" t="s">
        <v>1177</v>
      </c>
      <c r="E143" s="2" t="s">
        <v>1754</v>
      </c>
      <c r="F143" s="2" t="s">
        <v>1755</v>
      </c>
      <c r="G143" s="2" t="s">
        <v>1180</v>
      </c>
      <c r="H143" s="2" t="s">
        <v>1181</v>
      </c>
    </row>
    <row r="144" spans="1:8" ht="14.4" x14ac:dyDescent="0.3">
      <c r="A144" s="2" t="s">
        <v>1731</v>
      </c>
      <c r="B144" s="2" t="s">
        <v>1756</v>
      </c>
      <c r="C144" s="2" t="s">
        <v>1757</v>
      </c>
      <c r="D144" s="2" t="s">
        <v>1177</v>
      </c>
      <c r="E144" s="2" t="s">
        <v>1758</v>
      </c>
      <c r="F144" s="2" t="s">
        <v>1759</v>
      </c>
      <c r="G144" s="2" t="s">
        <v>1180</v>
      </c>
      <c r="H144" s="2" t="s">
        <v>1181</v>
      </c>
    </row>
    <row r="145" spans="1:8" ht="14.4" x14ac:dyDescent="0.3">
      <c r="A145" s="2" t="s">
        <v>1731</v>
      </c>
      <c r="B145" s="2" t="s">
        <v>1760</v>
      </c>
      <c r="C145" s="2" t="s">
        <v>1761</v>
      </c>
      <c r="D145" s="2" t="s">
        <v>1177</v>
      </c>
      <c r="E145" s="2" t="s">
        <v>1762</v>
      </c>
      <c r="F145" s="2" t="s">
        <v>1763</v>
      </c>
      <c r="G145" s="2" t="s">
        <v>1180</v>
      </c>
      <c r="H145" s="2" t="s">
        <v>1181</v>
      </c>
    </row>
    <row r="146" spans="1:8" ht="14.4" x14ac:dyDescent="0.3">
      <c r="A146" s="2" t="s">
        <v>1764</v>
      </c>
      <c r="B146" s="2" t="s">
        <v>1765</v>
      </c>
      <c r="C146" s="2" t="s">
        <v>1766</v>
      </c>
      <c r="D146" s="2" t="s">
        <v>1177</v>
      </c>
      <c r="E146" s="2" t="s">
        <v>1767</v>
      </c>
      <c r="F146" s="2" t="s">
        <v>1768</v>
      </c>
      <c r="G146" s="2" t="s">
        <v>1180</v>
      </c>
      <c r="H146" s="2" t="s">
        <v>1181</v>
      </c>
    </row>
    <row r="147" spans="1:8" ht="14.4" x14ac:dyDescent="0.3">
      <c r="A147" s="2" t="s">
        <v>1764</v>
      </c>
      <c r="B147" s="2" t="s">
        <v>1769</v>
      </c>
      <c r="C147" s="2" t="s">
        <v>1770</v>
      </c>
      <c r="D147" s="2" t="s">
        <v>1177</v>
      </c>
      <c r="E147" s="2" t="s">
        <v>1771</v>
      </c>
      <c r="F147" s="2" t="s">
        <v>1772</v>
      </c>
      <c r="G147" s="2" t="s">
        <v>1180</v>
      </c>
      <c r="H147" s="2" t="s">
        <v>1181</v>
      </c>
    </row>
    <row r="148" spans="1:8" ht="14.4" x14ac:dyDescent="0.3">
      <c r="A148" s="2" t="s">
        <v>1764</v>
      </c>
      <c r="B148" s="2" t="s">
        <v>1773</v>
      </c>
      <c r="C148" s="2" t="s">
        <v>1774</v>
      </c>
      <c r="D148" s="2" t="s">
        <v>1162</v>
      </c>
      <c r="E148" s="2" t="s">
        <v>1775</v>
      </c>
      <c r="F148" s="2" t="s">
        <v>1776</v>
      </c>
      <c r="G148" s="2" t="s">
        <v>1165</v>
      </c>
      <c r="H148" s="2" t="s">
        <v>1166</v>
      </c>
    </row>
    <row r="149" spans="1:8" ht="14.4" x14ac:dyDescent="0.3">
      <c r="A149" s="2" t="s">
        <v>1764</v>
      </c>
      <c r="B149" s="2" t="s">
        <v>1777</v>
      </c>
      <c r="C149" s="2" t="s">
        <v>1778</v>
      </c>
      <c r="D149" s="2" t="s">
        <v>1177</v>
      </c>
      <c r="E149" s="2" t="s">
        <v>1779</v>
      </c>
      <c r="F149" s="2" t="s">
        <v>1780</v>
      </c>
      <c r="G149" s="2" t="s">
        <v>1180</v>
      </c>
      <c r="H149" s="2" t="s">
        <v>1181</v>
      </c>
    </row>
    <row r="150" spans="1:8" ht="14.4" x14ac:dyDescent="0.3">
      <c r="A150" s="2" t="s">
        <v>1764</v>
      </c>
      <c r="B150" s="2" t="s">
        <v>1781</v>
      </c>
      <c r="C150" s="2" t="s">
        <v>1782</v>
      </c>
      <c r="D150" s="2" t="s">
        <v>1177</v>
      </c>
      <c r="E150" s="2" t="s">
        <v>1783</v>
      </c>
      <c r="F150" s="2" t="s">
        <v>1784</v>
      </c>
      <c r="G150" s="2" t="s">
        <v>1180</v>
      </c>
      <c r="H150" s="2" t="s">
        <v>1181</v>
      </c>
    </row>
    <row r="151" spans="1:8" ht="14.4" x14ac:dyDescent="0.3">
      <c r="A151" s="2" t="s">
        <v>1764</v>
      </c>
      <c r="B151" s="2" t="s">
        <v>1785</v>
      </c>
      <c r="C151" s="2" t="s">
        <v>1786</v>
      </c>
      <c r="D151" s="2" t="s">
        <v>1162</v>
      </c>
      <c r="E151" s="2" t="s">
        <v>1787</v>
      </c>
      <c r="F151" s="2" t="s">
        <v>1788</v>
      </c>
      <c r="G151" s="2" t="s">
        <v>1165</v>
      </c>
      <c r="H151" s="2" t="s">
        <v>1166</v>
      </c>
    </row>
    <row r="152" spans="1:8" ht="14.4" x14ac:dyDescent="0.3">
      <c r="A152" s="2" t="s">
        <v>1764</v>
      </c>
      <c r="B152" s="2" t="s">
        <v>1789</v>
      </c>
      <c r="C152" s="2" t="s">
        <v>1790</v>
      </c>
      <c r="D152" s="2" t="s">
        <v>1177</v>
      </c>
      <c r="E152" s="2" t="s">
        <v>1791</v>
      </c>
      <c r="F152" s="2" t="s">
        <v>1792</v>
      </c>
      <c r="G152" s="2" t="s">
        <v>1180</v>
      </c>
      <c r="H152" s="2" t="s">
        <v>1181</v>
      </c>
    </row>
    <row r="153" spans="1:8" ht="14.4" x14ac:dyDescent="0.3">
      <c r="A153" s="2" t="s">
        <v>1764</v>
      </c>
      <c r="B153" s="2" t="s">
        <v>1793</v>
      </c>
      <c r="C153" s="2" t="s">
        <v>1794</v>
      </c>
      <c r="D153" s="2" t="s">
        <v>1462</v>
      </c>
      <c r="E153" s="2" t="s">
        <v>1795</v>
      </c>
      <c r="F153" s="2" t="s">
        <v>1726</v>
      </c>
      <c r="G153" s="2" t="s">
        <v>1180</v>
      </c>
      <c r="H153" s="2" t="s">
        <v>1181</v>
      </c>
    </row>
    <row r="154" spans="1:8" ht="14.4" x14ac:dyDescent="0.3">
      <c r="A154" s="2" t="s">
        <v>1796</v>
      </c>
      <c r="B154" s="2" t="s">
        <v>1797</v>
      </c>
      <c r="C154" s="2" t="s">
        <v>1798</v>
      </c>
      <c r="D154" s="2" t="s">
        <v>1162</v>
      </c>
      <c r="E154" s="2" t="s">
        <v>1799</v>
      </c>
      <c r="F154" s="2" t="s">
        <v>1800</v>
      </c>
      <c r="G154" s="2" t="s">
        <v>1165</v>
      </c>
      <c r="H154" s="2" t="s">
        <v>1166</v>
      </c>
    </row>
    <row r="155" spans="1:8" ht="14.4" x14ac:dyDescent="0.3">
      <c r="A155" s="2" t="s">
        <v>1796</v>
      </c>
      <c r="B155" s="2" t="s">
        <v>1801</v>
      </c>
      <c r="C155" s="2" t="s">
        <v>1802</v>
      </c>
      <c r="D155" s="2" t="s">
        <v>1162</v>
      </c>
      <c r="E155" s="2" t="s">
        <v>1803</v>
      </c>
      <c r="F155" s="2" t="s">
        <v>1804</v>
      </c>
      <c r="G155" s="2" t="s">
        <v>1165</v>
      </c>
      <c r="H155" s="2" t="s">
        <v>1166</v>
      </c>
    </row>
    <row r="156" spans="1:8" ht="14.4" x14ac:dyDescent="0.3">
      <c r="A156" s="2" t="s">
        <v>1796</v>
      </c>
      <c r="B156" s="2" t="s">
        <v>1805</v>
      </c>
      <c r="C156" s="2" t="s">
        <v>1806</v>
      </c>
      <c r="D156" s="2" t="s">
        <v>1177</v>
      </c>
      <c r="E156" s="2" t="s">
        <v>1807</v>
      </c>
      <c r="F156" s="2" t="s">
        <v>1808</v>
      </c>
      <c r="G156" s="2" t="s">
        <v>1180</v>
      </c>
      <c r="H156" s="2" t="s">
        <v>1181</v>
      </c>
    </row>
    <row r="157" spans="1:8" ht="14.4" x14ac:dyDescent="0.3">
      <c r="A157" s="2" t="s">
        <v>1796</v>
      </c>
      <c r="B157" s="2" t="s">
        <v>1809</v>
      </c>
      <c r="C157" s="2" t="s">
        <v>1810</v>
      </c>
      <c r="D157" s="2" t="s">
        <v>1177</v>
      </c>
      <c r="E157" s="2" t="s">
        <v>1811</v>
      </c>
      <c r="F157" s="2" t="s">
        <v>1812</v>
      </c>
      <c r="G157" s="2" t="s">
        <v>1180</v>
      </c>
      <c r="H157" s="2" t="s">
        <v>1181</v>
      </c>
    </row>
    <row r="158" spans="1:8" ht="14.4" x14ac:dyDescent="0.3">
      <c r="A158" s="2" t="s">
        <v>1796</v>
      </c>
      <c r="B158" s="2" t="s">
        <v>1813</v>
      </c>
      <c r="C158" s="2" t="s">
        <v>1814</v>
      </c>
      <c r="D158" s="2" t="s">
        <v>1177</v>
      </c>
      <c r="E158" s="2" t="s">
        <v>1815</v>
      </c>
      <c r="F158" s="2" t="s">
        <v>1816</v>
      </c>
      <c r="G158" s="2" t="s">
        <v>1180</v>
      </c>
      <c r="H158" s="2" t="s">
        <v>1181</v>
      </c>
    </row>
    <row r="159" spans="1:8" ht="14.4" x14ac:dyDescent="0.3">
      <c r="A159" s="2" t="s">
        <v>1796</v>
      </c>
      <c r="B159" s="2" t="s">
        <v>1817</v>
      </c>
      <c r="C159" s="2" t="s">
        <v>1818</v>
      </c>
      <c r="D159" s="2" t="s">
        <v>1462</v>
      </c>
      <c r="E159" s="2" t="s">
        <v>1819</v>
      </c>
      <c r="F159" s="2" t="s">
        <v>1820</v>
      </c>
      <c r="G159" s="2" t="s">
        <v>1180</v>
      </c>
      <c r="H159" s="2" t="s">
        <v>1181</v>
      </c>
    </row>
    <row r="160" spans="1:8" ht="14.4" x14ac:dyDescent="0.3">
      <c r="A160" s="2" t="s">
        <v>1796</v>
      </c>
      <c r="B160" s="2" t="s">
        <v>1821</v>
      </c>
      <c r="C160" s="2" t="s">
        <v>1822</v>
      </c>
      <c r="D160" s="2" t="s">
        <v>1162</v>
      </c>
      <c r="E160" s="2" t="s">
        <v>1823</v>
      </c>
      <c r="F160" s="2" t="s">
        <v>1824</v>
      </c>
      <c r="G160" s="2" t="s">
        <v>1165</v>
      </c>
      <c r="H160" s="2" t="s">
        <v>1166</v>
      </c>
    </row>
    <row r="161" spans="1:8" ht="14.4" x14ac:dyDescent="0.3">
      <c r="A161" s="2" t="s">
        <v>1796</v>
      </c>
      <c r="B161" s="2" t="s">
        <v>1825</v>
      </c>
      <c r="C161" s="2" t="s">
        <v>1826</v>
      </c>
      <c r="D161" s="2" t="s">
        <v>1462</v>
      </c>
      <c r="E161" s="2" t="s">
        <v>1827</v>
      </c>
      <c r="F161" s="2" t="s">
        <v>1828</v>
      </c>
      <c r="G161" s="2" t="s">
        <v>1180</v>
      </c>
      <c r="H161" s="2" t="s">
        <v>1181</v>
      </c>
    </row>
  </sheetData>
  <autoFilter ref="A1:Z161"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Answer Key</vt:lpstr>
      <vt:lpstr>Career Clusters &amp; Pathways</vt:lpstr>
      <vt:lpstr>6-8 Quiz</vt:lpstr>
      <vt:lpstr>9-10 Quiz</vt:lpstr>
      <vt:lpstr>11-12 Quiz</vt:lpstr>
      <vt:lpstr>Grad Quiz</vt:lpstr>
      <vt:lpstr>EarlyCar Quiz</vt:lpstr>
      <vt:lpstr>Prof Quiz</vt:lpstr>
      <vt:lpstr>All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bella mahendra</cp:lastModifiedBy>
  <dcterms:created xsi:type="dcterms:W3CDTF">2026-07-09T18:08:10Z</dcterms:created>
  <dcterms:modified xsi:type="dcterms:W3CDTF">2026-07-09T18:13:58Z</dcterms:modified>
</cp:coreProperties>
</file>