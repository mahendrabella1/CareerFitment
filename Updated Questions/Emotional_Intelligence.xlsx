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EI Domains Reference" sheetId="2" state="visible" r:id="rId2"/>
    <sheet xmlns:r="http://schemas.openxmlformats.org/officeDocument/2006/relationships" name="6-8 EI Quiz" sheetId="3" state="visible" r:id="rId3"/>
    <sheet xmlns:r="http://schemas.openxmlformats.org/officeDocument/2006/relationships" name="9-10 EI Quiz" sheetId="4" state="visible" r:id="rId4"/>
    <sheet xmlns:r="http://schemas.openxmlformats.org/officeDocument/2006/relationships" name="11-12 EI Quiz" sheetId="5" state="visible" r:id="rId5"/>
    <sheet xmlns:r="http://schemas.openxmlformats.org/officeDocument/2006/relationships" name="Grad EI Quiz" sheetId="6" state="visible" r:id="rId6"/>
    <sheet xmlns:r="http://schemas.openxmlformats.org/officeDocument/2006/relationships" name="EarlyCar EI Quiz" sheetId="7" state="visible" r:id="rId7"/>
    <sheet xmlns:r="http://schemas.openxmlformats.org/officeDocument/2006/relationships" name="Prof EI Quiz"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b val="1"/>
      <sz val="10"/>
    </font>
    <font>
      <name val="Calibri"/>
      <sz val="10"/>
    </font>
    <font>
      <name val="Calibri"/>
      <b val="1"/>
      <color rgb="00FFFFFF"/>
      <sz val="11"/>
    </font>
    <font>
      <name val="Calibri"/>
      <i val="1"/>
      <color rgb="00595959"/>
      <sz val="9"/>
    </font>
    <font>
      <name val="Calibri"/>
      <b val="1"/>
      <sz val="11"/>
    </font>
    <font>
      <name val="Calibri"/>
      <color rgb="00FFFFFF"/>
      <sz val="9"/>
    </font>
    <font>
      <name val="Calibri"/>
      <b val="1"/>
      <color rgb="00375623"/>
      <sz val="10"/>
    </font>
    <font>
      <name val="Calibri"/>
      <b val="1"/>
      <color rgb="00C00000"/>
      <sz val="10"/>
    </font>
  </fonts>
  <fills count="7">
    <fill>
      <patternFill/>
    </fill>
    <fill>
      <patternFill patternType="gray125"/>
    </fill>
    <fill>
      <patternFill patternType="solid">
        <fgColor rgb="001F3864"/>
      </patternFill>
    </fill>
    <fill>
      <patternFill patternType="solid">
        <fgColor rgb="002F5597"/>
      </patternFill>
    </fill>
    <fill>
      <patternFill patternType="solid">
        <fgColor rgb="00FFF2CC"/>
      </patternFill>
    </fill>
    <fill>
      <patternFill patternType="solid">
        <fgColor rgb="00D9E2F3"/>
      </patternFill>
    </fill>
    <fill>
      <patternFill patternType="solid">
        <fgColor rgb="00BF8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1" applyAlignment="1" pivotButton="0" quotePrefix="0" xfId="0">
      <alignment horizontal="center" vertical="center"/>
    </xf>
    <xf numFmtId="0" fontId="3" fillId="0"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5" fillId="0" borderId="0" pivotButton="0" quotePrefix="0" xfId="0"/>
    <xf numFmtId="0" fontId="2" fillId="0" borderId="0" pivotButton="0" quotePrefix="0" xfId="0"/>
    <xf numFmtId="0" fontId="6" fillId="4" borderId="1" applyAlignment="1" pivotButton="0" quotePrefix="0" xfId="0">
      <alignment horizontal="center" vertical="center"/>
    </xf>
    <xf numFmtId="0" fontId="3" fillId="0" borderId="1" applyAlignment="1" pivotButton="0" quotePrefix="0" xfId="0">
      <alignment horizontal="center" vertical="center"/>
    </xf>
    <xf numFmtId="0" fontId="7" fillId="0" borderId="1" pivotButton="0" quotePrefix="0" xfId="0"/>
    <xf numFmtId="0" fontId="4" fillId="3" borderId="0" applyAlignment="1" pivotButton="0" quotePrefix="0" xfId="0">
      <alignment vertical="center" indent="1"/>
    </xf>
    <xf numFmtId="0" fontId="2" fillId="5" borderId="1" applyAlignment="1" pivotButton="0" quotePrefix="0" xfId="0">
      <alignment horizontal="center" vertical="center"/>
    </xf>
    <xf numFmtId="0" fontId="2" fillId="0" borderId="1" applyAlignment="1" pivotButton="0" quotePrefix="0" xfId="0">
      <alignment horizontal="center" vertical="center"/>
    </xf>
    <xf numFmtId="0" fontId="4" fillId="6" borderId="0" applyAlignment="1" pivotButton="0" quotePrefix="0" xfId="0">
      <alignment vertical="center" indent="1"/>
    </xf>
    <xf numFmtId="0" fontId="8" fillId="0" borderId="0" pivotButton="0" quotePrefix="0" xfId="0"/>
    <xf numFmtId="0" fontId="9"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s>
  <sheetData>
    <row r="1" ht="30" customHeight="1">
      <c r="A1" s="1" t="inlineStr">
        <is>
          <t>Emotional Intelligence Assessment — All Life Stages</t>
        </is>
      </c>
    </row>
    <row r="3" ht="18" customHeight="1">
      <c r="A3" s="2" t="inlineStr">
        <is>
          <t>How this works</t>
        </is>
      </c>
    </row>
    <row r="4" ht="46" customHeight="1">
      <c r="A4" s="3" t="inlineStr">
        <is>
          <t>Each of the 6 life-stage tabs has 10 independent sets of 5 scenario-based questions (one question per EI domain, in a fixed order). Every question offers 4 realistic response options - not a 'pick your preference' choice, but a situational-judgment question: each option reflects a different quality of emotional response (High / Moderate / Low / Negative), based on how real workplace and school EQ assessments are actually built.</t>
        </is>
      </c>
    </row>
    <row r="5" ht="18" customHeight="1">
      <c r="A5" s="3" t="inlineStr"/>
    </row>
    <row r="6" ht="18" customHeight="1">
      <c r="A6" s="2" t="inlineStr">
        <is>
          <t>The 5 domains (same structure at every life stage)</t>
        </is>
      </c>
    </row>
    <row r="7" ht="46" customHeight="1">
      <c r="A7" s="3" t="inlineStr">
        <is>
          <t>Self-Awareness, Self-Regulation, Motivation/Resilience, Empathy, and Relationship Management - the core Goleman EI model. The scenarios and vocabulary shift with age/life stage; the underlying construct stays consistent so results are comparable across a person's life.</t>
        </is>
      </c>
    </row>
    <row r="8" ht="18" customHeight="1">
      <c r="A8" s="3" t="inlineStr"/>
    </row>
    <row r="9" ht="18" customHeight="1">
      <c r="A9" s="2" t="inlineStr">
        <is>
          <t>How to take it</t>
        </is>
      </c>
    </row>
    <row r="10" ht="18" customHeight="1">
      <c r="A10" s="3" t="inlineStr">
        <is>
          <t>1. Go to your life-stage tab and pick ONE set (1-10) in the selector cell.</t>
        </is>
      </c>
    </row>
    <row r="11" ht="46" customHeight="1">
      <c r="A11" s="3" t="inlineStr">
        <is>
          <t>2. For that set's 5 rows, type the letter (A-D) of the option that's closest to how you'd actually respond - not how you think you should respond.</t>
        </is>
      </c>
    </row>
    <row r="12" ht="46" customHeight="1">
      <c r="A12" s="3" t="inlineStr">
        <is>
          <t>3. Your full 5-domain profile updates automatically below - every domain is shown, including lower scores, since knowing a growth area is the point of this tool.</t>
        </is>
      </c>
    </row>
    <row r="13" ht="18" customHeight="1">
      <c r="A13" s="3" t="inlineStr"/>
    </row>
    <row r="14" ht="18" customHeight="1">
      <c r="A14" s="2" t="inlineStr">
        <is>
          <t>Why 10 sets, and why a single set isn't the final word</t>
        </is>
      </c>
    </row>
    <row r="15" ht="46" customHeight="1">
      <c r="A15" s="3" t="inlineStr">
        <is>
          <t>Each set gives only ONE data point per domain, so a single 15-minute attempt is a snapshot, not a verdict. Try 2-3 sets across different days/moods, and look at what's consistent across attempts - that consistency is a much stronger signal than any single set.</t>
        </is>
      </c>
    </row>
    <row r="16" ht="18" customHeight="1">
      <c r="A16" s="3" t="inlineStr"/>
    </row>
    <row r="17" ht="18" customHeight="1">
      <c r="A17" s="2" t="inlineStr">
        <is>
          <t>A note on honesty and accuracy</t>
        </is>
      </c>
    </row>
    <row r="18" ht="46" customHeight="1">
      <c r="A18" s="3" t="inlineStr">
        <is>
          <t>Self-reported EQ measures are especially prone to a well-known bias: people tend to rate their own empathy and self-awareness higher than how others would rate them. Answer for how you actually react in the moment, not your best intention. Like the career assessment, this is a structured, well-grounded starting point for reflection and conversation - not a clinical or diagnostic tool, and not a final verdict on anyone's character.</t>
        </is>
      </c>
    </row>
    <row r="20">
      <c r="A20" s="4" t="inlineStr">
        <is>
          <t>Group</t>
        </is>
      </c>
      <c r="B20" s="4" t="inlineStr">
        <is>
          <t>Framework Basis</t>
        </is>
      </c>
    </row>
    <row r="21">
      <c r="A21" s="5" t="inlineStr">
        <is>
          <t>Class 6-8 (Ages 11-13)</t>
        </is>
      </c>
      <c r="B21" s="5" t="inlineStr">
        <is>
          <t>Junior CASEL / Goleman EI Framework</t>
        </is>
      </c>
    </row>
    <row r="22">
      <c r="A22" s="5" t="inlineStr">
        <is>
          <t>Class 9-10 (Ages 14-15)</t>
        </is>
      </c>
      <c r="B22" s="5" t="inlineStr">
        <is>
          <t>CASEL / Goleman EI Framework (Teen-Adapted)</t>
        </is>
      </c>
    </row>
    <row r="23">
      <c r="A23" s="5" t="inlineStr">
        <is>
          <t>Class 11-12 (Ages 16-17)</t>
        </is>
      </c>
      <c r="B23" s="5" t="inlineStr">
        <is>
          <t>CASEL / Goleman EI Framework (College-Prep Adapted)</t>
        </is>
      </c>
    </row>
    <row r="24">
      <c r="A24" s="5" t="inlineStr">
        <is>
          <t>Graduate (Ages 18-21)</t>
        </is>
      </c>
      <c r="B24" s="5" t="inlineStr">
        <is>
          <t>Goleman's Emotional Intelligence Framework</t>
        </is>
      </c>
    </row>
    <row r="25">
      <c r="A25" s="5" t="inlineStr">
        <is>
          <t>Early Career (Ages 21-25)</t>
        </is>
      </c>
      <c r="B25" s="5" t="inlineStr">
        <is>
          <t>Goleman / EQ-i 2.0 (Workplace EI)</t>
        </is>
      </c>
    </row>
    <row r="26">
      <c r="A26" s="5" t="inlineStr">
        <is>
          <t>Professionals (Ages 25-55)</t>
        </is>
      </c>
      <c r="B26" s="5" t="inlineStr">
        <is>
          <t>EQ-i 2.0 (Bar-On Model) - Workplace &amp; Leadership EI</t>
        </is>
      </c>
    </row>
  </sheetData>
  <mergeCells count="17">
    <mergeCell ref="A16:F16"/>
    <mergeCell ref="A11:F11"/>
    <mergeCell ref="A10:F10"/>
    <mergeCell ref="A13:F13"/>
    <mergeCell ref="A14:F14"/>
    <mergeCell ref="A1:F1"/>
    <mergeCell ref="A5:F5"/>
    <mergeCell ref="A9:F9"/>
    <mergeCell ref="A8:F8"/>
    <mergeCell ref="A6:F6"/>
    <mergeCell ref="A17:F17"/>
    <mergeCell ref="A12:F12"/>
    <mergeCell ref="A4:F4"/>
    <mergeCell ref="A18:F18"/>
    <mergeCell ref="A3:F3"/>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4" customWidth="1" min="1" max="1"/>
    <col width="70" customWidth="1" min="2" max="2"/>
  </cols>
  <sheetData>
    <row r="1" ht="26" customHeight="1">
      <c r="A1" s="1" t="inlineStr">
        <is>
          <t>The 5 Emotional Intelligence Domains</t>
        </is>
      </c>
    </row>
    <row r="3">
      <c r="A3" s="4" t="inlineStr">
        <is>
          <t>Domain</t>
        </is>
      </c>
      <c r="B3" s="4" t="inlineStr">
        <is>
          <t>What it measures</t>
        </is>
      </c>
    </row>
    <row r="4" ht="40" customHeight="1">
      <c r="A4" s="6" t="inlineStr">
        <is>
          <t>Self-Awareness</t>
        </is>
      </c>
      <c r="B4" s="7" t="inlineStr">
        <is>
          <t>Recognising your own emotions, triggers, and patterns as they happen, and understanding why you feel a certain way.</t>
        </is>
      </c>
    </row>
    <row r="5" ht="40" customHeight="1">
      <c r="A5" s="6" t="inlineStr">
        <is>
          <t>Self-Regulation</t>
        </is>
      </c>
      <c r="B5" s="7" t="inlineStr">
        <is>
          <t>Managing impulses and emotional reactions constructively, especially under stress, frustration, or conflict.</t>
        </is>
      </c>
    </row>
    <row r="6" ht="40" customHeight="1">
      <c r="A6" s="6" t="inlineStr">
        <is>
          <t>Motivation / Resilience</t>
        </is>
      </c>
      <c r="B6" s="7" t="inlineStr">
        <is>
          <t>Staying committed and resourceful after setbacks, using failure as information rather than a verdict on your ability.</t>
        </is>
      </c>
    </row>
    <row r="7" ht="40" customHeight="1">
      <c r="A7" s="6" t="inlineStr">
        <is>
          <t>Empathy</t>
        </is>
      </c>
      <c r="B7" s="7" t="inlineStr">
        <is>
          <t>Accurately reading and genuinely caring about what others are feeling, and responding in a way that reflects that.</t>
        </is>
      </c>
    </row>
    <row r="8" ht="40" customHeight="1">
      <c r="A8" s="6" t="inlineStr">
        <is>
          <t>Relationship Management</t>
        </is>
      </c>
      <c r="B8" s="7" t="inlineStr">
        <is>
          <t>Navigating conflict, giving/receiving feedback, and building trust and cooperation with others.</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6" customWidth="1" min="3" max="3"/>
    <col width="34" customWidth="1" min="4" max="4"/>
    <col width="30" customWidth="1" min="5" max="5"/>
    <col width="30" customWidth="1" min="6" max="6"/>
    <col width="30" customWidth="1" min="7" max="7"/>
    <col width="30" customWidth="1" min="8" max="8"/>
    <col hidden="1" width="13" customWidth="1" min="9" max="9"/>
    <col hidden="1" width="13" customWidth="1" min="10" max="10"/>
    <col hidden="1" width="13" customWidth="1" min="11" max="11"/>
    <col hidden="1" width="13" customWidth="1" min="12" max="12"/>
    <col width="15" customWidth="1" min="13" max="13"/>
    <col hidden="1" width="13" customWidth="1" min="14" max="14"/>
  </cols>
  <sheetData>
    <row r="1" ht="26" customHeight="1">
      <c r="A1" s="1" t="inlineStr">
        <is>
          <t>Class 6-8 (Ages 11-13) — Emotional Intelligence Assessment (10 Sets x 5 Questions)</t>
        </is>
      </c>
    </row>
    <row r="2">
      <c r="A2" s="8" t="inlineStr">
        <is>
          <t>Framework basis: Junior CASEL / Goleman EI Framework</t>
        </is>
      </c>
    </row>
    <row r="4">
      <c r="A4" s="9" t="inlineStr">
        <is>
          <t>Which set are you taking?</t>
        </is>
      </c>
      <c r="B4" s="10" t="inlineStr">
        <is>
          <t>Set 1</t>
        </is>
      </c>
      <c r="C4" s="8" t="inlineStr">
        <is>
          <t>(pick one set, then answer only that set's 5 rows below with A/B/C/D)</t>
        </is>
      </c>
    </row>
    <row r="6">
      <c r="A6" s="4" t="inlineStr">
        <is>
          <t>Set</t>
        </is>
      </c>
      <c r="B6" s="4" t="inlineStr">
        <is>
          <t>Q#</t>
        </is>
      </c>
      <c r="C6" s="4" t="inlineStr">
        <is>
          <t>Domain</t>
        </is>
      </c>
      <c r="D6" s="4" t="inlineStr">
        <is>
          <t>Scenario</t>
        </is>
      </c>
      <c r="E6" s="4" t="inlineStr">
        <is>
          <t>Option A</t>
        </is>
      </c>
      <c r="F6" s="4" t="inlineStr">
        <is>
          <t>Option B</t>
        </is>
      </c>
      <c r="G6" s="4" t="inlineStr">
        <is>
          <t>Option C</t>
        </is>
      </c>
      <c r="H6" s="4" t="inlineStr">
        <is>
          <t>Option D</t>
        </is>
      </c>
      <c r="I6" s="4" t="inlineStr">
        <is>
          <t>qA</t>
        </is>
      </c>
      <c r="J6" s="4" t="inlineStr">
        <is>
          <t>qB</t>
        </is>
      </c>
      <c r="K6" s="4" t="inlineStr">
        <is>
          <t>qC</t>
        </is>
      </c>
      <c r="L6" s="4" t="inlineStr">
        <is>
          <t>qD</t>
        </is>
      </c>
      <c r="M6" s="4" t="inlineStr">
        <is>
          <t>Your Answer (A-D)</t>
        </is>
      </c>
      <c r="N6" t="inlineStr">
        <is>
          <t>score</t>
        </is>
      </c>
    </row>
    <row r="7" ht="40" customHeight="1">
      <c r="A7" s="11" t="inlineStr">
        <is>
          <t>Set 1</t>
        </is>
      </c>
      <c r="B7" s="11" t="inlineStr">
        <is>
          <t>Q1</t>
        </is>
      </c>
      <c r="C7" s="7" t="inlineStr">
        <is>
          <t>Self-Awareness</t>
        </is>
      </c>
      <c r="D7" s="7" t="inlineStr">
        <is>
          <t>Your teacher suddenly calls your name while you were daydreaming in class. You feel your heart jump. What do you do next?</t>
        </is>
      </c>
      <c r="E7" s="7" t="inlineStr">
        <is>
          <t>A) Blame the teacher in your head for picking on you and sit down angrily.</t>
        </is>
      </c>
      <c r="F7" s="7" t="inlineStr">
        <is>
          <t>B) Take a quick breath, realize you lost focus, and politely ask the teacher to repeat the question.</t>
        </is>
      </c>
      <c r="G7" s="7" t="inlineStr">
        <is>
          <t>C) Make a silly joke to hide your embarrassment and get the class to laugh.</t>
        </is>
      </c>
      <c r="H7" s="7" t="inlineStr">
        <is>
          <t>D) Stand completely frozen, stare at the floor, and wait for the teacher to move on.</t>
        </is>
      </c>
      <c r="I7" s="12" t="n">
        <v>2</v>
      </c>
      <c r="J7" s="12" t="n">
        <v>4</v>
      </c>
      <c r="K7" s="12" t="n">
        <v>3</v>
      </c>
      <c r="L7" s="12" t="n">
        <v>2</v>
      </c>
      <c r="M7" s="10" t="n"/>
      <c r="N7">
        <f>IF(M7="",0,INDEX(I7:L7,1,MATCH(M7,{"A","B","C","D"},0)))</f>
        <v/>
      </c>
    </row>
    <row r="8" ht="40" customHeight="1">
      <c r="A8" s="11" t="inlineStr">
        <is>
          <t>Set 1</t>
        </is>
      </c>
      <c r="B8" s="11" t="inlineStr">
        <is>
          <t>Q2</t>
        </is>
      </c>
      <c r="C8" s="7" t="inlineStr">
        <is>
          <t>Self-Regulation</t>
        </is>
      </c>
      <c r="D8" s="7" t="inlineStr">
        <is>
          <t>A classmate takes your favorite pen without asking and accidentally breaks it. How do you handle your anger?</t>
        </is>
      </c>
      <c r="E8" s="7" t="inlineStr">
        <is>
          <t>A) Snatch something valuable belonging to them and break it right back to make things even.</t>
        </is>
      </c>
      <c r="F8" s="7" t="inlineStr">
        <is>
          <t>B) Scream at them in front of the whole class so they feel as bad as you do.</t>
        </is>
      </c>
      <c r="G8" s="7" t="inlineStr">
        <is>
          <t>C) Take a deep breath to cool down, then tell them firmly that they need to replace or fix it.</t>
        </is>
      </c>
      <c r="H8" s="7" t="inlineStr">
        <is>
          <t>D) Say nothing but stay angry all day, complaining about them behind their back.</t>
        </is>
      </c>
      <c r="I8" s="12" t="n">
        <v>2</v>
      </c>
      <c r="J8" s="12" t="n">
        <v>2</v>
      </c>
      <c r="K8" s="12" t="n">
        <v>4</v>
      </c>
      <c r="L8" s="12" t="n">
        <v>3</v>
      </c>
      <c r="M8" s="10" t="n"/>
      <c r="N8">
        <f>IF(M8="",0,INDEX(I8:L8,1,MATCH(M8,{"A","B","C","D"},0)))</f>
        <v/>
      </c>
    </row>
    <row r="9" ht="40" customHeight="1">
      <c r="A9" s="11" t="inlineStr">
        <is>
          <t>Set 1</t>
        </is>
      </c>
      <c r="B9" s="11" t="inlineStr">
        <is>
          <t>Q3</t>
        </is>
      </c>
      <c r="C9" s="7" t="inlineStr">
        <is>
          <t>Motivation / Resilience</t>
        </is>
      </c>
      <c r="D9" s="7" t="inlineStr">
        <is>
          <t>You practiced hard for the school cricket/football selection match, but your name is not on the final list. What is your reaction?</t>
        </is>
      </c>
      <c r="E9" s="7" t="inlineStr">
        <is>
          <t>A) Decide that sports are stupid and resolve never to participate in school selections again.</t>
        </is>
      </c>
      <c r="F9" s="7" t="inlineStr">
        <is>
          <t>B) Assume the coach is biased and complain to everyone that the selection was unfair.</t>
        </is>
      </c>
      <c r="G9" s="7" t="inlineStr">
        <is>
          <t>C) Feel disappointed but ask the coach what specific skills you need to practice to make the team next time.</t>
        </is>
      </c>
      <c r="H9" s="7" t="inlineStr">
        <is>
          <t>D) Pretend you don't care at all and tell your friends you didn't really want to be on the team anyway.</t>
        </is>
      </c>
      <c r="I9" s="12" t="n">
        <v>2</v>
      </c>
      <c r="J9" s="12" t="n">
        <v>2</v>
      </c>
      <c r="K9" s="12" t="n">
        <v>4</v>
      </c>
      <c r="L9" s="12" t="n">
        <v>3</v>
      </c>
      <c r="M9" s="10" t="n"/>
      <c r="N9">
        <f>IF(M9="",0,INDEX(I9:L9,1,MATCH(M9,{"A","B","C","D"},0)))</f>
        <v/>
      </c>
    </row>
    <row r="10" ht="40" customHeight="1">
      <c r="A10" s="11" t="inlineStr">
        <is>
          <t>Set 1</t>
        </is>
      </c>
      <c r="B10" s="11" t="inlineStr">
        <is>
          <t>Q4</t>
        </is>
      </c>
      <c r="C10" s="7" t="inlineStr">
        <is>
          <t>Empathy</t>
        </is>
      </c>
      <c r="D10" s="7" t="inlineStr">
        <is>
          <t>During lunch break, a classmate accidentally drops their tiffin box, and all their food spills onto the dirty floor. What do you do?</t>
        </is>
      </c>
      <c r="E10" s="7" t="inlineStr">
        <is>
          <t>A) Laugh loudly with your friends because it looked funny.</t>
        </is>
      </c>
      <c r="F10" s="7" t="inlineStr">
        <is>
          <t>B) Ignore it completely and carry on eating your own lunch with your back turned.</t>
        </is>
      </c>
      <c r="G10" s="7" t="inlineStr">
        <is>
          <t>C) Walk over, ask if they are okay, and offer to share your own tiffin with them.</t>
        </is>
      </c>
      <c r="H10" s="7" t="inlineStr">
        <is>
          <t>D) Tell them to clean it up quickly before the teacher arrives and gives them a scolding.</t>
        </is>
      </c>
      <c r="I10" s="12" t="n">
        <v>1</v>
      </c>
      <c r="J10" s="12" t="n">
        <v>2</v>
      </c>
      <c r="K10" s="12" t="n">
        <v>4</v>
      </c>
      <c r="L10" s="12" t="n">
        <v>3</v>
      </c>
      <c r="M10" s="10" t="n"/>
      <c r="N10">
        <f>IF(M10="",0,INDEX(I10:L10,1,MATCH(M10,{"A","B","C","D"},0)))</f>
        <v/>
      </c>
    </row>
    <row r="11" ht="40" customHeight="1">
      <c r="A11" s="11" t="inlineStr">
        <is>
          <t>Set 1</t>
        </is>
      </c>
      <c r="B11" s="11" t="inlineStr">
        <is>
          <t>Q5</t>
        </is>
      </c>
      <c r="C11" s="7" t="inlineStr">
        <is>
          <t>Relationship Management</t>
        </is>
      </c>
      <c r="D11" s="7" t="inlineStr">
        <is>
          <t>You are chosen as the leader for a science group project, but one member is being lazy and doing absolutely nothing. How do you handle it?</t>
        </is>
      </c>
      <c r="E11" s="7" t="inlineStr">
        <is>
          <t>A) Do all the work yourself but leave their name completely off the project cover sheet without telling them.</t>
        </is>
      </c>
      <c r="F11" s="7" t="inlineStr">
        <is>
          <t>B) Talk to them privately to understand if they find the topic hard, and reassign a simpler task to them.</t>
        </is>
      </c>
      <c r="G11" s="7" t="inlineStr">
        <is>
          <t>C) Yell at them during group work and call them lazy in front of the whole class.</t>
        </is>
      </c>
      <c r="H11" s="7" t="inlineStr">
        <is>
          <t>D) Complain to the teacher immediately without speaking to the teammate first.</t>
        </is>
      </c>
      <c r="I11" s="12" t="n">
        <v>3</v>
      </c>
      <c r="J11" s="12" t="n">
        <v>4</v>
      </c>
      <c r="K11" s="12" t="n">
        <v>2</v>
      </c>
      <c r="L11" s="12" t="n">
        <v>3</v>
      </c>
      <c r="M11" s="10" t="n"/>
      <c r="N11">
        <f>IF(M11="",0,INDEX(I11:L11,1,MATCH(M11,{"A","B","C","D"},0)))</f>
        <v/>
      </c>
    </row>
    <row r="12" ht="40" customHeight="1">
      <c r="A12" s="11" t="inlineStr">
        <is>
          <t>Set 2</t>
        </is>
      </c>
      <c r="B12" s="11" t="inlineStr">
        <is>
          <t>Q1</t>
        </is>
      </c>
      <c r="C12" s="7" t="inlineStr">
        <is>
          <t>Self-Awareness</t>
        </is>
      </c>
      <c r="D12" s="7" t="inlineStr">
        <is>
          <t>Right before standing up to give a speech in the school morning assembly, you feel your stomach tighten and your palms sweat. What does this mean to you?</t>
        </is>
      </c>
      <c r="E12" s="7" t="inlineStr">
        <is>
          <t>A) It means I am weak and not built for public speaking, so I should avoid it.</t>
        </is>
      </c>
      <c r="F12" s="7" t="inlineStr">
        <is>
          <t>B) It is a sign that my body is naturally nervous, but it's a normal reaction that will pass once I start.</t>
        </is>
      </c>
      <c r="G12" s="7" t="inlineStr">
        <is>
          <t>C) It means I am going to faint, so I should quickly ask to go to the medical room.</t>
        </is>
      </c>
      <c r="H12" s="7" t="inlineStr">
        <is>
          <t>D) I try to pretend my body isn't doing anything and ignore the feeling completely.</t>
        </is>
      </c>
      <c r="I12" s="12" t="n">
        <v>2</v>
      </c>
      <c r="J12" s="12" t="n">
        <v>4</v>
      </c>
      <c r="K12" s="12" t="n">
        <v>2</v>
      </c>
      <c r="L12" s="12" t="n">
        <v>3</v>
      </c>
      <c r="M12" s="10" t="n"/>
      <c r="N12">
        <f>IF(M12="",0,INDEX(I12:L12,1,MATCH(M12,{"A","B","C","D"},0)))</f>
        <v/>
      </c>
    </row>
    <row r="13" ht="40" customHeight="1">
      <c r="A13" s="11" t="inlineStr">
        <is>
          <t>Set 2</t>
        </is>
      </c>
      <c r="B13" s="11" t="inlineStr">
        <is>
          <t>Q2</t>
        </is>
      </c>
      <c r="C13" s="7" t="inlineStr">
        <is>
          <t>Self-Regulation</t>
        </is>
      </c>
      <c r="D13" s="7" t="inlineStr">
        <is>
          <t>Your younger sibling accidentally runs into your room and breaks your school project model that took days to build. What is your response?</t>
        </is>
      </c>
      <c r="E13" s="7" t="inlineStr">
        <is>
          <t>A) Immediately smash one of their favorite toys to teach them a lesson.</t>
        </is>
      </c>
      <c r="F13" s="7" t="inlineStr">
        <is>
          <t>B) Lock yourself in your room, cry bitterly, and refuse to eat dinner.</t>
        </is>
      </c>
      <c r="G13" s="7" t="inlineStr">
        <is>
          <t>C) Take a moment to calm down, tell them to be careful, and figure out how to repair it before school.</t>
        </is>
      </c>
      <c r="H13" s="7" t="inlineStr">
        <is>
          <t>D) Scream loudly until your parents come and punish your sibling.</t>
        </is>
      </c>
      <c r="I13" s="12" t="n">
        <v>2</v>
      </c>
      <c r="J13" s="12" t="n">
        <v>3</v>
      </c>
      <c r="K13" s="12" t="n">
        <v>4</v>
      </c>
      <c r="L13" s="12" t="n">
        <v>2</v>
      </c>
      <c r="M13" s="10" t="n"/>
      <c r="N13">
        <f>IF(M13="",0,INDEX(I13:L13,1,MATCH(M13,{"A","B","C","D"},0)))</f>
        <v/>
      </c>
    </row>
    <row r="14" ht="40" customHeight="1">
      <c r="A14" s="11" t="inlineStr">
        <is>
          <t>Set 2</t>
        </is>
      </c>
      <c r="B14" s="11" t="inlineStr">
        <is>
          <t>Q3</t>
        </is>
      </c>
      <c r="C14" s="7" t="inlineStr">
        <is>
          <t>Motivation / Resilience</t>
        </is>
      </c>
      <c r="D14" s="7" t="inlineStr">
        <is>
          <t>You are trying to learn a difficult math formula or programming block and fail three times in a row. What do you tell yourself?</t>
        </is>
      </c>
      <c r="E14" s="7" t="inlineStr">
        <is>
          <t>A) 'I'm just not smart enough for this subject, I should focus on easier things.'</t>
        </is>
      </c>
      <c r="F14" s="7" t="inlineStr">
        <is>
          <t>B) 'The textbook is written terribly, and no one could understand this.'</t>
        </is>
      </c>
      <c r="G14" s="7" t="inlineStr">
        <is>
          <t>C) 'I need to try a different method or ask an elder/teacher to explain it differently.'</t>
        </is>
      </c>
      <c r="H14" s="7" t="inlineStr">
        <is>
          <t>D) 'I will just skip this question in the exam and focus on memorizing other parts.'</t>
        </is>
      </c>
      <c r="I14" s="12" t="n">
        <v>2</v>
      </c>
      <c r="J14" s="12" t="n">
        <v>2</v>
      </c>
      <c r="K14" s="12" t="n">
        <v>4</v>
      </c>
      <c r="L14" s="12" t="n">
        <v>3</v>
      </c>
      <c r="M14" s="10" t="n"/>
      <c r="N14">
        <f>IF(M14="",0,INDEX(I14:L14,1,MATCH(M14,{"A","B","C","D"},0)))</f>
        <v/>
      </c>
    </row>
    <row r="15" ht="40" customHeight="1">
      <c r="A15" s="11" t="inlineStr">
        <is>
          <t>Set 2</t>
        </is>
      </c>
      <c r="B15" s="11" t="inlineStr">
        <is>
          <t>Q4</t>
        </is>
      </c>
      <c r="C15" s="7" t="inlineStr">
        <is>
          <t>Empathy</t>
        </is>
      </c>
      <c r="D15" s="7" t="inlineStr">
        <is>
          <t>A new student joins your class mid-term. During recess, they are sitting alone in a corner looking quietly at their shoes. What goes through your mind?</t>
        </is>
      </c>
      <c r="E15" s="7" t="inlineStr">
        <is>
          <t>A) 'They probably want to be left alone, so I shouldn't bother them.'</t>
        </is>
      </c>
      <c r="F15" s="7" t="inlineStr">
        <is>
          <t>B) 'They must feel really out of place and nervous. I should go introduce myself.'</t>
        </is>
      </c>
      <c r="G15" s="7" t="inlineStr">
        <is>
          <t>C) 'If they want friends, they should come talk to my group instead of sitting there.'</t>
        </is>
      </c>
      <c r="H15" s="7" t="inlineStr">
        <is>
          <t>D) 'They look a bit strange, I wonder why they changed schools mid-year.'</t>
        </is>
      </c>
      <c r="I15" s="12" t="n">
        <v>3</v>
      </c>
      <c r="J15" s="12" t="n">
        <v>4</v>
      </c>
      <c r="K15" s="12" t="n">
        <v>2</v>
      </c>
      <c r="L15" s="12" t="n">
        <v>2</v>
      </c>
      <c r="M15" s="10" t="n"/>
      <c r="N15">
        <f>IF(M15="",0,INDEX(I15:L15,1,MATCH(M15,{"A","B","C","D"},0)))</f>
        <v/>
      </c>
    </row>
    <row r="16" ht="40" customHeight="1">
      <c r="A16" s="11" t="inlineStr">
        <is>
          <t>Set 2</t>
        </is>
      </c>
      <c r="B16" s="11" t="inlineStr">
        <is>
          <t>Q5</t>
        </is>
      </c>
      <c r="C16" s="7" t="inlineStr">
        <is>
          <t>Relationship Management</t>
        </is>
      </c>
      <c r="D16" s="7" t="inlineStr">
        <is>
          <t>Two of your closest friends have an argument and both demand that you stop talking to the other person. How do you handle it?</t>
        </is>
      </c>
      <c r="E16" s="7" t="inlineStr">
        <is>
          <t>A) Pick the friend who is more popular so you don't lose social standing.</t>
        </is>
      </c>
      <c r="F16" s="7" t="inlineStr">
        <is>
          <t>B) Stop talking to both of them because you don't want to deal with their drama.</t>
        </is>
      </c>
      <c r="G16" s="7" t="inlineStr">
        <is>
          <t>C) Tell them you value both of them individually and refuse to take sides, but offer to listen to both.</t>
        </is>
      </c>
      <c r="H16" s="7" t="inlineStr">
        <is>
          <t>D) Secretly hang out with one and tell the other person bad things about them to keep both happy.</t>
        </is>
      </c>
      <c r="I16" s="12" t="n">
        <v>2</v>
      </c>
      <c r="J16" s="12" t="n">
        <v>3</v>
      </c>
      <c r="K16" s="12" t="n">
        <v>4</v>
      </c>
      <c r="L16" s="12" t="n">
        <v>2</v>
      </c>
      <c r="M16" s="10" t="n"/>
      <c r="N16">
        <f>IF(M16="",0,INDEX(I16:L16,1,MATCH(M16,{"A","B","C","D"},0)))</f>
        <v/>
      </c>
    </row>
    <row r="17" ht="40" customHeight="1">
      <c r="A17" s="11" t="inlineStr">
        <is>
          <t>Set 3</t>
        </is>
      </c>
      <c r="B17" s="11" t="inlineStr">
        <is>
          <t>Q1</t>
        </is>
      </c>
      <c r="C17" s="7" t="inlineStr">
        <is>
          <t>Self-Awareness</t>
        </is>
      </c>
      <c r="D17" s="7" t="inlineStr">
        <is>
          <t>On a very hot afternoon, you find yourself snapping at your parents and feeling highly irritated over tiny things. How do you reflect on this?</t>
        </is>
      </c>
      <c r="E17" s="7" t="inlineStr">
        <is>
          <t>A) Realize that your physical discomfort (heat, fatigue) is leaking into your mood, and take a cold drink.</t>
        </is>
      </c>
      <c r="F17" s="7" t="inlineStr">
        <is>
          <t>B) Assume your parents are intentionally trying to annoy you today.</t>
        </is>
      </c>
      <c r="G17" s="7" t="inlineStr">
        <is>
          <t>C) Think that you are naturally becoming an angry person and feel bad about your personality.</t>
        </is>
      </c>
      <c r="H17" s="7" t="inlineStr">
        <is>
          <t>D) Don't think about it at all; just stay in a bad mood until it goes away naturally.</t>
        </is>
      </c>
      <c r="I17" s="12" t="n">
        <v>4</v>
      </c>
      <c r="J17" s="12" t="n">
        <v>2</v>
      </c>
      <c r="K17" s="12" t="n">
        <v>3</v>
      </c>
      <c r="L17" s="12" t="n">
        <v>2</v>
      </c>
      <c r="M17" s="10" t="n"/>
      <c r="N17">
        <f>IF(M17="",0,INDEX(I17:L17,1,MATCH(M17,{"A","B","C","D"},0)))</f>
        <v/>
      </c>
    </row>
    <row r="18" ht="40" customHeight="1">
      <c r="A18" s="11" t="inlineStr">
        <is>
          <t>Set 3</t>
        </is>
      </c>
      <c r="B18" s="11" t="inlineStr">
        <is>
          <t>Q2</t>
        </is>
      </c>
      <c r="C18" s="7" t="inlineStr">
        <is>
          <t>Self-Regulation</t>
        </is>
      </c>
      <c r="D18" s="7" t="inlineStr">
        <is>
          <t>The class teacher harshly accuses you of talking loudly, but it was actually the person sitting right behind you. How do you respond?</t>
        </is>
      </c>
      <c r="E18" s="7" t="inlineStr">
        <is>
          <t>A) Stand up and shout back, 'It wasn't me! You always blame me unfairly!'</t>
        </is>
      </c>
      <c r="F18" s="7" t="inlineStr">
        <is>
          <t>B) Keep quiet, glare at the teacher with an angry face, and refuse to do any classwork.</t>
        </is>
      </c>
      <c r="G18" s="7" t="inlineStr">
        <is>
          <t>C) Calmly state that it wasn't you, but accept the instruction to stay quiet, and speak to the teacher after class.</t>
        </is>
      </c>
      <c r="H18" s="7" t="inlineStr">
        <is>
          <t>D) Point your finger immediately at the student behind you and say, 'He did it, punish him!'</t>
        </is>
      </c>
      <c r="I18" s="12" t="n">
        <v>2</v>
      </c>
      <c r="J18" s="12" t="n">
        <v>3</v>
      </c>
      <c r="K18" s="12" t="n">
        <v>4</v>
      </c>
      <c r="L18" s="12" t="n">
        <v>2</v>
      </c>
      <c r="M18" s="10" t="n"/>
      <c r="N18">
        <f>IF(M18="",0,INDEX(I18:L18,1,MATCH(M18,{"A","B","C","D"},0)))</f>
        <v/>
      </c>
    </row>
    <row r="19" ht="40" customHeight="1">
      <c r="A19" s="11" t="inlineStr">
        <is>
          <t>Set 3</t>
        </is>
      </c>
      <c r="B19" s="11" t="inlineStr">
        <is>
          <t>Q3</t>
        </is>
      </c>
      <c r="C19" s="7" t="inlineStr">
        <is>
          <t>Motivation / Resilience</t>
        </is>
      </c>
      <c r="D19" s="7" t="inlineStr">
        <is>
          <t>You receive your marks for a subject you usually top in, and you find you scored a very low C grade. What is your primary reaction?</t>
        </is>
      </c>
      <c r="E19" s="7" t="inlineStr">
        <is>
          <t>A) Hide the mark sheet from your parents and convince yourself the teacher made a huge grading error.</t>
        </is>
      </c>
      <c r="F19" s="7" t="inlineStr">
        <is>
          <t>B) Feel completely devastated, conclude you're losing your intelligence, and cry.</t>
        </is>
      </c>
      <c r="G19" s="7" t="inlineStr">
        <is>
          <t>C) Review the paper objectively to find your weak spots, and plan a better study strategy for the finals.</t>
        </is>
      </c>
      <c r="H19" s="7" t="inlineStr">
        <is>
          <t>D) Say, 'At least I passed, it doesn't matter much anyway,' and ignore the result.</t>
        </is>
      </c>
      <c r="I19" s="12" t="n">
        <v>2</v>
      </c>
      <c r="J19" s="12" t="n">
        <v>3</v>
      </c>
      <c r="K19" s="12" t="n">
        <v>4</v>
      </c>
      <c r="L19" s="12" t="n">
        <v>2</v>
      </c>
      <c r="M19" s="10" t="n"/>
      <c r="N19">
        <f>IF(M19="",0,INDEX(I19:L19,1,MATCH(M19,{"A","B","C","D"},0)))</f>
        <v/>
      </c>
    </row>
    <row r="20" ht="40" customHeight="1">
      <c r="A20" s="11" t="inlineStr">
        <is>
          <t>Set 3</t>
        </is>
      </c>
      <c r="B20" s="11" t="inlineStr">
        <is>
          <t>Q4</t>
        </is>
      </c>
      <c r="C20" s="7" t="inlineStr">
        <is>
          <t>Empathy</t>
        </is>
      </c>
      <c r="D20" s="7" t="inlineStr">
        <is>
          <t>Your close friend's pet dog passes away. They come to school but sit very quietly without talking. What is your approach?</t>
        </is>
      </c>
      <c r="E20" s="7" t="inlineStr">
        <is>
          <t>A) Try to crack jokes and make them laugh to distract them from thinking about it.</t>
        </is>
      </c>
      <c r="F20" s="7" t="inlineStr">
        <is>
          <t>B) Sit quietly next to them, let them know you are sorry for their loss, and just listen if they want to speak.</t>
        </is>
      </c>
      <c r="G20" s="7" t="inlineStr">
        <is>
          <t>C) Tell them, 'It's just an animal, you can always buy a new one, don't be sad.'</t>
        </is>
      </c>
      <c r="H20" s="7" t="inlineStr">
        <is>
          <t>D) Give them space by not talking to them or looking at them all day.</t>
        </is>
      </c>
      <c r="I20" s="12" t="n">
        <v>3</v>
      </c>
      <c r="J20" s="12" t="n">
        <v>4</v>
      </c>
      <c r="K20" s="12" t="n">
        <v>1</v>
      </c>
      <c r="L20" s="12" t="n">
        <v>3</v>
      </c>
      <c r="M20" s="10" t="n"/>
      <c r="N20">
        <f>IF(M20="",0,INDEX(I20:L20,1,MATCH(M20,{"A","B","C","D"},0)))</f>
        <v/>
      </c>
    </row>
    <row r="21" ht="40" customHeight="1">
      <c r="A21" s="11" t="inlineStr">
        <is>
          <t>Set 3</t>
        </is>
      </c>
      <c r="B21" s="11" t="inlineStr">
        <is>
          <t>Q5</t>
        </is>
      </c>
      <c r="C21" s="7" t="inlineStr">
        <is>
          <t>Relationship Management</t>
        </is>
      </c>
      <c r="D21" s="7" t="inlineStr">
        <is>
          <t>During a games period, you want to play basketball but your group of friends insists on playing football. What do you do?</t>
        </is>
      </c>
      <c r="E21" s="7" t="inlineStr">
        <is>
          <t>A) Refuse to play anything, sit on the bench alone, and make your friends feel guilty.</t>
        </is>
      </c>
      <c r="F21" s="7" t="inlineStr">
        <is>
          <t>B) Propose a compromise: 'Let's play football today, and basketball during the next recess/period!'</t>
        </is>
      </c>
      <c r="G21" s="7" t="inlineStr">
        <is>
          <t>C) Forcefully argue until some people get annoyed and give in to what you want.</t>
        </is>
      </c>
      <c r="H21" s="7" t="inlineStr">
        <is>
          <t>D) Silently join the football game but play badly on purpose because you are unhappy.</t>
        </is>
      </c>
      <c r="I21" s="12" t="n">
        <v>2</v>
      </c>
      <c r="J21" s="12" t="n">
        <v>4</v>
      </c>
      <c r="K21" s="12" t="n">
        <v>2</v>
      </c>
      <c r="L21" s="12" t="n">
        <v>3</v>
      </c>
      <c r="M21" s="10" t="n"/>
      <c r="N21">
        <f>IF(M21="",0,INDEX(I21:L21,1,MATCH(M21,{"A","B","C","D"},0)))</f>
        <v/>
      </c>
    </row>
    <row r="22" ht="40" customHeight="1">
      <c r="A22" s="11" t="inlineStr">
        <is>
          <t>Set 4</t>
        </is>
      </c>
      <c r="B22" s="11" t="inlineStr">
        <is>
          <t>Q1</t>
        </is>
      </c>
      <c r="C22" s="7" t="inlineStr">
        <is>
          <t>Self-Awareness</t>
        </is>
      </c>
      <c r="D22" s="7" t="inlineStr">
        <is>
          <t>Your friend arrives at school with a brand-new, expensive sports bicycle. You feel a heavy, uncomfortable feeling inside. How do you process this?</t>
        </is>
      </c>
      <c r="E22" s="7" t="inlineStr">
        <is>
          <t>A) Acknowledge to yourself that you are feeling jealous, and remind yourself that it's okay to want nice things without resenting your friend.</t>
        </is>
      </c>
      <c r="F22" s="7" t="inlineStr">
        <is>
          <t>B) Tell yourself that your friend is showing off and doesn't deserve such a nice bicycle.</t>
        </is>
      </c>
      <c r="G22" s="7" t="inlineStr">
        <is>
          <t>C) Ignore the feeling and look for flaws in their bicycle to make yourself feel better.</t>
        </is>
      </c>
      <c r="H22" s="7" t="inlineStr">
        <is>
          <t>D) Assume that your parents don't love you enough because they haven't bought you a similar bicycle.</t>
        </is>
      </c>
      <c r="I22" s="12" t="n">
        <v>4</v>
      </c>
      <c r="J22" s="12" t="n">
        <v>2</v>
      </c>
      <c r="K22" s="12" t="n">
        <v>2</v>
      </c>
      <c r="L22" s="12" t="n">
        <v>2</v>
      </c>
      <c r="M22" s="10" t="n"/>
      <c r="N22">
        <f>IF(M22="",0,INDEX(I22:L22,1,MATCH(M22,{"A","B","C","D"},0)))</f>
        <v/>
      </c>
    </row>
    <row r="23" ht="40" customHeight="1">
      <c r="A23" s="11" t="inlineStr">
        <is>
          <t>Set 4</t>
        </is>
      </c>
      <c r="B23" s="11" t="inlineStr">
        <is>
          <t>Q2</t>
        </is>
      </c>
      <c r="C23" s="7" t="inlineStr">
        <is>
          <t>Self-Regulation</t>
        </is>
      </c>
      <c r="D23" s="7" t="inlineStr">
        <is>
          <t>You are playing an online or casual multi-player game with friends, and your character keeps losing because of poor internet connection. What do you do?</t>
        </is>
      </c>
      <c r="E23" s="7" t="inlineStr">
        <is>
          <t>A) Throw the device down or slam the keyboard in a rage.</t>
        </is>
      </c>
      <c r="F23" s="7" t="inlineStr">
        <is>
          <t>B) Start typing angry words in the game chat, blaming your teammates or the game makers.</t>
        </is>
      </c>
      <c r="G23" s="7" t="inlineStr">
        <is>
          <t>C) Recognize your growing frustration, step away from the game, and do something offline to cool down.</t>
        </is>
      </c>
      <c r="H23" s="7" t="inlineStr">
        <is>
          <t>D) Keep playing while getting more and more miserable and complaining loudly to your family.</t>
        </is>
      </c>
      <c r="I23" s="12" t="n">
        <v>2</v>
      </c>
      <c r="J23" s="12" t="n">
        <v>2</v>
      </c>
      <c r="K23" s="12" t="n">
        <v>4</v>
      </c>
      <c r="L23" s="12" t="n">
        <v>3</v>
      </c>
      <c r="M23" s="10" t="n"/>
      <c r="N23">
        <f>IF(M23="",0,INDEX(I23:L23,1,MATCH(M23,{"A","B","C","D"},0)))</f>
        <v/>
      </c>
    </row>
    <row r="24" ht="40" customHeight="1">
      <c r="A24" s="11" t="inlineStr">
        <is>
          <t>Set 4</t>
        </is>
      </c>
      <c r="B24" s="11" t="inlineStr">
        <is>
          <t>Q3</t>
        </is>
      </c>
      <c r="C24" s="7" t="inlineStr">
        <is>
          <t>Motivation / Resilience</t>
        </is>
      </c>
      <c r="D24" s="7" t="inlineStr">
        <is>
          <t>A massive unexpected downpour cancels a long-awaited school field trip. What is your internal response?</t>
        </is>
      </c>
      <c r="E24" s="7" t="inlineStr">
        <is>
          <t>A) Complain that everything good always gets ruined and ruin the rest of your day at home.</t>
        </is>
      </c>
      <c r="F24" s="7" t="inlineStr">
        <is>
          <t>B) Accept that the weather is out of anyone's control, and organize a fun indoor game or watch a movie instead.</t>
        </is>
      </c>
      <c r="G24" s="7" t="inlineStr">
        <is>
          <t>C) Get angry at the school management for not checking the weather reports better.</t>
        </is>
      </c>
      <c r="H24" s="7" t="inlineStr">
        <is>
          <t>D) Go to sleep for the rest of the day out of pure frustration and boredom.</t>
        </is>
      </c>
      <c r="I24" s="12" t="n">
        <v>2</v>
      </c>
      <c r="J24" s="12" t="n">
        <v>4</v>
      </c>
      <c r="K24" s="12" t="n">
        <v>2</v>
      </c>
      <c r="L24" s="12" t="n">
        <v>3</v>
      </c>
      <c r="M24" s="10" t="n"/>
      <c r="N24">
        <f>IF(M24="",0,INDEX(I24:L24,1,MATCH(M24,{"A","B","C","D"},0)))</f>
        <v/>
      </c>
    </row>
    <row r="25" ht="40" customHeight="1">
      <c r="A25" s="11" t="inlineStr">
        <is>
          <t>Set 4</t>
        </is>
      </c>
      <c r="B25" s="11" t="inlineStr">
        <is>
          <t>Q4</t>
        </is>
      </c>
      <c r="C25" s="7" t="inlineStr">
        <is>
          <t>Empathy</t>
        </is>
      </c>
      <c r="D25" s="7" t="inlineStr">
        <is>
          <t>You see a student from a lower class being openly teased and mocked by a few seniors near the school staircase. What is your direct reaction?</t>
        </is>
      </c>
      <c r="E25" s="7" t="inlineStr">
        <is>
          <t>A) Join in the laughing so the seniors think you are cool and mature.</t>
        </is>
      </c>
      <c r="F25" s="7" t="inlineStr">
        <is>
          <t>B) Walk away quickly because you don't want the seniors to target you next.</t>
        </is>
      </c>
      <c r="G25" s="7" t="inlineStr">
        <is>
          <t>C) Inform a nearby teacher immediately or stand by the student to help them walk away from the situation safely.</t>
        </is>
      </c>
      <c r="H25" s="7" t="inlineStr">
        <is>
          <t>D) Stay and watch the drama like it is an interesting street movie.</t>
        </is>
      </c>
      <c r="I25" s="12" t="n">
        <v>1</v>
      </c>
      <c r="J25" s="12" t="n">
        <v>3</v>
      </c>
      <c r="K25" s="12" t="n">
        <v>4</v>
      </c>
      <c r="L25" s="12" t="n">
        <v>2</v>
      </c>
      <c r="M25" s="10" t="n"/>
      <c r="N25">
        <f>IF(M25="",0,INDEX(I25:L25,1,MATCH(M25,{"A","B","C","D"},0)))</f>
        <v/>
      </c>
    </row>
    <row r="26" ht="40" customHeight="1">
      <c r="A26" s="11" t="inlineStr">
        <is>
          <t>Set 4</t>
        </is>
      </c>
      <c r="B26" s="11" t="inlineStr">
        <is>
          <t>Q5</t>
        </is>
      </c>
      <c r="C26" s="7" t="inlineStr">
        <is>
          <t>Relationship Management</t>
        </is>
      </c>
      <c r="D26" s="7" t="inlineStr">
        <is>
          <t>During a family function, your cousin takes full credit for a creative party game that you actually came up with. How do you handle it?</t>
        </is>
      </c>
      <c r="E26" s="7" t="inlineStr">
        <is>
          <t>A) Expose them loudly in front of all the relatives, calling them a liar and a thief.</t>
        </is>
      </c>
      <c r="F26" s="7" t="inlineStr">
        <is>
          <t>B) Say nothing at the time, but talk to them privately later and say, 'Hey, it hurt me when you didn't mention we did that together. Let's share credit next time.'</t>
        </is>
      </c>
      <c r="G26" s="7" t="inlineStr">
        <is>
          <t>C) Never speak to that cousin again and tell your parents how horrible they are.</t>
        </is>
      </c>
      <c r="H26" s="7" t="inlineStr">
        <is>
          <t>D) Just smile and let them have all the credit, but feel deeply bitter inside.</t>
        </is>
      </c>
      <c r="I26" s="12" t="n">
        <v>2</v>
      </c>
      <c r="J26" s="12" t="n">
        <v>4</v>
      </c>
      <c r="K26" s="12" t="n">
        <v>2</v>
      </c>
      <c r="L26" s="12" t="n">
        <v>3</v>
      </c>
      <c r="M26" s="10" t="n"/>
      <c r="N26">
        <f>IF(M26="",0,INDEX(I26:L26,1,MATCH(M26,{"A","B","C","D"},0)))</f>
        <v/>
      </c>
    </row>
    <row r="27" ht="40" customHeight="1">
      <c r="A27" s="11" t="inlineStr">
        <is>
          <t>Set 5</t>
        </is>
      </c>
      <c r="B27" s="11" t="inlineStr">
        <is>
          <t>Q1</t>
        </is>
      </c>
      <c r="C27" s="7" t="inlineStr">
        <is>
          <t>Self-Awareness</t>
        </is>
      </c>
      <c r="D27" s="7" t="inlineStr">
        <is>
          <t>You have coaching classes, school homework, and a project all due tomorrow. You feel paralyzed and can't start. What are you aware of?</t>
        </is>
      </c>
      <c r="E27" s="7" t="inlineStr">
        <is>
          <t>A) I realize that feeling overwhelmed is making me stuck, so I need to break the work into tiny, bite-sized tasks.</t>
        </is>
      </c>
      <c r="F27" s="7" t="inlineStr">
        <is>
          <t>B) I decide that I am lazy and don't have good time-management skills.</t>
        </is>
      </c>
      <c r="G27" s="7" t="inlineStr">
        <is>
          <t>C) I conclude that my teachers are malicious and are intentionally plotting to ruin my evening.</t>
        </is>
      </c>
      <c r="H27" s="7" t="inlineStr">
        <is>
          <t>D) I ignore the anxiety and watch videos on my phone to make the bad feeling disappear.</t>
        </is>
      </c>
      <c r="I27" s="12" t="n">
        <v>4</v>
      </c>
      <c r="J27" s="12" t="n">
        <v>2</v>
      </c>
      <c r="K27" s="12" t="n">
        <v>2</v>
      </c>
      <c r="L27" s="12" t="n">
        <v>3</v>
      </c>
      <c r="M27" s="10" t="n"/>
      <c r="N27">
        <f>IF(M27="",0,INDEX(I27:L27,1,MATCH(M27,{"A","B","C","D"},0)))</f>
        <v/>
      </c>
    </row>
    <row r="28" ht="40" customHeight="1">
      <c r="A28" s="11" t="inlineStr">
        <is>
          <t>Set 5</t>
        </is>
      </c>
      <c r="B28" s="11" t="inlineStr">
        <is>
          <t>Q2</t>
        </is>
      </c>
      <c r="C28" s="7" t="inlineStr">
        <is>
          <t>Self-Regulation</t>
        </is>
      </c>
      <c r="D28" s="7" t="inlineStr">
        <is>
          <t>Your parent comes home stressed from the office and scolds you for a minor messy spot in your room before you can explain. What do you do?</t>
        </is>
      </c>
      <c r="E28" s="7" t="inlineStr">
        <is>
          <t>A) Slam your room door shut and shout, 'You never understand anything!'</t>
        </is>
      </c>
      <c r="F28" s="7" t="inlineStr">
        <is>
          <t>B) Wait for them to settle down and change, then calmly say, 'I was just finishing my project, I will clean it up now.'</t>
        </is>
      </c>
      <c r="G28" s="7" t="inlineStr">
        <is>
          <t>C) Start crying loudly and tell them they love your sibling more than you.</t>
        </is>
      </c>
      <c r="H28" s="7" t="inlineStr">
        <is>
          <t>D) Clean the room aggressively while throwing items around to show your frustration.</t>
        </is>
      </c>
      <c r="I28" s="12" t="n">
        <v>2</v>
      </c>
      <c r="J28" s="12" t="n">
        <v>4</v>
      </c>
      <c r="K28" s="12" t="n">
        <v>3</v>
      </c>
      <c r="L28" s="12" t="n">
        <v>3</v>
      </c>
      <c r="M28" s="10" t="n"/>
      <c r="N28">
        <f>IF(M28="",0,INDEX(I28:L28,1,MATCH(M28,{"A","B","C","D"},0)))</f>
        <v/>
      </c>
    </row>
    <row r="29" ht="40" customHeight="1">
      <c r="A29" s="11" t="inlineStr">
        <is>
          <t>Set 5</t>
        </is>
      </c>
      <c r="B29" s="11" t="inlineStr">
        <is>
          <t>Q3</t>
        </is>
      </c>
      <c r="C29" s="7" t="inlineStr">
        <is>
          <t>Motivation / Resilience</t>
        </is>
      </c>
      <c r="D29" s="7" t="inlineStr">
        <is>
          <t>You enter a school debate or quiz competition, but your team gets knocked out in the very first round. How do you handle it?</t>
        </is>
      </c>
      <c r="E29" s="7" t="inlineStr">
        <is>
          <t>A) Tell your teammates they did a horrible job and it's their fault you lost.</t>
        </is>
      </c>
      <c r="F29" s="7" t="inlineStr">
        <is>
          <t>B) Decide that competition isn't your thing and pledge never to register again.</t>
        </is>
      </c>
      <c r="G29" s="7" t="inlineStr">
        <is>
          <t>C) Congratulate the winning team, and think about what points they made that you can learn from.</t>
        </is>
      </c>
      <c r="H29" s="7" t="inlineStr">
        <is>
          <t>D) Shrug it off and say the judges were biased anyway, so it doesn't matter.</t>
        </is>
      </c>
      <c r="I29" s="12" t="n">
        <v>2</v>
      </c>
      <c r="J29" s="12" t="n">
        <v>2</v>
      </c>
      <c r="K29" s="12" t="n">
        <v>4</v>
      </c>
      <c r="L29" s="12" t="n">
        <v>3</v>
      </c>
      <c r="M29" s="10" t="n"/>
      <c r="N29">
        <f>IF(M29="",0,INDEX(I29:L29,1,MATCH(M29,{"A","B","C","D"},0)))</f>
        <v/>
      </c>
    </row>
    <row r="30" ht="40" customHeight="1">
      <c r="A30" s="11" t="inlineStr">
        <is>
          <t>Set 5</t>
        </is>
      </c>
      <c r="B30" s="11" t="inlineStr">
        <is>
          <t>Q4</t>
        </is>
      </c>
      <c r="C30" s="7" t="inlineStr">
        <is>
          <t>Empathy</t>
        </is>
      </c>
      <c r="D30" s="7" t="inlineStr">
        <is>
          <t>Your school teacher looks visibly exhausted, with a hoarse voice, trying hard to control a loud, unruly class. What is your reaction?</t>
        </is>
      </c>
      <c r="E30" s="7" t="inlineStr">
        <is>
          <t>A) Take advantage of the chaos to talk loudly with your desk partner since the teacher can't catch everyone.</t>
        </is>
      </c>
      <c r="F30" s="7" t="inlineStr">
        <is>
          <t>B) Sit quietly, follow instructions immediately, and politely ask your immediate neighbors to tone down their noise.</t>
        </is>
      </c>
      <c r="G30" s="7" t="inlineStr">
        <is>
          <t>C) Stare out of the window and wait for the period bell to ring, ignoring the noise.</t>
        </is>
      </c>
      <c r="H30" s="7" t="inlineStr">
        <is>
          <t>D) Laugh at how the teacher has completely lost control of the classroom.</t>
        </is>
      </c>
      <c r="I30" s="12" t="n">
        <v>2</v>
      </c>
      <c r="J30" s="12" t="n">
        <v>4</v>
      </c>
      <c r="K30" s="12" t="n">
        <v>3</v>
      </c>
      <c r="L30" s="12" t="n">
        <v>1</v>
      </c>
      <c r="M30" s="10" t="n"/>
      <c r="N30">
        <f>IF(M30="",0,INDEX(I30:L30,1,MATCH(M30,{"A","B","C","D"},0)))</f>
        <v/>
      </c>
    </row>
    <row r="31" ht="40" customHeight="1">
      <c r="A31" s="11" t="inlineStr">
        <is>
          <t>Set 5</t>
        </is>
      </c>
      <c r="B31" s="11" t="inlineStr">
        <is>
          <t>Q5</t>
        </is>
      </c>
      <c r="C31" s="7" t="inlineStr">
        <is>
          <t>Relationship Management</t>
        </is>
      </c>
      <c r="D31" s="7" t="inlineStr">
        <is>
          <t>A friend you hang out with every single day suddenly stops sitting next to you or talking to you, without giving a reason. What do you do?</t>
        </is>
      </c>
      <c r="E31" s="7" t="inlineStr">
        <is>
          <t>A) Start spreading nasty rumors about them to other classmates before they can do it to you.</t>
        </is>
      </c>
      <c r="F31" s="7" t="inlineStr">
        <is>
          <t>B) Approach them privately and ask calmly, 'Hey, I noticed you've been a bit distant. Did I do something to upset you?'</t>
        </is>
      </c>
      <c r="G31" s="7" t="inlineStr">
        <is>
          <t>C) Pretend they don't exist and completely ignore them for the rest of the year.</t>
        </is>
      </c>
      <c r="H31" s="7" t="inlineStr">
        <is>
          <t>D) Send them an angry text message demanding to know what their problem is.</t>
        </is>
      </c>
      <c r="I31" s="12" t="n">
        <v>2</v>
      </c>
      <c r="J31" s="12" t="n">
        <v>4</v>
      </c>
      <c r="K31" s="12" t="n">
        <v>3</v>
      </c>
      <c r="L31" s="12" t="n">
        <v>2</v>
      </c>
      <c r="M31" s="10" t="n"/>
      <c r="N31">
        <f>IF(M31="",0,INDEX(I31:L31,1,MATCH(M31,{"A","B","C","D"},0)))</f>
        <v/>
      </c>
    </row>
    <row r="32" ht="40" customHeight="1">
      <c r="A32" s="11" t="inlineStr">
        <is>
          <t>Set 6</t>
        </is>
      </c>
      <c r="B32" s="11" t="inlineStr">
        <is>
          <t>Q1</t>
        </is>
      </c>
      <c r="C32" s="7" t="inlineStr">
        <is>
          <t>Self-Awareness</t>
        </is>
      </c>
      <c r="D32" s="7" t="inlineStr">
        <is>
          <t>You see group photos on a classmate's social media or WhatsApp status showing your close friends hanging out together without inviting you. What do you notice?</t>
        </is>
      </c>
      <c r="E32" s="7" t="inlineStr">
        <is>
          <t>A) I feel a deep pang of rejection and envy, and I need to process this hurt before reacting to them.</t>
        </is>
      </c>
      <c r="F32" s="7" t="inlineStr">
        <is>
          <t>B) I realize that none of my friends ever liked me, and I have always been completely alone.</t>
        </is>
      </c>
      <c r="G32" s="7" t="inlineStr">
        <is>
          <t>C) I feel nothing; I don't care about what others do outside of school hours.</t>
        </is>
      </c>
      <c r="H32" s="7" t="inlineStr">
        <is>
          <t>D) I get filled with rage and start planning how to create a new group to exclude them.</t>
        </is>
      </c>
      <c r="I32" s="12" t="n">
        <v>4</v>
      </c>
      <c r="J32" s="12" t="n">
        <v>2</v>
      </c>
      <c r="K32" s="12" t="n">
        <v>3</v>
      </c>
      <c r="L32" s="12" t="n">
        <v>2</v>
      </c>
      <c r="M32" s="10" t="n"/>
      <c r="N32">
        <f>IF(M32="",0,INDEX(I32:L32,1,MATCH(M32,{"A","B","C","D"},0)))</f>
        <v/>
      </c>
    </row>
    <row r="33" ht="40" customHeight="1">
      <c r="A33" s="11" t="inlineStr">
        <is>
          <t>Set 6</t>
        </is>
      </c>
      <c r="B33" s="11" t="inlineStr">
        <is>
          <t>Q2</t>
        </is>
      </c>
      <c r="C33" s="7" t="inlineStr">
        <is>
          <t>Self-Regulation</t>
        </is>
      </c>
      <c r="D33" s="7" t="inlineStr">
        <is>
          <t>During a tough terminal math exam, you notice that your friend's answer sheet is easily visible from your seat. You are stuck on a 5-mark question. What do you do?</t>
        </is>
      </c>
      <c r="E33" s="7" t="inlineStr">
        <is>
          <t>A) Look carefully and copy their steps; it's okay because everyone cheats sometimes.</t>
        </is>
      </c>
      <c r="F33" s="7" t="inlineStr">
        <is>
          <t>B) Take a breath, look away, accept that your marks should reflect your own preparation, and try your best on your own sheet.</t>
        </is>
      </c>
      <c r="G33" s="7" t="inlineStr">
        <is>
          <t>C) Glance just to check the final answer number so you can manipulate your own working to match it.</t>
        </is>
      </c>
      <c r="H33" s="7" t="inlineStr">
        <is>
          <t>D) Stare at their paper for a long time, feeling deeply conflicted and wasting precious exam time.</t>
        </is>
      </c>
      <c r="I33" s="12" t="n">
        <v>2</v>
      </c>
      <c r="J33" s="12" t="n">
        <v>4</v>
      </c>
      <c r="K33" s="12" t="n">
        <v>3</v>
      </c>
      <c r="L33" s="12" t="n">
        <v>3</v>
      </c>
      <c r="M33" s="10" t="n"/>
      <c r="N33">
        <f>IF(M33="",0,INDEX(I33:L33,1,MATCH(M33,{"A","B","C","D"},0)))</f>
        <v/>
      </c>
    </row>
    <row r="34" ht="40" customHeight="1">
      <c r="A34" s="11" t="inlineStr">
        <is>
          <t>Set 6</t>
        </is>
      </c>
      <c r="B34" s="11" t="inlineStr">
        <is>
          <t>Q3</t>
        </is>
      </c>
      <c r="C34" s="7" t="inlineStr">
        <is>
          <t>Motivation / Resilience</t>
        </is>
      </c>
      <c r="D34" s="7" t="inlineStr">
        <is>
          <t>Your science exhibition model completely stops working right as the judges enter your aisle. What is your action?</t>
        </is>
      </c>
      <c r="E34" s="7" t="inlineStr">
        <is>
          <t>A) Burst into tears, cover your face, and let your project partner do all the talking.</t>
        </is>
      </c>
      <c r="F34" s="7" t="inlineStr">
        <is>
          <t>B) Explain the underlying theory confidently to the judges, explain what part broke down technically, and discuss how you would fix it.</t>
        </is>
      </c>
      <c r="G34" s="7" t="inlineStr">
        <is>
          <t>C) Kick the table or model in frustration and walk out of the exhibition room.</t>
        </is>
      </c>
      <c r="H34" s="7" t="inlineStr">
        <is>
          <t>D) Pretend that the model was never supposed to move and tell a flat lie to the judges.</t>
        </is>
      </c>
      <c r="I34" s="12" t="n">
        <v>3</v>
      </c>
      <c r="J34" s="12" t="n">
        <v>4</v>
      </c>
      <c r="K34" s="12" t="n">
        <v>2</v>
      </c>
      <c r="L34" s="12" t="n">
        <v>2</v>
      </c>
      <c r="M34" s="10" t="n"/>
      <c r="N34">
        <f>IF(M34="",0,INDEX(I34:L34,1,MATCH(M34,{"A","B","C","D"},0)))</f>
        <v/>
      </c>
    </row>
    <row r="35" ht="40" customHeight="1">
      <c r="A35" s="11" t="inlineStr">
        <is>
          <t>Set 6</t>
        </is>
      </c>
      <c r="B35" s="11" t="inlineStr">
        <is>
          <t>Q4</t>
        </is>
      </c>
      <c r="C35" s="7" t="inlineStr">
        <is>
          <t>Empathy</t>
        </is>
      </c>
      <c r="D35" s="7" t="inlineStr">
        <is>
          <t>A nervous classmate starts stuttering and mixing up words while presenting an individual speech in front of the whole class. What do you do?</t>
        </is>
      </c>
      <c r="E35" s="7" t="inlineStr">
        <is>
          <t>A) Snicker quietly behind your hand and whisper something funny to your desk partner.</t>
        </is>
      </c>
      <c r="F35" s="7" t="inlineStr">
        <is>
          <t>B) Maintain encouraging eye contact, nod along, and clap warmly when they finish the presentation.</t>
        </is>
      </c>
      <c r="G35" s="7" t="inlineStr">
        <is>
          <t>C) Stare at your desk, feeling incredibly awkward, wishing the period would end soon.</t>
        </is>
      </c>
      <c r="H35" s="7" t="inlineStr">
        <is>
          <t>D) Shout out a correction from your seat to 'help' them with the word they are stuck on.</t>
        </is>
      </c>
      <c r="I35" s="12" t="n">
        <v>1</v>
      </c>
      <c r="J35" s="12" t="n">
        <v>4</v>
      </c>
      <c r="K35" s="12" t="n">
        <v>3</v>
      </c>
      <c r="L35" s="12" t="n">
        <v>3</v>
      </c>
      <c r="M35" s="10" t="n"/>
      <c r="N35">
        <f>IF(M35="",0,INDEX(I35:L35,1,MATCH(M35,{"A","B","C","D"},0)))</f>
        <v/>
      </c>
    </row>
    <row r="36" ht="40" customHeight="1">
      <c r="A36" s="11" t="inlineStr">
        <is>
          <t>Set 6</t>
        </is>
      </c>
      <c r="B36" s="11" t="inlineStr">
        <is>
          <t>Q5</t>
        </is>
      </c>
      <c r="C36" s="7" t="inlineStr">
        <is>
          <t>Relationship Management</t>
        </is>
      </c>
      <c r="D36" s="7" t="inlineStr">
        <is>
          <t>You really want to go on a 3-day school educational tour, but your parents are hesitant due to safety and cost concerns. How do you talk to them?</t>
        </is>
      </c>
      <c r="E36" s="7" t="inlineStr">
        <is>
          <t>A) Throw a massive tantrum, lock yourself in your room, and threaten to skip your upcoming exams.</t>
        </is>
      </c>
      <c r="F36" s="7" t="inlineStr">
        <is>
          <t>B) Sit down with them, show them the detailed itinerary, share the teacher's phone number, and offer to save pocket money to help with costs.</t>
        </is>
      </c>
      <c r="G36" s="7" t="inlineStr">
        <is>
          <t>C) Constantly whine and nag them every hour until they finally agree just to stop your nagging.</t>
        </is>
      </c>
      <c r="H36" s="7" t="inlineStr">
        <is>
          <t>D) Secretly forge their signature on the permission slip and figure out the money details later.</t>
        </is>
      </c>
      <c r="I36" s="12" t="n">
        <v>2</v>
      </c>
      <c r="J36" s="12" t="n">
        <v>4</v>
      </c>
      <c r="K36" s="12" t="n">
        <v>3</v>
      </c>
      <c r="L36" s="12" t="n">
        <v>2</v>
      </c>
      <c r="M36" s="10" t="n"/>
      <c r="N36">
        <f>IF(M36="",0,INDEX(I36:L36,1,MATCH(M36,{"A","B","C","D"},0)))</f>
        <v/>
      </c>
    </row>
    <row r="37" ht="40" customHeight="1">
      <c r="A37" s="11" t="inlineStr">
        <is>
          <t>Set 7</t>
        </is>
      </c>
      <c r="B37" s="11" t="inlineStr">
        <is>
          <t>Q1</t>
        </is>
      </c>
      <c r="C37" s="7" t="inlineStr">
        <is>
          <t>Self-Awareness</t>
        </is>
      </c>
      <c r="D37" s="7" t="inlineStr">
        <is>
          <t>You have to choose one hobby club (Drama, Coding, Painting, or Debate). How do you make your choice?</t>
        </is>
      </c>
      <c r="E37" s="7" t="inlineStr">
        <is>
          <t>A) Join whatever club my best friend joins, because I can't survive a class without them.</t>
        </is>
      </c>
      <c r="F37" s="7" t="inlineStr">
        <is>
          <t>B) Reflect on what activities actually match my personal strengths and interests, even if I don't know anyone else in that club.</t>
        </is>
      </c>
      <c r="G37" s="7" t="inlineStr">
        <is>
          <t>C) Pick the club that is rumored to have the least amount of actual work or homework.</t>
        </is>
      </c>
      <c r="H37" s="7" t="inlineStr">
        <is>
          <t>D) Let my parents pick the club for me because they know better than me anyway.</t>
        </is>
      </c>
      <c r="I37" s="12" t="n">
        <v>3</v>
      </c>
      <c r="J37" s="12" t="n">
        <v>4</v>
      </c>
      <c r="K37" s="12" t="n">
        <v>2</v>
      </c>
      <c r="L37" s="12" t="n">
        <v>3</v>
      </c>
      <c r="M37" s="10" t="n"/>
      <c r="N37">
        <f>IF(M37="",0,INDEX(I37:L37,1,MATCH(M37,{"A","B","C","D"},0)))</f>
        <v/>
      </c>
    </row>
    <row r="38" ht="40" customHeight="1">
      <c r="A38" s="11" t="inlineStr">
        <is>
          <t>Set 7</t>
        </is>
      </c>
      <c r="B38" s="11" t="inlineStr">
        <is>
          <t>Q2</t>
        </is>
      </c>
      <c r="C38" s="7" t="inlineStr">
        <is>
          <t>Self-Regulation</t>
        </is>
      </c>
      <c r="D38" s="7" t="inlineStr">
        <is>
          <t>Someone running fast down a crowded school corridor collides with you heavily, causing you to drop all your open notebook sheets into a puddle. What is your reaction?</t>
        </is>
      </c>
      <c r="E38" s="7" t="inlineStr">
        <is>
          <t>A) Hurl an insult at them immediately and push them back with force.</t>
        </is>
      </c>
      <c r="F38" s="7" t="inlineStr">
        <is>
          <t>B) Take a deep breath, accept that it was an accident in a crowded space, and accept their apology while gathering the sheets.</t>
        </is>
      </c>
      <c r="G38" s="7" t="inlineStr">
        <is>
          <t>C) Sit down on the floor and start crying over your ruined notes.</t>
        </is>
      </c>
      <c r="H38" s="7" t="inlineStr">
        <is>
          <t>D) Scream at the top of your lungs for a corridor monitor or physical education teacher to catch them.</t>
        </is>
      </c>
      <c r="I38" s="12" t="n">
        <v>2</v>
      </c>
      <c r="J38" s="12" t="n">
        <v>4</v>
      </c>
      <c r="K38" s="12" t="n">
        <v>3</v>
      </c>
      <c r="L38" s="12" t="n">
        <v>3</v>
      </c>
      <c r="M38" s="10" t="n"/>
      <c r="N38">
        <f>IF(M38="",0,INDEX(I38:L38,1,MATCH(M38,{"A","B","C","D"},0)))</f>
        <v/>
      </c>
    </row>
    <row r="39" ht="40" customHeight="1">
      <c r="A39" s="11" t="inlineStr">
        <is>
          <t>Set 7</t>
        </is>
      </c>
      <c r="B39" s="11" t="inlineStr">
        <is>
          <t>Q3</t>
        </is>
      </c>
      <c r="C39" s="7" t="inlineStr">
        <is>
          <t>Motivation / Resilience</t>
        </is>
      </c>
      <c r="D39" s="7" t="inlineStr">
        <is>
          <t>You spend the whole weekend painting a landscape for a class chart display, but when hung up, it looks much less skilled than others. What do you feel?</t>
        </is>
      </c>
      <c r="E39" s="7" t="inlineStr">
        <is>
          <t>A) Rip your painting down when no one is looking and throw it in the dustbin.</t>
        </is>
      </c>
      <c r="F39" s="7" t="inlineStr">
        <is>
          <t>B) Recognize that art takes time to build up, appreciate the techniques used by others, and ask a talented classmate for tips.</t>
        </is>
      </c>
      <c r="G39" s="7" t="inlineStr">
        <is>
          <t>C) Tell everyone that painting is a waste of time and that you only care about sports anyway.</t>
        </is>
      </c>
      <c r="H39" s="7" t="inlineStr">
        <is>
          <t>D) Assume the teacher gave the best display spots to their favorite students.</t>
        </is>
      </c>
      <c r="I39" s="12" t="n">
        <v>2</v>
      </c>
      <c r="J39" s="12" t="n">
        <v>4</v>
      </c>
      <c r="K39" s="12" t="n">
        <v>2</v>
      </c>
      <c r="L39" s="12" t="n">
        <v>2</v>
      </c>
      <c r="M39" s="10" t="n"/>
      <c r="N39">
        <f>IF(M39="",0,INDEX(I39:L39,1,MATCH(M39,{"A","B","C","D"},0)))</f>
        <v/>
      </c>
    </row>
    <row r="40" ht="40" customHeight="1">
      <c r="A40" s="11" t="inlineStr">
        <is>
          <t>Set 7</t>
        </is>
      </c>
      <c r="B40" s="11" t="inlineStr">
        <is>
          <t>Q4</t>
        </is>
      </c>
      <c r="C40" s="7" t="inlineStr">
        <is>
          <t>Empathy</t>
        </is>
      </c>
      <c r="D40" s="7" t="inlineStr">
        <is>
          <t>A student in your class has been distracted, missing homework submissions because their mother is hospitalized. How do you interact with them?</t>
        </is>
      </c>
      <c r="E40" s="7" t="inlineStr">
        <is>
          <t>A) Remind them during group work that they are dragging down the group's overall internal marks.</t>
        </is>
      </c>
      <c r="F40" s="7" t="inlineStr">
        <is>
          <t>B) Offer to share your neat class notes and help them catch up with lessons during free periods.</t>
        </is>
      </c>
      <c r="G40" s="7" t="inlineStr">
        <is>
          <t>C) Avoid them because talking about hospitals and sickness makes you feel deeply uncomfortable.</t>
        </is>
      </c>
      <c r="H40" s="7" t="inlineStr">
        <is>
          <t>D) Ask them for all the dramatic details of the sickness so you can share the update with others.</t>
        </is>
      </c>
      <c r="I40" s="12" t="n">
        <v>1</v>
      </c>
      <c r="J40" s="12" t="n">
        <v>4</v>
      </c>
      <c r="K40" s="12" t="n">
        <v>3</v>
      </c>
      <c r="L40" s="12" t="n">
        <v>2</v>
      </c>
      <c r="M40" s="10" t="n"/>
      <c r="N40">
        <f>IF(M40="",0,INDEX(I40:L40,1,MATCH(M40,{"A","B","C","D"},0)))</f>
        <v/>
      </c>
    </row>
    <row r="41" ht="40" customHeight="1">
      <c r="A41" s="11" t="inlineStr">
        <is>
          <t>Set 7</t>
        </is>
      </c>
      <c r="B41" s="11" t="inlineStr">
        <is>
          <t>Q5</t>
        </is>
      </c>
      <c r="C41" s="7" t="inlineStr">
        <is>
          <t>Relationship Management</t>
        </is>
      </c>
      <c r="D41" s="7" t="inlineStr">
        <is>
          <t>A friend mistakenly hears a rumor that you spoke poorly of them behind their back, and they confront you angrily. What is your action?</t>
        </is>
      </c>
      <c r="E41" s="7" t="inlineStr">
        <is>
          <t>A) Get defensive and say, 'If you believe rumors, you were never a real friend anyway!' and walk away.</t>
        </is>
      </c>
      <c r="F41" s="7" t="inlineStr">
        <is>
          <t>B) Listen fully to what they heard, remain calm, clarify the truth honestly, and show them you respect the friendship.</t>
        </is>
      </c>
      <c r="G41" s="7" t="inlineStr">
        <is>
          <t>C) Counter-attack by listing all the mistakes they have made in the past to deflect the focus.</t>
        </is>
      </c>
      <c r="H41" s="7" t="inlineStr">
        <is>
          <t>D) Apologize profusely for something you didn't do just to make the argument stop immediately.</t>
        </is>
      </c>
      <c r="I41" s="12" t="n">
        <v>2</v>
      </c>
      <c r="J41" s="12" t="n">
        <v>4</v>
      </c>
      <c r="K41" s="12" t="n">
        <v>2</v>
      </c>
      <c r="L41" s="12" t="n">
        <v>3</v>
      </c>
      <c r="M41" s="10" t="n"/>
      <c r="N41">
        <f>IF(M41="",0,INDEX(I41:L41,1,MATCH(M41,{"A","B","C","D"},0)))</f>
        <v/>
      </c>
    </row>
    <row r="42" ht="40" customHeight="1">
      <c r="A42" s="11" t="inlineStr">
        <is>
          <t>Set 8</t>
        </is>
      </c>
      <c r="B42" s="11" t="inlineStr">
        <is>
          <t>Q1</t>
        </is>
      </c>
      <c r="C42" s="7" t="inlineStr">
        <is>
          <t>Self-Awareness</t>
        </is>
      </c>
      <c r="D42" s="7" t="inlineStr">
        <is>
          <t>You keep putting off opening your history textbook for days, preferring to play games, even though the exam is near. What do you realize?</t>
        </is>
      </c>
      <c r="E42" s="7" t="inlineStr">
        <is>
          <t>A) I realize I am delaying because I find history confusing and am scared of failing, so I need to ask for help.</t>
        </is>
      </c>
      <c r="F42" s="7" t="inlineStr">
        <is>
          <t>B) I realize I am just a lazy student who is fundamentally incapable of working hard.</t>
        </is>
      </c>
      <c r="G42" s="7" t="inlineStr">
        <is>
          <t>C) I tell myself that history is a useless subject, so it doesn't matter if I study it later.</t>
        </is>
      </c>
      <c r="H42" s="7" t="inlineStr">
        <is>
          <t>D) I don't realize anything; I just keep playing games and try not to think about the book.</t>
        </is>
      </c>
      <c r="I42" s="12" t="n">
        <v>4</v>
      </c>
      <c r="J42" s="12" t="n">
        <v>2</v>
      </c>
      <c r="K42" s="12" t="n">
        <v>2</v>
      </c>
      <c r="L42" s="12" t="n">
        <v>2</v>
      </c>
      <c r="M42" s="10" t="n"/>
      <c r="N42">
        <f>IF(M42="",0,INDEX(I42:L42,1,MATCH(M42,{"A","B","C","D"},0)))</f>
        <v/>
      </c>
    </row>
    <row r="43" ht="40" customHeight="1">
      <c r="A43" s="11" t="inlineStr">
        <is>
          <t>Set 8</t>
        </is>
      </c>
      <c r="B43" s="11" t="inlineStr">
        <is>
          <t>Q2</t>
        </is>
      </c>
      <c r="C43" s="7" t="inlineStr">
        <is>
          <t>Self-Regulation</t>
        </is>
      </c>
      <c r="D43" s="7" t="inlineStr">
        <is>
          <t>The household internet cuts out entirely right as you are about to click 'Submit' on a timed holiday homework assignment form. How do you manage your panic?</t>
        </is>
      </c>
      <c r="E43" s="7" t="inlineStr">
        <is>
          <t>A) Scream, throw your mouse, and blame your family members for using up the data.</t>
        </is>
      </c>
      <c r="F43" s="7" t="inlineStr">
        <is>
          <t>B) Take a slow breath, use a mobile hotspot if available, or write a polite email/SMS to the teacher explaining the issue immediately.</t>
        </is>
      </c>
      <c r="G43" s="7" t="inlineStr">
        <is>
          <t>C) Abandon the submission entirely, lie down, and decide to accept a zero score without attempting a fix.</t>
        </is>
      </c>
      <c r="H43" s="7" t="inlineStr">
        <is>
          <t>D) Keep frantically clicking the broken button over and over while crying hysterically.</t>
        </is>
      </c>
      <c r="I43" s="12" t="n">
        <v>2</v>
      </c>
      <c r="J43" s="12" t="n">
        <v>4</v>
      </c>
      <c r="K43" s="12" t="n">
        <v>3</v>
      </c>
      <c r="L43" s="12" t="n">
        <v>3</v>
      </c>
      <c r="M43" s="10" t="n"/>
      <c r="N43">
        <f>IF(M43="",0,INDEX(I43:L43,1,MATCH(M43,{"A","B","C","D"},0)))</f>
        <v/>
      </c>
    </row>
    <row r="44" ht="40" customHeight="1">
      <c r="A44" s="11" t="inlineStr">
        <is>
          <t>Set 8</t>
        </is>
      </c>
      <c r="B44" s="11" t="inlineStr">
        <is>
          <t>Q3</t>
        </is>
      </c>
      <c r="C44" s="7" t="inlineStr">
        <is>
          <t>Motivation / Resilience</t>
        </is>
      </c>
      <c r="D44" s="7" t="inlineStr">
        <is>
          <t>The teacher introduces a brand new, highly complex math chapter. After two explanations, you still don't understand a single step. What do you do?</t>
        </is>
      </c>
      <c r="E44" s="7" t="inlineStr">
        <is>
          <t>A) Assume you're just bad at advanced math and mentally tune out for the rest of the term.</t>
        </is>
      </c>
      <c r="F44" s="7" t="inlineStr">
        <is>
          <t>B) Mark the difficult steps with a pencil, check online video tutorials at home, or ask a peer for a peer-to-peer explanation.</t>
        </is>
      </c>
      <c r="G44" s="7" t="inlineStr">
        <is>
          <t>C) Complain loudly to your friends that the teacher has no idea how to teach properly.</t>
        </is>
      </c>
      <c r="H44" s="7" t="inlineStr">
        <is>
          <t>D) Copy the solved examples blindly into your notebook without bothering to understand them.</t>
        </is>
      </c>
      <c r="I44" s="12" t="n">
        <v>2</v>
      </c>
      <c r="J44" s="12" t="n">
        <v>4</v>
      </c>
      <c r="K44" s="12" t="n">
        <v>2</v>
      </c>
      <c r="L44" s="12" t="n">
        <v>3</v>
      </c>
      <c r="M44" s="10" t="n"/>
      <c r="N44">
        <f>IF(M44="",0,INDEX(I44:L44,1,MATCH(M44,{"A","B","C","D"},0)))</f>
        <v/>
      </c>
    </row>
    <row r="45" ht="40" customHeight="1">
      <c r="A45" s="11" t="inlineStr">
        <is>
          <t>Set 8</t>
        </is>
      </c>
      <c r="B45" s="11" t="inlineStr">
        <is>
          <t>Q4</t>
        </is>
      </c>
      <c r="C45" s="7" t="inlineStr">
        <is>
          <t>Empathy</t>
        </is>
      </c>
      <c r="D45" s="7" t="inlineStr">
        <is>
          <t>You see the school support staff (security guard or cleaning auntie) working hard in the scorching 42-degree summer heat without a fan nearby. What is your thought?</t>
        </is>
      </c>
      <c r="E45" s="7" t="inlineStr">
        <is>
          <t>A) Think that it is their job and they are paid for it, so there is nothing unusual about it.</t>
        </is>
      </c>
      <c r="F45" s="7" t="inlineStr">
        <is>
          <t>B) Feel a sense of respect and care, and offer them a cold bottle of water from the water cooler if you can access one.</t>
        </is>
      </c>
      <c r="G45" s="7" t="inlineStr">
        <is>
          <t>C) Avoid looking at them because seeing people struggle makes you feel uncomfortable.</t>
        </is>
      </c>
      <c r="H45" s="7" t="inlineStr">
        <is>
          <t>D) Wonder why they didn't study harder when they were young so they could have an AC office.</t>
        </is>
      </c>
      <c r="I45" s="12" t="n">
        <v>2</v>
      </c>
      <c r="J45" s="12" t="n">
        <v>4</v>
      </c>
      <c r="K45" s="12" t="n">
        <v>3</v>
      </c>
      <c r="L45" s="12" t="n">
        <v>1</v>
      </c>
      <c r="M45" s="10" t="n"/>
      <c r="N45">
        <f>IF(M45="",0,INDEX(I45:L45,1,MATCH(M45,{"A","B","C","D"},0)))</f>
        <v/>
      </c>
    </row>
    <row r="46" ht="40" customHeight="1">
      <c r="A46" s="11" t="inlineStr">
        <is>
          <t>Set 8</t>
        </is>
      </c>
      <c r="B46" s="11" t="inlineStr">
        <is>
          <t>Q5</t>
        </is>
      </c>
      <c r="C46" s="7" t="inlineStr">
        <is>
          <t>Relationship Management</t>
        </is>
      </c>
      <c r="D46" s="7" t="inlineStr">
        <is>
          <t>There is a massive disagreement in your sports team about who should be the opening batsman or team captain. How do you resolve it?</t>
        </is>
      </c>
      <c r="E46" s="7" t="inlineStr">
        <is>
          <t>A) Demand that you be the leader, otherwise you will take your sports kit and go home.</t>
        </is>
      </c>
      <c r="F46" s="7" t="inlineStr">
        <is>
          <t>B) Suggest a fair voting system or an objective trial match, and agree beforehand to support whoever wins the selection.</t>
        </is>
      </c>
      <c r="G46" s="7" t="inlineStr">
        <is>
          <t>C) Form a mini-secret clique within the team to talk bad about the other candidate until they step down.</t>
        </is>
      </c>
      <c r="H46" s="7" t="inlineStr">
        <is>
          <t>D) Step away entirely and let the most aggressive person have the spot just to keep things quiet.</t>
        </is>
      </c>
      <c r="I46" s="12" t="n">
        <v>2</v>
      </c>
      <c r="J46" s="12" t="n">
        <v>4</v>
      </c>
      <c r="K46" s="12" t="n">
        <v>2</v>
      </c>
      <c r="L46" s="12" t="n">
        <v>3</v>
      </c>
      <c r="M46" s="10" t="n"/>
      <c r="N46">
        <f>IF(M46="",0,INDEX(I46:L46,1,MATCH(M46,{"A","B","C","D"},0)))</f>
        <v/>
      </c>
    </row>
    <row r="47" ht="40" customHeight="1">
      <c r="A47" s="11" t="inlineStr">
        <is>
          <t>Set 9</t>
        </is>
      </c>
      <c r="B47" s="11" t="inlineStr">
        <is>
          <t>Q1</t>
        </is>
      </c>
      <c r="C47" s="7" t="inlineStr">
        <is>
          <t>Self-Awareness</t>
        </is>
      </c>
      <c r="D47" s="7" t="inlineStr">
        <is>
          <t>At the start of the new academic year, you are placed in a different section away from all your old friends. You feel empty inside. How do you read this?</t>
        </is>
      </c>
      <c r="E47" s="7" t="inlineStr">
        <is>
          <t>A) Identify that you are experiencing transition anxiety and loneliness, which is natural, and give yourself a few weeks to adjust.</t>
        </is>
      </c>
      <c r="F47" s="7" t="inlineStr">
        <is>
          <t>B) Tell yourself that the school authorities hate you and deliberately separated your group.</t>
        </is>
      </c>
      <c r="G47" s="7" t="inlineStr">
        <is>
          <t>C) Assume you will never make a single friend ever again and feel miserable.</t>
        </is>
      </c>
      <c r="H47" s="7" t="inlineStr">
        <is>
          <t>D) Force yourself to act overly loud and aggressive in the new class to hide your inner fear.</t>
        </is>
      </c>
      <c r="I47" s="12" t="n">
        <v>4</v>
      </c>
      <c r="J47" s="12" t="n">
        <v>2</v>
      </c>
      <c r="K47" s="12" t="n">
        <v>2</v>
      </c>
      <c r="L47" s="12" t="n">
        <v>3</v>
      </c>
      <c r="M47" s="10" t="n"/>
      <c r="N47">
        <f>IF(M47="",0,INDEX(I47:L47,1,MATCH(M47,{"A","B","C","D"},0)))</f>
        <v/>
      </c>
    </row>
    <row r="48" ht="40" customHeight="1">
      <c r="A48" s="11" t="inlineStr">
        <is>
          <t>Set 9</t>
        </is>
      </c>
      <c r="B48" s="11" t="inlineStr">
        <is>
          <t>Q2</t>
        </is>
      </c>
      <c r="C48" s="7" t="inlineStr">
        <is>
          <t>Self-Regulation</t>
        </is>
      </c>
      <c r="D48" s="7" t="inlineStr">
        <is>
          <t>A classmate shares a juicy, embarrassing rumor about another student's family life with you during a break. What is your direct response?</t>
        </is>
      </c>
      <c r="E48" s="7" t="inlineStr">
        <is>
          <t>A) Immediately pass it on to three other friends via a private WhatsApp message because it's interesting.</t>
        </is>
      </c>
      <c r="F48" s="7" t="inlineStr">
        <is>
          <t>B) Listen, but tell them firmly that you don't care about rumors, and choose not to repeat it to anyone.</t>
        </is>
      </c>
      <c r="G48" s="7" t="inlineStr">
        <is>
          <t>C) Ask for more specific details so you can know the full story perfectly.</t>
        </is>
      </c>
      <c r="H48" s="7" t="inlineStr">
        <is>
          <t>D) Nod along silently, but feel intensely uncomfortable and judgmental inside without saying anything.</t>
        </is>
      </c>
      <c r="I48" s="12" t="n">
        <v>2</v>
      </c>
      <c r="J48" s="12" t="n">
        <v>4</v>
      </c>
      <c r="K48" s="12" t="n">
        <v>2</v>
      </c>
      <c r="L48" s="12" t="n">
        <v>3</v>
      </c>
      <c r="M48" s="10" t="n"/>
      <c r="N48">
        <f>IF(M48="",0,INDEX(I48:L48,1,MATCH(M48,{"A","B","C","D"},0)))</f>
        <v/>
      </c>
    </row>
    <row r="49" ht="40" customHeight="1">
      <c r="A49" s="11" t="inlineStr">
        <is>
          <t>Set 9</t>
        </is>
      </c>
      <c r="B49" s="11" t="inlineStr">
        <is>
          <t>Q3</t>
        </is>
      </c>
      <c r="C49" s="7" t="inlineStr">
        <is>
          <t>Motivation / Resilience</t>
        </is>
      </c>
      <c r="D49" s="7" t="inlineStr">
        <is>
          <t>Your favorite English or Science teacher who inspired you suddenly leaves the school mid-session. How do you approach the new teacher?</t>
        </is>
      </c>
      <c r="E49" s="7" t="inlineStr">
        <is>
          <t>A) Refuse to pay attention in the new teacher's class, constantly comparing them poorly to the old one.</t>
        </is>
      </c>
      <c r="F49" s="7" t="inlineStr">
        <is>
          <t>B) Welcome the new teacher politely, stay open-minded, and maintain your excellent study habits regardless of who teaches.</t>
        </is>
      </c>
      <c r="G49" s="7" t="inlineStr">
        <is>
          <t>C) Complain to your parents that your education is completely ruined because of the school changes.</t>
        </is>
      </c>
      <c r="H49" s="7" t="inlineStr">
        <is>
          <t>D) Do only the bare minimum work needed to pass, since the inspiration is gone.</t>
        </is>
      </c>
      <c r="I49" s="12" t="n">
        <v>2</v>
      </c>
      <c r="J49" s="12" t="n">
        <v>4</v>
      </c>
      <c r="K49" s="12" t="n">
        <v>2</v>
      </c>
      <c r="L49" s="12" t="n">
        <v>3</v>
      </c>
      <c r="M49" s="10" t="n"/>
      <c r="N49">
        <f>IF(M49="",0,INDEX(I49:L49,1,MATCH(M49,{"A","B","C","D"},0)))</f>
        <v/>
      </c>
    </row>
    <row r="50" ht="40" customHeight="1">
      <c r="A50" s="11" t="inlineStr">
        <is>
          <t>Set 9</t>
        </is>
      </c>
      <c r="B50" s="11" t="inlineStr">
        <is>
          <t>Q4</t>
        </is>
      </c>
      <c r="C50" s="7" t="inlineStr">
        <is>
          <t>Empathy</t>
        </is>
      </c>
      <c r="D50" s="7" t="inlineStr">
        <is>
          <t>A classmate stands up to answer a teacher's question, gives a completely incorrect answer, and the entire back bench bursts into loud laughs. How do you act?</t>
        </is>
      </c>
      <c r="E50" s="7" t="inlineStr">
        <is>
          <t>A) Join the laugh because the answer sounded genuinely ridiculous.</t>
        </is>
      </c>
      <c r="F50" s="7" t="inlineStr">
        <is>
          <t>B) Do not laugh, look at them with a reassuring smile, and perhaps raise your hand to offer a constructive perspective if needed.</t>
        </is>
      </c>
      <c r="G50" s="7" t="inlineStr">
        <is>
          <t>C) Look out the door and pretend you didn't notice the classmate's embarrassment.</t>
        </is>
      </c>
      <c r="H50" s="7" t="inlineStr">
        <is>
          <t>D) Whisper to your friend that the student should have prepared better before opening their mouth.</t>
        </is>
      </c>
      <c r="I50" s="12" t="n">
        <v>2</v>
      </c>
      <c r="J50" s="12" t="n">
        <v>4</v>
      </c>
      <c r="K50" s="12" t="n">
        <v>3</v>
      </c>
      <c r="L50" s="12" t="n">
        <v>1</v>
      </c>
      <c r="M50" s="10" t="n"/>
      <c r="N50">
        <f>IF(M50="",0,INDEX(I50:L50,1,MATCH(M50,{"A","B","C","D"},0)))</f>
        <v/>
      </c>
    </row>
    <row r="51" ht="40" customHeight="1">
      <c r="A51" s="11" t="inlineStr">
        <is>
          <t>Set 9</t>
        </is>
      </c>
      <c r="B51" s="11" t="inlineStr">
        <is>
          <t>Q5</t>
        </is>
      </c>
      <c r="C51" s="7" t="inlineStr">
        <is>
          <t>Relationship Management</t>
        </is>
      </c>
      <c r="D51" s="7" t="inlineStr">
        <is>
          <t>Your team wants to organize a small farewell surprise for a departing monitor, but half the group wants a card and half wants a cake. It's causing a deadlock. What do you do?</t>
        </is>
      </c>
      <c r="E51" s="7" t="inlineStr">
        <is>
          <t>A) Split the team into two warring factions and tell everyone to do their own separate thing.</t>
        </is>
      </c>
      <c r="F51" s="7" t="inlineStr">
        <is>
          <t>B) Suggest combining them: a small budget handmade card alongside a basic shared cake, keeping everyone's inputs valid.</t>
        </is>
      </c>
      <c r="G51" s="7" t="inlineStr">
        <is>
          <t>C) Scream at the group that they are wasting time over small things and leave the committee.</t>
        </is>
      </c>
      <c r="H51" s="7" t="inlineStr">
        <is>
          <t>D) Sit back and let them argue until the deadline passes and nothing gets done.</t>
        </is>
      </c>
      <c r="I51" s="12" t="n">
        <v>2</v>
      </c>
      <c r="J51" s="12" t="n">
        <v>4</v>
      </c>
      <c r="K51" s="12" t="n">
        <v>2</v>
      </c>
      <c r="L51" s="12" t="n">
        <v>3</v>
      </c>
      <c r="M51" s="10" t="n"/>
      <c r="N51">
        <f>IF(M51="",0,INDEX(I51:L51,1,MATCH(M51,{"A","B","C","D"},0)))</f>
        <v/>
      </c>
    </row>
    <row r="52" ht="40" customHeight="1">
      <c r="A52" s="11" t="inlineStr">
        <is>
          <t>Set 10</t>
        </is>
      </c>
      <c r="B52" s="11" t="inlineStr">
        <is>
          <t>Q1</t>
        </is>
      </c>
      <c r="C52" s="7" t="inlineStr">
        <is>
          <t>Self-Awareness</t>
        </is>
      </c>
      <c r="D52" s="7" t="inlineStr">
        <is>
          <t>You feel completely bored and sleepy during a long history or geography chapter reading. How do you analyze this state?</t>
        </is>
      </c>
      <c r="E52" s="7" t="inlineStr">
        <is>
          <t>A) Conclude that the subject is garbage and you are simply not cut out for reading text heavy books.</t>
        </is>
      </c>
      <c r="F52" s="7" t="inlineStr">
        <is>
          <t>B) Recognize that your brain needs active engagement, so you decide to make quick sketches or highlight key terms to stay sharp.</t>
        </is>
      </c>
      <c r="G52" s="7" t="inlineStr">
        <is>
          <t>C) Blame the teacher's monotonous voice completely for your lack of focus.</t>
        </is>
      </c>
      <c r="H52" s="7" t="inlineStr">
        <is>
          <t>D) Force yourself to stare blankly at the page while your mind travels to other imaginary worlds.</t>
        </is>
      </c>
      <c r="I52" s="12" t="n">
        <v>2</v>
      </c>
      <c r="J52" s="12" t="n">
        <v>4</v>
      </c>
      <c r="K52" s="12" t="n">
        <v>2</v>
      </c>
      <c r="L52" s="12" t="n">
        <v>3</v>
      </c>
      <c r="M52" s="10" t="n"/>
      <c r="N52">
        <f>IF(M52="",0,INDEX(I52:L52,1,MATCH(M52,{"A","B","C","D"},0)))</f>
        <v/>
      </c>
    </row>
    <row r="53" ht="40" customHeight="1">
      <c r="A53" s="11" t="inlineStr">
        <is>
          <t>Set 10</t>
        </is>
      </c>
      <c r="B53" s="11" t="inlineStr">
        <is>
          <t>Q2</t>
        </is>
      </c>
      <c r="C53" s="7" t="inlineStr">
        <is>
          <t>Self-Regulation</t>
        </is>
      </c>
      <c r="D53" s="7" t="inlineStr">
        <is>
          <t>Your crucial final exams are starting next Monday, but your favorite gaming stream or show goes live every evening this week. How do you regulate yourself?</t>
        </is>
      </c>
      <c r="E53" s="7" t="inlineStr">
        <is>
          <t>A) Watch the live stream for hours every evening and tell yourself you will pull an all-nighter right before the exam.</t>
        </is>
      </c>
      <c r="F53" s="7" t="inlineStr">
        <is>
          <t>B) Set a firm limit: record or skip the streams during weekdays, study for 2 hours, and watch a 15-minute summary as a reward.</t>
        </is>
      </c>
      <c r="G53" s="7" t="inlineStr">
        <is>
          <t>C) Delete all gaming apps in a panic, feel intensely miserable and irritated, and find yourself unable to study due to frustration.</t>
        </is>
      </c>
      <c r="H53" s="7" t="inlineStr">
        <is>
          <t>D) Ask your parents to lock up your phone completely because you know you have no self-control.</t>
        </is>
      </c>
      <c r="I53" s="12" t="n">
        <v>2</v>
      </c>
      <c r="J53" s="12" t="n">
        <v>4</v>
      </c>
      <c r="K53" s="12" t="n">
        <v>3</v>
      </c>
      <c r="L53" s="12" t="n">
        <v>3</v>
      </c>
      <c r="M53" s="10" t="n"/>
      <c r="N53">
        <f>IF(M53="",0,INDEX(I53:L53,1,MATCH(M53,{"A","B","C","D"},0)))</f>
        <v/>
      </c>
    </row>
    <row r="54" ht="40" customHeight="1">
      <c r="A54" s="11" t="inlineStr">
        <is>
          <t>Set 10</t>
        </is>
      </c>
      <c r="B54" s="11" t="inlineStr">
        <is>
          <t>Q3</t>
        </is>
      </c>
      <c r="C54" s="7" t="inlineStr">
        <is>
          <t>Motivation / Resilience</t>
        </is>
      </c>
      <c r="D54" s="7" t="inlineStr">
        <is>
          <t>Your sports team loses a inter-house final match in the very last second because a teammate dropped an easy catch or missed a goal. What do you do?</t>
        </is>
      </c>
      <c r="E54" s="7" t="inlineStr">
        <is>
          <t>A) Walk up to that specific teammate and loudly blame them for destroying the whole team's efforts.</t>
        </is>
      </c>
      <c r="F54" s="7" t="inlineStr">
        <is>
          <t>B) Put an arm around their shoulder, say, 'Win or lose, we are a team. We fought well together,' and move on with grace.</t>
        </is>
      </c>
      <c r="G54" s="7" t="inlineStr">
        <is>
          <t>C) Refuse to accept the runner-up medal and skip the closing ceremony photos.</t>
        </is>
      </c>
      <c r="H54" s="7" t="inlineStr">
        <is>
          <t>D) Sit on the grass and sulk for an hour, refusing to talk to anyone in your family.</t>
        </is>
      </c>
      <c r="I54" s="12" t="n">
        <v>2</v>
      </c>
      <c r="J54" s="12" t="n">
        <v>4</v>
      </c>
      <c r="K54" s="12" t="n">
        <v>2</v>
      </c>
      <c r="L54" s="12" t="n">
        <v>3</v>
      </c>
      <c r="M54" s="10" t="n"/>
      <c r="N54">
        <f>IF(M54="",0,INDEX(I54:L54,1,MATCH(M54,{"A","B","C","D"},0)))</f>
        <v/>
      </c>
    </row>
    <row r="55" ht="40" customHeight="1">
      <c r="A55" s="11" t="inlineStr">
        <is>
          <t>Set 10</t>
        </is>
      </c>
      <c r="B55" s="11" t="inlineStr">
        <is>
          <t>Q4</t>
        </is>
      </c>
      <c r="C55" s="7" t="inlineStr">
        <is>
          <t>Empathy</t>
        </is>
      </c>
      <c r="D55" s="7" t="inlineStr">
        <is>
          <t>Your usually funny and talkative desk partner comes to school with dark circles under their eyes and snaps aggressively at anyone who talks to them. What do you infer?</t>
        </is>
      </c>
      <c r="E55" s="7" t="inlineStr">
        <is>
          <t>A) Think that they are becoming arrogant or mean, and decide to give them an angry retort back.</t>
        </is>
      </c>
      <c r="F55" s="7" t="inlineStr">
        <is>
          <t>B) Realize that their sudden anger is likely a shield for deep exhaustion or trouble at home, and give them gentle, quiet space.</t>
        </is>
      </c>
      <c r="G55" s="7" t="inlineStr">
        <is>
          <t>C) Complain to the class monitor that your partner is behaving badly today.</t>
        </is>
      </c>
      <c r="H55" s="7" t="inlineStr">
        <is>
          <t>D) Ignore them completely and chat with friends on the row ahead.</t>
        </is>
      </c>
      <c r="I55" s="12" t="n">
        <v>2</v>
      </c>
      <c r="J55" s="12" t="n">
        <v>4</v>
      </c>
      <c r="K55" s="12" t="n">
        <v>3</v>
      </c>
      <c r="L55" s="12" t="n">
        <v>3</v>
      </c>
      <c r="M55" s="10" t="n"/>
      <c r="N55">
        <f>IF(M55="",0,INDEX(I55:L55,1,MATCH(M55,{"A","B","C","D"},0)))</f>
        <v/>
      </c>
    </row>
    <row r="56" ht="40" customHeight="1">
      <c r="A56" s="11" t="inlineStr">
        <is>
          <t>Set 10</t>
        </is>
      </c>
      <c r="B56" s="11" t="inlineStr">
        <is>
          <t>Q5</t>
        </is>
      </c>
      <c r="C56" s="7" t="inlineStr">
        <is>
          <t>Relationship Management</t>
        </is>
      </c>
      <c r="D56" s="7" t="inlineStr">
        <is>
          <t>Your friends are planning a playground team game and explicitly say, 'Let's not take [Unpopular Student] because they are slow.' How do you step in?</t>
        </is>
      </c>
      <c r="E56" s="7" t="inlineStr">
        <is>
          <t>A) Agree with your friends immediately because winning the game is the most important thing.</t>
        </is>
      </c>
      <c r="F56" s="7" t="inlineStr">
        <is>
          <t>B) Say, 'Let's include everyone; we can rotate players or adapt the roles so it's fair and fun for everyone.'</t>
        </is>
      </c>
      <c r="G56" s="7" t="inlineStr">
        <is>
          <t>C) Say nothing because you don't want your friends to think you are uncool or pushy.</t>
        </is>
      </c>
      <c r="H56" s="7" t="inlineStr">
        <is>
          <t>D) Leave the game yourself in silent protest without explaining your reason to anyone.</t>
        </is>
      </c>
      <c r="I56" s="12" t="n">
        <v>2</v>
      </c>
      <c r="J56" s="12" t="n">
        <v>4</v>
      </c>
      <c r="K56" s="12" t="n">
        <v>3</v>
      </c>
      <c r="L56" s="12" t="n">
        <v>3</v>
      </c>
      <c r="M56" s="10" t="n"/>
      <c r="N56">
        <f>IF(M56="",0,INDEX(I56:L56,1,MATCH(M56,{"A","B","C","D"},0)))</f>
        <v/>
      </c>
    </row>
    <row r="58" ht="20" customHeight="1">
      <c r="A58" s="13" t="inlineStr">
        <is>
          <t>YOUR EI PROFILE FOR THE SELECTED SET</t>
        </is>
      </c>
    </row>
    <row r="59">
      <c r="A59" s="14" t="inlineStr">
        <is>
          <t>EI Domain</t>
        </is>
      </c>
      <c r="B59" s="14" t="inlineStr">
        <is>
          <t>Your Response Quality</t>
        </is>
      </c>
      <c r="C59" s="14" t="inlineStr">
        <is>
          <t>Score</t>
        </is>
      </c>
    </row>
    <row r="60">
      <c r="A60" s="5" t="inlineStr">
        <is>
          <t>Self-Awareness</t>
        </is>
      </c>
      <c r="B60" s="15">
        <f>IF($C$60=0,"Not answered yet",IF($C$60=4,"High",IF($C$60=3,"Moderate",IF($C$60=2,"Low","Negative"))))</f>
        <v/>
      </c>
      <c r="C60" s="15">
        <f>SUMPRODUCT(($A$7:$A$56=$B$4)*($C$7:$C$56="Self-Awareness")*$N$7:$N$56)</f>
        <v/>
      </c>
    </row>
    <row r="61">
      <c r="A61" s="5" t="inlineStr">
        <is>
          <t>Self-Regulation</t>
        </is>
      </c>
      <c r="B61" s="15">
        <f>IF($C$61=0,"Not answered yet",IF($C$61=4,"High",IF($C$61=3,"Moderate",IF($C$61=2,"Low","Negative"))))</f>
        <v/>
      </c>
      <c r="C61" s="15">
        <f>SUMPRODUCT(($A$7:$A$56=$B$4)*($C$7:$C$56="Self-Regulation")*$N$7:$N$56)</f>
        <v/>
      </c>
    </row>
    <row r="62">
      <c r="A62" s="5" t="inlineStr">
        <is>
          <t>Motivation / Resilience</t>
        </is>
      </c>
      <c r="B62" s="15">
        <f>IF($C$62=0,"Not answered yet",IF($C$62=4,"High",IF($C$62=3,"Moderate",IF($C$62=2,"Low","Negative"))))</f>
        <v/>
      </c>
      <c r="C62" s="15">
        <f>SUMPRODUCT(($A$7:$A$56=$B$4)*($C$7:$C$56="Motivation / Resilience")*$N$7:$N$56)</f>
        <v/>
      </c>
    </row>
    <row r="63">
      <c r="A63" s="5" t="inlineStr">
        <is>
          <t>Empathy</t>
        </is>
      </c>
      <c r="B63" s="15">
        <f>IF($C$63=0,"Not answered yet",IF($C$63=4,"High",IF($C$63=3,"Moderate",IF($C$63=2,"Low","Negative"))))</f>
        <v/>
      </c>
      <c r="C63" s="15">
        <f>SUMPRODUCT(($A$7:$A$56=$B$4)*($C$7:$C$56="Empathy")*$N$7:$N$56)</f>
        <v/>
      </c>
    </row>
    <row r="64">
      <c r="A64" s="5" t="inlineStr">
        <is>
          <t>Relationship Management</t>
        </is>
      </c>
      <c r="B64" s="15">
        <f>IF($C$64=0,"Not answered yet",IF($C$64=4,"High",IF($C$64=3,"Moderate",IF($C$64=2,"Low","Negative"))))</f>
        <v/>
      </c>
      <c r="C64" s="15">
        <f>SUMPRODUCT(($A$7:$A$56=$B$4)*($C$7:$C$56="Relationship Management")*$N$7:$N$56)</f>
        <v/>
      </c>
    </row>
    <row r="66" ht="20" customHeight="1">
      <c r="A66" s="16" t="inlineStr">
        <is>
          <t>QUICK SUMMARY</t>
        </is>
      </c>
    </row>
    <row r="67">
      <c r="A67" s="9" t="inlineStr">
        <is>
          <t>Strongest domain (this set):</t>
        </is>
      </c>
      <c r="B67" s="17">
        <f>IFERROR(INDEX($A$60:$A$64,MATCH(MAX($C$60:$C$64),$C$60:$C$64,0)),"Answer all 5 first")</f>
        <v/>
      </c>
    </row>
    <row r="68">
      <c r="A68" s="9" t="inlineStr">
        <is>
          <t>Growth area (this set):</t>
        </is>
      </c>
      <c r="B68" s="18">
        <f>IFERROR(INDEX($A$60:$A$64,MATCH(MIN($C$60:$C$64),$C$60:$C$64,0)),"Answer all 5 first")</f>
        <v/>
      </c>
    </row>
    <row r="70">
      <c r="A70" s="19" t="inlineStr">
        <is>
          <t>Note: this reflects ONE set (5 questions = 1 per domain), so treat it as a first read, not a verdict. Try another set on a different day and see what stays consistent.</t>
        </is>
      </c>
    </row>
  </sheetData>
  <mergeCells count="8">
    <mergeCell ref="B68:C68"/>
    <mergeCell ref="A66:C66"/>
    <mergeCell ref="A1:M1"/>
    <mergeCell ref="B67:C67"/>
    <mergeCell ref="A70:F70"/>
    <mergeCell ref="C4:H4"/>
    <mergeCell ref="A58:E58"/>
    <mergeCell ref="A2:M2"/>
  </mergeCells>
  <dataValidations count="2">
    <dataValidation sqref="B4" showDropDown="0" showInputMessage="0" showErrorMessage="1" allowBlank="0" type="list">
      <formula1>"Set 1,Set 2,Set 3,Set 4,Set 5,Set 6,Set 7,Set 8,Set 9,Set 10"</formula1>
    </dataValidation>
    <dataValidation sqref="M7 M8 M9 M10 M11 M12 M13 M14 M15 M16 M17 M18 M19 M20 M21 M22 M23 M24 M25 M26 M27 M28 M29 M30 M31 M32 M33 M34 M35 M36 M37 M38 M39 M40 M41 M42 M43 M44 M45 M46 M47 M48 M49 M50 M51 M52 M53 M54 M55 M56" showDropDown="0" showInputMessage="0" showErrorMessage="1" allowBlank="1" errorTitle="Invalid entry" error="Please enter A, B, C, or D."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6" customWidth="1" min="3" max="3"/>
    <col width="34" customWidth="1" min="4" max="4"/>
    <col width="30" customWidth="1" min="5" max="5"/>
    <col width="30" customWidth="1" min="6" max="6"/>
    <col width="30" customWidth="1" min="7" max="7"/>
    <col width="30" customWidth="1" min="8" max="8"/>
    <col hidden="1" width="13" customWidth="1" min="9" max="9"/>
    <col hidden="1" width="13" customWidth="1" min="10" max="10"/>
    <col hidden="1" width="13" customWidth="1" min="11" max="11"/>
    <col hidden="1" width="13" customWidth="1" min="12" max="12"/>
    <col width="15" customWidth="1" min="13" max="13"/>
    <col hidden="1" width="13" customWidth="1" min="14" max="14"/>
  </cols>
  <sheetData>
    <row r="1" ht="26" customHeight="1">
      <c r="A1" s="1" t="inlineStr">
        <is>
          <t>Class 9-10 (Ages 14-15) — Emotional Intelligence Assessment (10 Sets x 5 Questions)</t>
        </is>
      </c>
    </row>
    <row r="2">
      <c r="A2" s="8" t="inlineStr">
        <is>
          <t>Framework basis: CASEL / Goleman EI Framework (Teen-Adapted)</t>
        </is>
      </c>
    </row>
    <row r="4">
      <c r="A4" s="9" t="inlineStr">
        <is>
          <t>Which set are you taking?</t>
        </is>
      </c>
      <c r="B4" s="10" t="inlineStr">
        <is>
          <t>Set 1</t>
        </is>
      </c>
      <c r="C4" s="8" t="inlineStr">
        <is>
          <t>(pick one set, then answer only that set's 5 rows below with A/B/C/D)</t>
        </is>
      </c>
    </row>
    <row r="6">
      <c r="A6" s="4" t="inlineStr">
        <is>
          <t>Set</t>
        </is>
      </c>
      <c r="B6" s="4" t="inlineStr">
        <is>
          <t>Q#</t>
        </is>
      </c>
      <c r="C6" s="4" t="inlineStr">
        <is>
          <t>Domain</t>
        </is>
      </c>
      <c r="D6" s="4" t="inlineStr">
        <is>
          <t>Scenario</t>
        </is>
      </c>
      <c r="E6" s="4" t="inlineStr">
        <is>
          <t>Option A</t>
        </is>
      </c>
      <c r="F6" s="4" t="inlineStr">
        <is>
          <t>Option B</t>
        </is>
      </c>
      <c r="G6" s="4" t="inlineStr">
        <is>
          <t>Option C</t>
        </is>
      </c>
      <c r="H6" s="4" t="inlineStr">
        <is>
          <t>Option D</t>
        </is>
      </c>
      <c r="I6" s="4" t="inlineStr">
        <is>
          <t>qA</t>
        </is>
      </c>
      <c r="J6" s="4" t="inlineStr">
        <is>
          <t>qB</t>
        </is>
      </c>
      <c r="K6" s="4" t="inlineStr">
        <is>
          <t>qC</t>
        </is>
      </c>
      <c r="L6" s="4" t="inlineStr">
        <is>
          <t>qD</t>
        </is>
      </c>
      <c r="M6" s="4" t="inlineStr">
        <is>
          <t>Your Answer (A-D)</t>
        </is>
      </c>
      <c r="N6" t="inlineStr">
        <is>
          <t>score</t>
        </is>
      </c>
    </row>
    <row r="7" ht="40" customHeight="1">
      <c r="A7" s="11" t="inlineStr">
        <is>
          <t>Set 1</t>
        </is>
      </c>
      <c r="B7" s="11" t="inlineStr">
        <is>
          <t>Q1</t>
        </is>
      </c>
      <c r="C7" s="7" t="inlineStr">
        <is>
          <t>Self-Awareness</t>
        </is>
      </c>
      <c r="D7" s="7" t="inlineStr">
        <is>
          <t>Right before your board-pattern unit test starts, you notice your leg bouncing and your mind going blank. What's your read on this?</t>
        </is>
      </c>
      <c r="E7" s="7" t="inlineStr">
        <is>
          <t>A) I notice it's just pre-test nerves, take a slow breath, and remind myself I've prepared for this.</t>
        </is>
      </c>
      <c r="F7" s="7" t="inlineStr">
        <is>
          <t>B) I ignore it and hope it goes away once the paper is handed out.</t>
        </is>
      </c>
      <c r="G7" s="7" t="inlineStr">
        <is>
          <t>C) I panic and assume I'm about to fail because I clearly can't handle pressure.</t>
        </is>
      </c>
      <c r="H7" s="7" t="inlineStr">
        <is>
          <t>D) I tell myself tests don't matter anyway so there's no point being nervous.</t>
        </is>
      </c>
      <c r="I7" s="12" t="n">
        <v>4</v>
      </c>
      <c r="J7" s="12" t="n">
        <v>2</v>
      </c>
      <c r="K7" s="12" t="n">
        <v>2</v>
      </c>
      <c r="L7" s="12" t="n">
        <v>3</v>
      </c>
      <c r="M7" s="10" t="n"/>
      <c r="N7">
        <f>IF(M7="",0,INDEX(I7:L7,1,MATCH(M7,{"A","B","C","D"},0)))</f>
        <v/>
      </c>
    </row>
    <row r="8" ht="40" customHeight="1">
      <c r="A8" s="11" t="inlineStr">
        <is>
          <t>Set 1</t>
        </is>
      </c>
      <c r="B8" s="11" t="inlineStr">
        <is>
          <t>Q2</t>
        </is>
      </c>
      <c r="C8" s="7" t="inlineStr">
        <is>
          <t>Self-Regulation</t>
        </is>
      </c>
      <c r="D8" s="7" t="inlineStr">
        <is>
          <t>A group chat starts roasting a mutual friend, and people are tagging you to add your own joke. What do you do?</t>
        </is>
      </c>
      <c r="E8" s="7" t="inlineStr">
        <is>
          <t>A) Add a savage joke because everyone else is doing it and it's just banter.</t>
        </is>
      </c>
      <c r="F8" s="7" t="inlineStr">
        <is>
          <t>B) Pause, decide it doesn't sit right with you, and post that you're not into piling on.</t>
        </is>
      </c>
      <c r="G8" s="7" t="inlineStr">
        <is>
          <t>C) Leave the chat immediately without saying anything to anyone.</t>
        </is>
      </c>
      <c r="H8" s="7" t="inlineStr">
        <is>
          <t>D) Say nothing in the chat but privately message the friend being roasted to check they're okay.</t>
        </is>
      </c>
      <c r="I8" s="12" t="n">
        <v>2</v>
      </c>
      <c r="J8" s="12" t="n">
        <v>4</v>
      </c>
      <c r="K8" s="12" t="n">
        <v>2</v>
      </c>
      <c r="L8" s="12" t="n">
        <v>3</v>
      </c>
      <c r="M8" s="10" t="n"/>
      <c r="N8">
        <f>IF(M8="",0,INDEX(I8:L8,1,MATCH(M8,{"A","B","C","D"},0)))</f>
        <v/>
      </c>
    </row>
    <row r="9" ht="40" customHeight="1">
      <c r="A9" s="11" t="inlineStr">
        <is>
          <t>Set 1</t>
        </is>
      </c>
      <c r="B9" s="11" t="inlineStr">
        <is>
          <t>Q3</t>
        </is>
      </c>
      <c r="C9" s="7" t="inlineStr">
        <is>
          <t>Motivation / Resilience</t>
        </is>
      </c>
      <c r="D9" s="7" t="inlineStr">
        <is>
          <t>You've been consistently scoring average in a subject you actually enjoy, despite putting in real effort. What's your approach?</t>
        </is>
      </c>
      <c r="E9" s="7" t="inlineStr">
        <is>
          <t>A) Blame the exam pattern for not testing what you actually know.</t>
        </is>
      </c>
      <c r="F9" s="7" t="inlineStr">
        <is>
          <t>B) Keep doing exactly the same thing and hope it eventually clicks.</t>
        </is>
      </c>
      <c r="G9" s="7" t="inlineStr">
        <is>
          <t>C) Analyse your last three tests for patterns in mistakes and adjust how you're studying.</t>
        </is>
      </c>
      <c r="H9" s="7" t="inlineStr">
        <is>
          <t>D) Decide you're just not a 'topper type' and lower your expectations permanently.</t>
        </is>
      </c>
      <c r="I9" s="12" t="n">
        <v>2</v>
      </c>
      <c r="J9" s="12" t="n">
        <v>3</v>
      </c>
      <c r="K9" s="12" t="n">
        <v>4</v>
      </c>
      <c r="L9" s="12" t="n">
        <v>2</v>
      </c>
      <c r="M9" s="10" t="n"/>
      <c r="N9">
        <f>IF(M9="",0,INDEX(I9:L9,1,MATCH(M9,{"A","B","C","D"},0)))</f>
        <v/>
      </c>
    </row>
    <row r="10" ht="40" customHeight="1">
      <c r="A10" s="11" t="inlineStr">
        <is>
          <t>Set 1</t>
        </is>
      </c>
      <c r="B10" s="11" t="inlineStr">
        <is>
          <t>Q4</t>
        </is>
      </c>
      <c r="C10" s="7" t="inlineStr">
        <is>
          <t>Empathy</t>
        </is>
      </c>
      <c r="D10" s="7" t="inlineStr">
        <is>
          <t>A friend cancels plans with you last-minute for the third time this month, giving a vague excuse. What's your first thought?</t>
        </is>
      </c>
      <c r="E10" s="7" t="inlineStr">
        <is>
          <t>A) They're clearly avoiding me on purpose and don't value our friendship at all.</t>
        </is>
      </c>
      <c r="F10" s="7" t="inlineStr">
        <is>
          <t>B) I'll cancel on them next time too so they know how it feels.</t>
        </is>
      </c>
      <c r="G10" s="7" t="inlineStr">
        <is>
          <t>C) Whatever, I'll just stop making plans with them from now on.</t>
        </is>
      </c>
      <c r="H10" s="7" t="inlineStr">
        <is>
          <t>D) There might be something going on with them I don't know about - I'll check in without being accusatory.</t>
        </is>
      </c>
      <c r="I10" s="12" t="n">
        <v>2</v>
      </c>
      <c r="J10" s="12" t="n">
        <v>1</v>
      </c>
      <c r="K10" s="12" t="n">
        <v>3</v>
      </c>
      <c r="L10" s="12" t="n">
        <v>4</v>
      </c>
      <c r="M10" s="10" t="n"/>
      <c r="N10">
        <f>IF(M10="",0,INDEX(I10:L10,1,MATCH(M10,{"A","B","C","D"},0)))</f>
        <v/>
      </c>
    </row>
    <row r="11" ht="40" customHeight="1">
      <c r="A11" s="11" t="inlineStr">
        <is>
          <t>Set 1</t>
        </is>
      </c>
      <c r="B11" s="11" t="inlineStr">
        <is>
          <t>Q5</t>
        </is>
      </c>
      <c r="C11" s="7" t="inlineStr">
        <is>
          <t>Relationship Management</t>
        </is>
      </c>
      <c r="D11" s="7" t="inlineStr">
        <is>
          <t>You're made class representative and need to raise a genuine complaint about excessive homework to a strict teacher. How do you approach it?</t>
        </is>
      </c>
      <c r="E11" s="7" t="inlineStr">
        <is>
          <t>A) Request a short one-on-one conversation, come with specific examples, and suggest a reasonable alternative.</t>
        </is>
      </c>
      <c r="F11" s="7" t="inlineStr">
        <is>
          <t>B) Complain loudly in class hoping other students back you up on the spot.</t>
        </is>
      </c>
      <c r="G11" s="7" t="inlineStr">
        <is>
          <t>C) Get the whole class to sign a dramatic petition without informing the teacher first.</t>
        </is>
      </c>
      <c r="H11" s="7" t="inlineStr">
        <is>
          <t>D) Say nothing and let students keep complaining to you instead of addressing it.</t>
        </is>
      </c>
      <c r="I11" s="12" t="n">
        <v>4</v>
      </c>
      <c r="J11" s="12" t="n">
        <v>2</v>
      </c>
      <c r="K11" s="12" t="n">
        <v>3</v>
      </c>
      <c r="L11" s="12" t="n">
        <v>3</v>
      </c>
      <c r="M11" s="10" t="n"/>
      <c r="N11">
        <f>IF(M11="",0,INDEX(I11:L11,1,MATCH(M11,{"A","B","C","D"},0)))</f>
        <v/>
      </c>
    </row>
    <row r="12" ht="40" customHeight="1">
      <c r="A12" s="11" t="inlineStr">
        <is>
          <t>Set 2</t>
        </is>
      </c>
      <c r="B12" s="11" t="inlineStr">
        <is>
          <t>Q1</t>
        </is>
      </c>
      <c r="C12" s="7" t="inlineStr">
        <is>
          <t>Self-Awareness</t>
        </is>
      </c>
      <c r="D12" s="7" t="inlineStr">
        <is>
          <t>You realise you've re-read the same paragraph five times without absorbing anything. What's going on?</t>
        </is>
      </c>
      <c r="E12" s="7" t="inlineStr">
        <is>
          <t>A) I decide I have a bad memory and can never focus on textbooks.</t>
        </is>
      </c>
      <c r="F12" s="7" t="inlineStr">
        <is>
          <t>B) I recognise I'm mentally fatigued or distracted, and take a short break before trying again.</t>
        </is>
      </c>
      <c r="G12" s="7" t="inlineStr">
        <is>
          <t>C) I keep pushing through without noticing why it's not working.</t>
        </is>
      </c>
      <c r="H12" s="7" t="inlineStr">
        <is>
          <t>D) I blame the book for being boring and switch to my phone instead.</t>
        </is>
      </c>
      <c r="I12" s="12" t="n">
        <v>2</v>
      </c>
      <c r="J12" s="12" t="n">
        <v>4</v>
      </c>
      <c r="K12" s="12" t="n">
        <v>3</v>
      </c>
      <c r="L12" s="12" t="n">
        <v>2</v>
      </c>
      <c r="M12" s="10" t="n"/>
      <c r="N12">
        <f>IF(M12="",0,INDEX(I12:L12,1,MATCH(M12,{"A","B","C","D"},0)))</f>
        <v/>
      </c>
    </row>
    <row r="13" ht="40" customHeight="1">
      <c r="A13" s="11" t="inlineStr">
        <is>
          <t>Set 2</t>
        </is>
      </c>
      <c r="B13" s="11" t="inlineStr">
        <is>
          <t>Q2</t>
        </is>
      </c>
      <c r="C13" s="7" t="inlineStr">
        <is>
          <t>Self-Regulation</t>
        </is>
      </c>
      <c r="D13" s="7" t="inlineStr">
        <is>
          <t>Your parent checks your phone without asking and brings up an old chat out of context, accusing you unfairly. How do you respond?</t>
        </is>
      </c>
      <c r="E13" s="7" t="inlineStr">
        <is>
          <t>A) Shout that they have no right to invade your privacy and slam your door.</t>
        </is>
      </c>
      <c r="F13" s="7" t="inlineStr">
        <is>
          <t>B) Stay quiet with visible resentment and avoid talking to them for days.</t>
        </is>
      </c>
      <c r="G13" s="7" t="inlineStr">
        <is>
          <t>C) Calmly explain the context, then separately raise how the privacy issue made you feel.</t>
        </is>
      </c>
      <c r="H13" s="7" t="inlineStr">
        <is>
          <t>D) Delete all your chats immediately out of panic and anger.</t>
        </is>
      </c>
      <c r="I13" s="12" t="n">
        <v>2</v>
      </c>
      <c r="J13" s="12" t="n">
        <v>3</v>
      </c>
      <c r="K13" s="12" t="n">
        <v>4</v>
      </c>
      <c r="L13" s="12" t="n">
        <v>2</v>
      </c>
      <c r="M13" s="10" t="n"/>
      <c r="N13">
        <f>IF(M13="",0,INDEX(I13:L13,1,MATCH(M13,{"A","B","C","D"},0)))</f>
        <v/>
      </c>
    </row>
    <row r="14" ht="40" customHeight="1">
      <c r="A14" s="11" t="inlineStr">
        <is>
          <t>Set 2</t>
        </is>
      </c>
      <c r="B14" s="11" t="inlineStr">
        <is>
          <t>Q3</t>
        </is>
      </c>
      <c r="C14" s="7" t="inlineStr">
        <is>
          <t>Motivation / Resilience</t>
        </is>
      </c>
      <c r="D14" s="7" t="inlineStr">
        <is>
          <t>You didn't make the cut for a school committee you really wanted to join. What's your next move?</t>
        </is>
      </c>
      <c r="E14" s="7" t="inlineStr">
        <is>
          <t>A) Tell everyone you didn't actually want it that badly anyway.</t>
        </is>
      </c>
      <c r="F14" s="7" t="inlineStr">
        <is>
          <t>B) Decide the selection was rigged and stop trying for any school activities.</t>
        </is>
      </c>
      <c r="G14" s="7" t="inlineStr">
        <is>
          <t>C) Feel like this confirms you're not good enough for leadership roles in general.</t>
        </is>
      </c>
      <c r="H14" s="7" t="inlineStr">
        <is>
          <t>D) Ask a committee member what stood out in successful applications, and apply again next cycle.</t>
        </is>
      </c>
      <c r="I14" s="12" t="n">
        <v>3</v>
      </c>
      <c r="J14" s="12" t="n">
        <v>2</v>
      </c>
      <c r="K14" s="12" t="n">
        <v>2</v>
      </c>
      <c r="L14" s="12" t="n">
        <v>4</v>
      </c>
      <c r="M14" s="10" t="n"/>
      <c r="N14">
        <f>IF(M14="",0,INDEX(I14:L14,1,MATCH(M14,{"A","B","C","D"},0)))</f>
        <v/>
      </c>
    </row>
    <row r="15" ht="40" customHeight="1">
      <c r="A15" s="11" t="inlineStr">
        <is>
          <t>Set 2</t>
        </is>
      </c>
      <c r="B15" s="11" t="inlineStr">
        <is>
          <t>Q4</t>
        </is>
      </c>
      <c r="C15" s="7" t="inlineStr">
        <is>
          <t>Empathy</t>
        </is>
      </c>
      <c r="D15" s="7" t="inlineStr">
        <is>
          <t>A classmate who usually does well bombs a test and is trying hard not to cry in front of everyone. What do you do?</t>
        </is>
      </c>
      <c r="E15" s="7" t="inlineStr">
        <is>
          <t>A) Quietly slide a tissue over or ask if they want to step out and talk, without making a scene.</t>
        </is>
      </c>
      <c r="F15" s="7" t="inlineStr">
        <is>
          <t>B) Give them space by not acknowledging it at all for the rest of the day.</t>
        </is>
      </c>
      <c r="G15" s="7" t="inlineStr">
        <is>
          <t>C) Tell them it's not a big deal since it's just one test.</t>
        </is>
      </c>
      <c r="H15" s="7" t="inlineStr">
        <is>
          <t>D) Ask them loudly in front of others what happened, out of curiosity.</t>
        </is>
      </c>
      <c r="I15" s="12" t="n">
        <v>4</v>
      </c>
      <c r="J15" s="12" t="n">
        <v>3</v>
      </c>
      <c r="K15" s="12" t="n">
        <v>3</v>
      </c>
      <c r="L15" s="12" t="n">
        <v>2</v>
      </c>
      <c r="M15" s="10" t="n"/>
      <c r="N15">
        <f>IF(M15="",0,INDEX(I15:L15,1,MATCH(M15,{"A","B","C","D"},0)))</f>
        <v/>
      </c>
    </row>
    <row r="16" ht="40" customHeight="1">
      <c r="A16" s="11" t="inlineStr">
        <is>
          <t>Set 2</t>
        </is>
      </c>
      <c r="B16" s="11" t="inlineStr">
        <is>
          <t>Q5</t>
        </is>
      </c>
      <c r="C16" s="7" t="inlineStr">
        <is>
          <t>Relationship Management</t>
        </is>
      </c>
      <c r="D16" s="7" t="inlineStr">
        <is>
          <t>You and your project partner disagree strongly on the direction of a presentation, and the deadline is close. How do you handle it?</t>
        </is>
      </c>
      <c r="E16" s="7" t="inlineStr">
        <is>
          <t>A) Just do it your way since you're more confident you're right.</t>
        </is>
      </c>
      <c r="F16" s="7" t="inlineStr">
        <is>
          <t>B) Suggest presenting both ideas quickly to the group and voting, so it's not just the two of you deciding.</t>
        </is>
      </c>
      <c r="G16" s="7" t="inlineStr">
        <is>
          <t>C) Give in completely to avoid conflict, even though you disagree.</t>
        </is>
      </c>
      <c r="H16" s="7" t="inlineStr">
        <is>
          <t>D) Stop responding to their messages until they redo it your way.</t>
        </is>
      </c>
      <c r="I16" s="12" t="n">
        <v>2</v>
      </c>
      <c r="J16" s="12" t="n">
        <v>4</v>
      </c>
      <c r="K16" s="12" t="n">
        <v>3</v>
      </c>
      <c r="L16" s="12" t="n">
        <v>2</v>
      </c>
      <c r="M16" s="10" t="n"/>
      <c r="N16">
        <f>IF(M16="",0,INDEX(I16:L16,1,MATCH(M16,{"A","B","C","D"},0)))</f>
        <v/>
      </c>
    </row>
    <row r="17" ht="40" customHeight="1">
      <c r="A17" s="11" t="inlineStr">
        <is>
          <t>Set 3</t>
        </is>
      </c>
      <c r="B17" s="11" t="inlineStr">
        <is>
          <t>Q1</t>
        </is>
      </c>
      <c r="C17" s="7" t="inlineStr">
        <is>
          <t>Self-Awareness</t>
        </is>
      </c>
      <c r="D17" s="7" t="inlineStr">
        <is>
          <t>You notice you've been unusually short-tempered with your friends all week. What's your first step?</t>
        </is>
      </c>
      <c r="E17" s="7" t="inlineStr">
        <is>
          <t>A) Ignore the pattern since it's not that big a deal.</t>
        </is>
      </c>
      <c r="F17" s="7" t="inlineStr">
        <is>
          <t>B) Decide your friends have just been more annoying than usual lately.</t>
        </is>
      </c>
      <c r="G17" s="7" t="inlineStr">
        <is>
          <t>C) Think about what else has been stressing you (exams, sleep, family) that might be spilling over.</t>
        </is>
      </c>
      <c r="H17" s="7" t="inlineStr">
        <is>
          <t>D) Feel guilty and assume you're just a bad friend by nature.</t>
        </is>
      </c>
      <c r="I17" s="12" t="n">
        <v>2</v>
      </c>
      <c r="J17" s="12" t="n">
        <v>2</v>
      </c>
      <c r="K17" s="12" t="n">
        <v>4</v>
      </c>
      <c r="L17" s="12" t="n">
        <v>3</v>
      </c>
      <c r="M17" s="10" t="n"/>
      <c r="N17">
        <f>IF(M17="",0,INDEX(I17:L17,1,MATCH(M17,{"A","B","C","D"},0)))</f>
        <v/>
      </c>
    </row>
    <row r="18" ht="40" customHeight="1">
      <c r="A18" s="11" t="inlineStr">
        <is>
          <t>Set 3</t>
        </is>
      </c>
      <c r="B18" s="11" t="inlineStr">
        <is>
          <t>Q2</t>
        </is>
      </c>
      <c r="C18" s="7" t="inlineStr">
        <is>
          <t>Self-Regulation</t>
        </is>
      </c>
      <c r="D18" s="7" t="inlineStr">
        <is>
          <t>You're mid-argument with a sibling over shared space/time on the family computer, and it's escalating fast. What do you do?</t>
        </is>
      </c>
      <c r="E18" s="7" t="inlineStr">
        <is>
          <t>A) Storm off and give them the silent treatment for the rest of the day.</t>
        </is>
      </c>
      <c r="F18" s="7" t="inlineStr">
        <is>
          <t>B) Grab the computer away from them physically to end the argument.</t>
        </is>
      </c>
      <c r="G18" s="7" t="inlineStr">
        <is>
          <t>C) Raise your voice louder to make sure you're heard over them.</t>
        </is>
      </c>
      <c r="H18" s="7" t="inlineStr">
        <is>
          <t>D) Suggest a 10-minute cool-off before continuing the conversation calmly.</t>
        </is>
      </c>
      <c r="I18" s="12" t="n">
        <v>3</v>
      </c>
      <c r="J18" s="12" t="n">
        <v>2</v>
      </c>
      <c r="K18" s="12" t="n">
        <v>2</v>
      </c>
      <c r="L18" s="12" t="n">
        <v>4</v>
      </c>
      <c r="M18" s="10" t="n"/>
      <c r="N18">
        <f>IF(M18="",0,INDEX(I18:L18,1,MATCH(M18,{"A","B","C","D"},0)))</f>
        <v/>
      </c>
    </row>
    <row r="19" ht="40" customHeight="1">
      <c r="A19" s="11" t="inlineStr">
        <is>
          <t>Set 3</t>
        </is>
      </c>
      <c r="B19" s="11" t="inlineStr">
        <is>
          <t>Q3</t>
        </is>
      </c>
      <c r="C19" s="7" t="inlineStr">
        <is>
          <t>Motivation / Resilience</t>
        </is>
      </c>
      <c r="D19" s="7" t="inlineStr">
        <is>
          <t>You start learning guitar/coding on your own but progress feels painfully slow after a month. What's your approach?</t>
        </is>
      </c>
      <c r="E19" s="7" t="inlineStr">
        <is>
          <t>A) Look up how long it realistically takes to see progress, and adjust your expectations and practice routine.</t>
        </is>
      </c>
      <c r="F19" s="7" t="inlineStr">
        <is>
          <t>B) Keep going but complain constantly about how it's not working.</t>
        </is>
      </c>
      <c r="G19" s="7" t="inlineStr">
        <is>
          <t>C) Decide you're not naturally talented and quit before it gets embarrassing.</t>
        </is>
      </c>
      <c r="H19" s="7" t="inlineStr">
        <is>
          <t>D) Blame the tutorials online for being unclear or badly made.</t>
        </is>
      </c>
      <c r="I19" s="12" t="n">
        <v>4</v>
      </c>
      <c r="J19" s="12" t="n">
        <v>3</v>
      </c>
      <c r="K19" s="12" t="n">
        <v>2</v>
      </c>
      <c r="L19" s="12" t="n">
        <v>2</v>
      </c>
      <c r="M19" s="10" t="n"/>
      <c r="N19">
        <f>IF(M19="",0,INDEX(I19:L19,1,MATCH(M19,{"A","B","C","D"},0)))</f>
        <v/>
      </c>
    </row>
    <row r="20" ht="40" customHeight="1">
      <c r="A20" s="11" t="inlineStr">
        <is>
          <t>Set 3</t>
        </is>
      </c>
      <c r="B20" s="11" t="inlineStr">
        <is>
          <t>Q4</t>
        </is>
      </c>
      <c r="C20" s="7" t="inlineStr">
        <is>
          <t>Empathy</t>
        </is>
      </c>
      <c r="D20" s="7" t="inlineStr">
        <is>
          <t>A friend keeps making self-deprecating jokes about their appearance in front of the group. What's your read?</t>
        </is>
      </c>
      <c r="E20" s="7" t="inlineStr">
        <is>
          <t>A) Tell them to stop being so negative in front of everyone.</t>
        </is>
      </c>
      <c r="F20" s="7" t="inlineStr">
        <is>
          <t>B) Notice it might reflect something they're actually insecure about, and check in with them privately later.</t>
        </is>
      </c>
      <c r="G20" s="7" t="inlineStr">
        <is>
          <t>C) Laugh along since it's clearly meant as a joke.</t>
        </is>
      </c>
      <c r="H20" s="7" t="inlineStr">
        <is>
          <t>D) Change the subject quickly because it feels awkward to address.</t>
        </is>
      </c>
      <c r="I20" s="12" t="n">
        <v>3</v>
      </c>
      <c r="J20" s="12" t="n">
        <v>4</v>
      </c>
      <c r="K20" s="12" t="n">
        <v>2</v>
      </c>
      <c r="L20" s="12" t="n">
        <v>3</v>
      </c>
      <c r="M20" s="10" t="n"/>
      <c r="N20">
        <f>IF(M20="",0,INDEX(I20:L20,1,MATCH(M20,{"A","B","C","D"},0)))</f>
        <v/>
      </c>
    </row>
    <row r="21" ht="40" customHeight="1">
      <c r="A21" s="11" t="inlineStr">
        <is>
          <t>Set 3</t>
        </is>
      </c>
      <c r="B21" s="11" t="inlineStr">
        <is>
          <t>Q5</t>
        </is>
      </c>
      <c r="C21" s="7" t="inlineStr">
        <is>
          <t>Relationship Management</t>
        </is>
      </c>
      <c r="D21" s="7" t="inlineStr">
        <is>
          <t>Your friend group is choosing a movie, and you're the only one who wants to watch something different. What do you do?</t>
        </is>
      </c>
      <c r="E21" s="7" t="inlineStr">
        <is>
          <t>A) Skip the outing altogether since your choice didn't win.</t>
        </is>
      </c>
      <c r="F21" s="7" t="inlineStr">
        <is>
          <t>B) Insist on your choice since you rarely get to pick.</t>
        </is>
      </c>
      <c r="G21" s="7" t="inlineStr">
        <is>
          <t>C) Go along with the group's choice this time, and suggest yours for next time.</t>
        </is>
      </c>
      <c r="H21" s="7" t="inlineStr">
        <is>
          <t>D) Agree out loud but complain about the movie the whole time.</t>
        </is>
      </c>
      <c r="I21" s="12" t="n">
        <v>3</v>
      </c>
      <c r="J21" s="12" t="n">
        <v>2</v>
      </c>
      <c r="K21" s="12" t="n">
        <v>4</v>
      </c>
      <c r="L21" s="12" t="n">
        <v>3</v>
      </c>
      <c r="M21" s="10" t="n"/>
      <c r="N21">
        <f>IF(M21="",0,INDEX(I21:L21,1,MATCH(M21,{"A","B","C","D"},0)))</f>
        <v/>
      </c>
    </row>
    <row r="22" ht="40" customHeight="1">
      <c r="A22" s="11" t="inlineStr">
        <is>
          <t>Set 4</t>
        </is>
      </c>
      <c r="B22" s="11" t="inlineStr">
        <is>
          <t>Q1</t>
        </is>
      </c>
      <c r="C22" s="7" t="inlineStr">
        <is>
          <t>Self-Awareness</t>
        </is>
      </c>
      <c r="D22" s="7" t="inlineStr">
        <is>
          <t>You get a notification that your ex-best-friend (who you had a falling out with) just posted something exciting. You feel a weird mix of emotions. What's your read?</t>
        </is>
      </c>
      <c r="E22" s="7" t="inlineStr">
        <is>
          <t>A) Feel a surge of anger that they're doing well without you.</t>
        </is>
      </c>
      <c r="F22" s="7" t="inlineStr">
        <is>
          <t>B) Assume you don't care at all and scroll past immediately.</t>
        </is>
      </c>
      <c r="G22" s="7" t="inlineStr">
        <is>
          <t>C) Convince yourself the friendship was worthless anyway.</t>
        </is>
      </c>
      <c r="H22" s="7" t="inlineStr">
        <is>
          <t>D) Notice you're feeling a mix of nostalgia and hurt, and sit with that instead of reacting instantly.</t>
        </is>
      </c>
      <c r="I22" s="12" t="n">
        <v>2</v>
      </c>
      <c r="J22" s="12" t="n">
        <v>3</v>
      </c>
      <c r="K22" s="12" t="n">
        <v>2</v>
      </c>
      <c r="L22" s="12" t="n">
        <v>4</v>
      </c>
      <c r="M22" s="10" t="n"/>
      <c r="N22">
        <f>IF(M22="",0,INDEX(I22:L22,1,MATCH(M22,{"A","B","C","D"},0)))</f>
        <v/>
      </c>
    </row>
    <row r="23" ht="40" customHeight="1">
      <c r="A23" s="11" t="inlineStr">
        <is>
          <t>Set 4</t>
        </is>
      </c>
      <c r="B23" s="11" t="inlineStr">
        <is>
          <t>Q2</t>
        </is>
      </c>
      <c r="C23" s="7" t="inlineStr">
        <is>
          <t>Self-Regulation</t>
        </is>
      </c>
      <c r="D23" s="7" t="inlineStr">
        <is>
          <t>Your internet cuts out during an online class right when you're about to be asked a question you don't know the answer to. What's your reaction?</t>
        </is>
      </c>
      <c r="E23" s="7" t="inlineStr">
        <is>
          <t>A) Message the teacher explaining the issue as soon as you reconnect, and prepare the answer for next time.</t>
        </is>
      </c>
      <c r="F23" s="7" t="inlineStr">
        <is>
          <t>B) Panic and message five people at once asking what to do.</t>
        </is>
      </c>
      <c r="G23" s="7" t="inlineStr">
        <is>
          <t>C) Blame the internet provider loudly to anyone who'll listen.</t>
        </is>
      </c>
      <c r="H23" s="7" t="inlineStr">
        <is>
          <t>D) Feel relieved and secretly hope it stays down until class ends.</t>
        </is>
      </c>
      <c r="I23" s="12" t="n">
        <v>4</v>
      </c>
      <c r="J23" s="12" t="n">
        <v>3</v>
      </c>
      <c r="K23" s="12" t="n">
        <v>3</v>
      </c>
      <c r="L23" s="12" t="n">
        <v>2</v>
      </c>
      <c r="M23" s="10" t="n"/>
      <c r="N23">
        <f>IF(M23="",0,INDEX(I23:L23,1,MATCH(M23,{"A","B","C","D"},0)))</f>
        <v/>
      </c>
    </row>
    <row r="24" ht="40" customHeight="1">
      <c r="A24" s="11" t="inlineStr">
        <is>
          <t>Set 4</t>
        </is>
      </c>
      <c r="B24" s="11" t="inlineStr">
        <is>
          <t>Q3</t>
        </is>
      </c>
      <c r="C24" s="7" t="inlineStr">
        <is>
          <t>Motivation / Resilience</t>
        </is>
      </c>
      <c r="D24" s="7" t="inlineStr">
        <is>
          <t>You put together a fest/event proposal that gets rejected by the student council with minimal feedback. What's your next move?</t>
        </is>
      </c>
      <c r="E24" s="7" t="inlineStr">
        <is>
          <t>A) Submit the exact same proposal again without changes, hoping they'll reconsider.</t>
        </is>
      </c>
      <c r="F24" s="7" t="inlineStr">
        <is>
          <t>B) Ask a council member for specific feedback, and rework the proposal for the next opportunity.</t>
        </is>
      </c>
      <c r="G24" s="7" t="inlineStr">
        <is>
          <t>C) Decide student council members just don't like your ideas and stop proposing anything.</t>
        </is>
      </c>
      <c r="H24" s="7" t="inlineStr">
        <is>
          <t>D) Complain about the unfairness to your friends but don't follow up.</t>
        </is>
      </c>
      <c r="I24" s="12" t="n">
        <v>2</v>
      </c>
      <c r="J24" s="12" t="n">
        <v>4</v>
      </c>
      <c r="K24" s="12" t="n">
        <v>2</v>
      </c>
      <c r="L24" s="12" t="n">
        <v>3</v>
      </c>
      <c r="M24" s="10" t="n"/>
      <c r="N24">
        <f>IF(M24="",0,INDEX(I24:L24,1,MATCH(M24,{"A","B","C","D"},0)))</f>
        <v/>
      </c>
    </row>
    <row r="25" ht="40" customHeight="1">
      <c r="A25" s="11" t="inlineStr">
        <is>
          <t>Set 4</t>
        </is>
      </c>
      <c r="B25" s="11" t="inlineStr">
        <is>
          <t>Q4</t>
        </is>
      </c>
      <c r="C25" s="7" t="inlineStr">
        <is>
          <t>Empathy</t>
        </is>
      </c>
      <c r="D25" s="7" t="inlineStr">
        <is>
          <t>A junior you don't know well asks you an obviously nervous question about which stream to pick after 10th. What's your response?</t>
        </is>
      </c>
      <c r="E25" s="7" t="inlineStr">
        <is>
          <t>A) Tell them to just pick whatever gets the best job, without asking more.</t>
        </is>
      </c>
      <c r="F25" s="7" t="inlineStr">
        <is>
          <t>B) Redirect them to someone else immediately without engaging.</t>
        </is>
      </c>
      <c r="G25" s="7" t="inlineStr">
        <is>
          <t>C) Take a few minutes to actually understand their interests before suggesting anything.</t>
        </is>
      </c>
      <c r="H25" s="7" t="inlineStr">
        <is>
          <t>D) Give a quick, dismissive answer since it's not really your problem.</t>
        </is>
      </c>
      <c r="I25" s="12" t="n">
        <v>3</v>
      </c>
      <c r="J25" s="12" t="n">
        <v>3</v>
      </c>
      <c r="K25" s="12" t="n">
        <v>4</v>
      </c>
      <c r="L25" s="12" t="n">
        <v>2</v>
      </c>
      <c r="M25" s="10" t="n"/>
      <c r="N25">
        <f>IF(M25="",0,INDEX(I25:L25,1,MATCH(M25,{"A","B","C","D"},0)))</f>
        <v/>
      </c>
    </row>
    <row r="26" ht="40" customHeight="1">
      <c r="A26" s="11" t="inlineStr">
        <is>
          <t>Set 4</t>
        </is>
      </c>
      <c r="B26" s="11" t="inlineStr">
        <is>
          <t>Q5</t>
        </is>
      </c>
      <c r="C26" s="7" t="inlineStr">
        <is>
          <t>Relationship Management</t>
        </is>
      </c>
      <c r="D26" s="7" t="inlineStr">
        <is>
          <t>You're in a friend group chat where two friends are indirectly taking jabs at each other through 'jokes'. What do you do?</t>
        </is>
      </c>
      <c r="E26" s="7" t="inlineStr">
        <is>
          <t>A) Add fuel by joining in on the jokes since it's funny to watch.</t>
        </is>
      </c>
      <c r="F26" s="7" t="inlineStr">
        <is>
          <t>B) Leave the chat quietly to avoid getting dragged in.</t>
        </is>
      </c>
      <c r="G26" s="7" t="inlineStr">
        <is>
          <t>C) Say nothing in the group but complain about both of them to a different friend.</t>
        </is>
      </c>
      <c r="H26" s="7" t="inlineStr">
        <is>
          <t>D) Message both of them separately, or suggest they talk it out directly instead of over text.</t>
        </is>
      </c>
      <c r="I26" s="12" t="n">
        <v>2</v>
      </c>
      <c r="J26" s="12" t="n">
        <v>3</v>
      </c>
      <c r="K26" s="12" t="n">
        <v>3</v>
      </c>
      <c r="L26" s="12" t="n">
        <v>4</v>
      </c>
      <c r="M26" s="10" t="n"/>
      <c r="N26">
        <f>IF(M26="",0,INDEX(I26:L26,1,MATCH(M26,{"A","B","C","D"},0)))</f>
        <v/>
      </c>
    </row>
    <row r="27" ht="40" customHeight="1">
      <c r="A27" s="11" t="inlineStr">
        <is>
          <t>Set 5</t>
        </is>
      </c>
      <c r="B27" s="11" t="inlineStr">
        <is>
          <t>Q1</t>
        </is>
      </c>
      <c r="C27" s="7" t="inlineStr">
        <is>
          <t>Self-Awareness</t>
        </is>
      </c>
      <c r="D27" s="7" t="inlineStr">
        <is>
          <t>You realise you've been comparing your Instagram-worthy life to influencers online and feeling worse after every scroll. What's your take?</t>
        </is>
      </c>
      <c r="E27" s="7" t="inlineStr">
        <is>
          <t>A) Recognise it's a comparison trap fuelled by curated content, and take a short break from the app.</t>
        </is>
      </c>
      <c r="F27" s="7" t="inlineStr">
        <is>
          <t>B) Keep scrolling anyway even though it makes you feel bad.</t>
        </is>
      </c>
      <c r="G27" s="7" t="inlineStr">
        <is>
          <t>C) Post something to try to get validation to feel better temporarily.</t>
        </is>
      </c>
      <c r="H27" s="7" t="inlineStr">
        <is>
          <t>D) Conclude that your life is genuinely less exciting than everyone else's.</t>
        </is>
      </c>
      <c r="I27" s="12" t="n">
        <v>4</v>
      </c>
      <c r="J27" s="12" t="n">
        <v>2</v>
      </c>
      <c r="K27" s="12" t="n">
        <v>3</v>
      </c>
      <c r="L27" s="12" t="n">
        <v>2</v>
      </c>
      <c r="M27" s="10" t="n"/>
      <c r="N27">
        <f>IF(M27="",0,INDEX(I27:L27,1,MATCH(M27,{"A","B","C","D"},0)))</f>
        <v/>
      </c>
    </row>
    <row r="28" ht="40" customHeight="1">
      <c r="A28" s="11" t="inlineStr">
        <is>
          <t>Set 5</t>
        </is>
      </c>
      <c r="B28" s="11" t="inlineStr">
        <is>
          <t>Q2</t>
        </is>
      </c>
      <c r="C28" s="7" t="inlineStr">
        <is>
          <t>Self-Regulation</t>
        </is>
      </c>
      <c r="D28" s="7" t="inlineStr">
        <is>
          <t>A teacher publicly corrects your answer in a tone that feels unnecessarily harsh. What's your response in the moment?</t>
        </is>
      </c>
      <c r="E28" s="7" t="inlineStr">
        <is>
          <t>A) Go completely silent and avoid answering questions in that class again.</t>
        </is>
      </c>
      <c r="F28" s="7" t="inlineStr">
        <is>
          <t>B) Accept the correction calmly in class, and if it still bothers you, raise it with the teacher privately later.</t>
        </is>
      </c>
      <c r="G28" s="7" t="inlineStr">
        <is>
          <t>C) Mutter something under your breath so classmates can hear but the teacher can't.</t>
        </is>
      </c>
      <c r="H28" s="7" t="inlineStr">
        <is>
          <t>D) Argue back immediately in front of the class to defend yourself.</t>
        </is>
      </c>
      <c r="I28" s="12" t="n">
        <v>3</v>
      </c>
      <c r="J28" s="12" t="n">
        <v>4</v>
      </c>
      <c r="K28" s="12" t="n">
        <v>2</v>
      </c>
      <c r="L28" s="12" t="n">
        <v>2</v>
      </c>
      <c r="M28" s="10" t="n"/>
      <c r="N28">
        <f>IF(M28="",0,INDEX(I28:L28,1,MATCH(M28,{"A","B","C","D"},0)))</f>
        <v/>
      </c>
    </row>
    <row r="29" ht="40" customHeight="1">
      <c r="A29" s="11" t="inlineStr">
        <is>
          <t>Set 5</t>
        </is>
      </c>
      <c r="B29" s="11" t="inlineStr">
        <is>
          <t>Q3</t>
        </is>
      </c>
      <c r="C29" s="7" t="inlineStr">
        <is>
          <t>Motivation / Resilience</t>
        </is>
      </c>
      <c r="D29" s="7" t="inlineStr">
        <is>
          <t>You're training for a district-level sports trial and get injured two weeks before it. What's your mindset?</t>
        </is>
      </c>
      <c r="E29" s="7" t="inlineStr">
        <is>
          <t>A) Blame the coach's training schedule for causing the injury.</t>
        </is>
      </c>
      <c r="F29" s="7" t="inlineStr">
        <is>
          <t>B) Assume this is a sign you were never going to make it anyway.</t>
        </is>
      </c>
      <c r="G29" s="7" t="inlineStr">
        <is>
          <t>C) Focus on recovery, ask the coach about a modified plan, and aim for the next opportunity.</t>
        </is>
      </c>
      <c r="H29" s="7" t="inlineStr">
        <is>
          <t>D) Push through the injury and train anyway, ignoring the pain.</t>
        </is>
      </c>
      <c r="I29" s="12" t="n">
        <v>2</v>
      </c>
      <c r="J29" s="12" t="n">
        <v>2</v>
      </c>
      <c r="K29" s="12" t="n">
        <v>4</v>
      </c>
      <c r="L29" s="12" t="n">
        <v>3</v>
      </c>
      <c r="M29" s="10" t="n"/>
      <c r="N29">
        <f>IF(M29="",0,INDEX(I29:L29,1,MATCH(M29,{"A","B","C","D"},0)))</f>
        <v/>
      </c>
    </row>
    <row r="30" ht="40" customHeight="1">
      <c r="A30" s="11" t="inlineStr">
        <is>
          <t>Set 5</t>
        </is>
      </c>
      <c r="B30" s="11" t="inlineStr">
        <is>
          <t>Q4</t>
        </is>
      </c>
      <c r="C30" s="7" t="inlineStr">
        <is>
          <t>Empathy</t>
        </is>
      </c>
      <c r="D30" s="7" t="inlineStr">
        <is>
          <t>A classmate mentions offhandedly that their parents are going through a rough patch, then quickly changes the subject. What do you do?</t>
        </is>
      </c>
      <c r="E30" s="7" t="inlineStr">
        <is>
          <t>A) Tell other friends about it since it seems like important news.</t>
        </is>
      </c>
      <c r="F30" s="7" t="inlineStr">
        <is>
          <t>B) Pretend you didn't hear it to avoid an awkward moment.</t>
        </is>
      </c>
      <c r="G30" s="7" t="inlineStr">
        <is>
          <t>C) Push for more details since you're curious about what's happening.</t>
        </is>
      </c>
      <c r="H30" s="7" t="inlineStr">
        <is>
          <t>D) Follow their lead, let the subject change, but let them know you're around if they want to talk later.</t>
        </is>
      </c>
      <c r="I30" s="12" t="n">
        <v>1</v>
      </c>
      <c r="J30" s="12" t="n">
        <v>3</v>
      </c>
      <c r="K30" s="12" t="n">
        <v>2</v>
      </c>
      <c r="L30" s="12" t="n">
        <v>4</v>
      </c>
      <c r="M30" s="10" t="n"/>
      <c r="N30">
        <f>IF(M30="",0,INDEX(I30:L30,1,MATCH(M30,{"A","B","C","D"},0)))</f>
        <v/>
      </c>
    </row>
    <row r="31" ht="40" customHeight="1">
      <c r="A31" s="11" t="inlineStr">
        <is>
          <t>Set 5</t>
        </is>
      </c>
      <c r="B31" s="11" t="inlineStr">
        <is>
          <t>Q5</t>
        </is>
      </c>
      <c r="C31" s="7" t="inlineStr">
        <is>
          <t>Relationship Management</t>
        </is>
      </c>
      <c r="D31" s="7" t="inlineStr">
        <is>
          <t>You're paired with someone you don't get along with for a mandatory group assignment. What's your approach?</t>
        </is>
      </c>
      <c r="E31" s="7" t="inlineStr">
        <is>
          <t>A) Set up a short call to agree on roles and expectations upfront, keeping it professional.</t>
        </is>
      </c>
      <c r="F31" s="7" t="inlineStr">
        <is>
          <t>B) Do the work separately and combine it at the last minute with minimal communication.</t>
        </is>
      </c>
      <c r="G31" s="7" t="inlineStr">
        <is>
          <t>C) Let them do most of the work since you'd rather avoid interacting.</t>
        </is>
      </c>
      <c r="H31" s="7" t="inlineStr">
        <is>
          <t>D) Complain to the teacher and ask to be moved to a different group.</t>
        </is>
      </c>
      <c r="I31" s="12" t="n">
        <v>4</v>
      </c>
      <c r="J31" s="12" t="n">
        <v>3</v>
      </c>
      <c r="K31" s="12" t="n">
        <v>2</v>
      </c>
      <c r="L31" s="12" t="n">
        <v>2</v>
      </c>
      <c r="M31" s="10" t="n"/>
      <c r="N31">
        <f>IF(M31="",0,INDEX(I31:L31,1,MATCH(M31,{"A","B","C","D"},0)))</f>
        <v/>
      </c>
    </row>
    <row r="32" ht="40" customHeight="1">
      <c r="A32" s="11" t="inlineStr">
        <is>
          <t>Set 6</t>
        </is>
      </c>
      <c r="B32" s="11" t="inlineStr">
        <is>
          <t>Q1</t>
        </is>
      </c>
      <c r="C32" s="7" t="inlineStr">
        <is>
          <t>Self-Awareness</t>
        </is>
      </c>
      <c r="D32" s="7" t="inlineStr">
        <is>
          <t>You snap at a friend over something small, then immediately feel bad about it. What's your next step?</t>
        </is>
      </c>
      <c r="E32" s="7" t="inlineStr">
        <is>
          <t>A) Justify it to yourself since they were kind of annoying anyway.</t>
        </is>
      </c>
      <c r="F32" s="7" t="inlineStr">
        <is>
          <t>B) Recognise you overreacted, figure out what was really bothering you, and apologise.</t>
        </is>
      </c>
      <c r="G32" s="7" t="inlineStr">
        <is>
          <t>C) Say nothing and hope they forget about it by tomorrow.</t>
        </is>
      </c>
      <c r="H32" s="7" t="inlineStr">
        <is>
          <t>D) Feel bad about it internally but avoid bringing it up with them.</t>
        </is>
      </c>
      <c r="I32" s="12" t="n">
        <v>2</v>
      </c>
      <c r="J32" s="12" t="n">
        <v>4</v>
      </c>
      <c r="K32" s="12" t="n">
        <v>2</v>
      </c>
      <c r="L32" s="12" t="n">
        <v>3</v>
      </c>
      <c r="M32" s="10" t="n"/>
      <c r="N32">
        <f>IF(M32="",0,INDEX(I32:L32,1,MATCH(M32,{"A","B","C","D"},0)))</f>
        <v/>
      </c>
    </row>
    <row r="33" ht="40" customHeight="1">
      <c r="A33" s="11" t="inlineStr">
        <is>
          <t>Set 6</t>
        </is>
      </c>
      <c r="B33" s="11" t="inlineStr">
        <is>
          <t>Q2</t>
        </is>
      </c>
      <c r="C33" s="7" t="inlineStr">
        <is>
          <t>Self-Regulation</t>
        </is>
      </c>
      <c r="D33" s="7" t="inlineStr">
        <is>
          <t>You're in the middle of an intense video game tournament with friends and start losing badly, feeling your frustration spike. What do you do?</t>
        </is>
      </c>
      <c r="E33" s="7" t="inlineStr">
        <is>
          <t>A) Keep playing while muttering angrily and blaming your teammates.</t>
        </is>
      </c>
      <c r="F33" s="7" t="inlineStr">
        <is>
          <t>B) Quietly stew in frustration but keep playing without saying anything.</t>
        </is>
      </c>
      <c r="G33" s="7" t="inlineStr">
        <is>
          <t>C) Notice the frustration building, take a short break between rounds, and reset.</t>
        </is>
      </c>
      <c r="H33" s="7" t="inlineStr">
        <is>
          <t>D) Throw the controller down and blackout with rage-quit energy.</t>
        </is>
      </c>
      <c r="I33" s="12" t="n">
        <v>3</v>
      </c>
      <c r="J33" s="12" t="n">
        <v>3</v>
      </c>
      <c r="K33" s="12" t="n">
        <v>4</v>
      </c>
      <c r="L33" s="12" t="n">
        <v>2</v>
      </c>
      <c r="M33" s="10" t="n"/>
      <c r="N33">
        <f>IF(M33="",0,INDEX(I33:L33,1,MATCH(M33,{"A","B","C","D"},0)))</f>
        <v/>
      </c>
    </row>
    <row r="34" ht="40" customHeight="1">
      <c r="A34" s="11" t="inlineStr">
        <is>
          <t>Set 6</t>
        </is>
      </c>
      <c r="B34" s="11" t="inlineStr">
        <is>
          <t>Q3</t>
        </is>
      </c>
      <c r="C34" s="7" t="inlineStr">
        <is>
          <t>Motivation / Resilience</t>
        </is>
      </c>
      <c r="D34" s="7" t="inlineStr">
        <is>
          <t>Your application for a summer exchange program gets rejected after a lot of prep. What's your reaction?</t>
        </is>
      </c>
      <c r="E34" s="7" t="inlineStr">
        <is>
          <t>A) Feel deflated for a while and avoid thinking about it or trying again.</t>
        </is>
      </c>
      <c r="F34" s="7" t="inlineStr">
        <is>
          <t>B) Decide these programs are rigged toward certain 'types' of students and give up on applying elsewhere.</t>
        </is>
      </c>
      <c r="G34" s="7" t="inlineStr">
        <is>
          <t>C) Tell people you didn't really want to go in the first place.</t>
        </is>
      </c>
      <c r="H34" s="7" t="inlineStr">
        <is>
          <t>D) Request feedback if possible, and identify one or two things to strengthen for future applications.</t>
        </is>
      </c>
      <c r="I34" s="12" t="n">
        <v>3</v>
      </c>
      <c r="J34" s="12" t="n">
        <v>2</v>
      </c>
      <c r="K34" s="12" t="n">
        <v>2</v>
      </c>
      <c r="L34" s="12" t="n">
        <v>4</v>
      </c>
      <c r="M34" s="10" t="n"/>
      <c r="N34">
        <f>IF(M34="",0,INDEX(I34:L34,1,MATCH(M34,{"A","B","C","D"},0)))</f>
        <v/>
      </c>
    </row>
    <row r="35" ht="40" customHeight="1">
      <c r="A35" s="11" t="inlineStr">
        <is>
          <t>Set 6</t>
        </is>
      </c>
      <c r="B35" s="11" t="inlineStr">
        <is>
          <t>Q4</t>
        </is>
      </c>
      <c r="C35" s="7" t="inlineStr">
        <is>
          <t>Empathy</t>
        </is>
      </c>
      <c r="D35" s="7" t="inlineStr">
        <is>
          <t>A friend's older sibling just left for college, and they seem unusually quiet and distracted lately. What's your approach?</t>
        </is>
      </c>
      <c r="E35" s="7" t="inlineStr">
        <is>
          <t>A) Gently ask if they're missing their sibling, and let them talk if they want to.</t>
        </is>
      </c>
      <c r="F35" s="7" t="inlineStr">
        <is>
          <t>B) Assume they'll get over it and don't bring it up.</t>
        </is>
      </c>
      <c r="G35" s="7" t="inlineStr">
        <is>
          <t>C) Tell them to focus on school instead of being sad about it.</t>
        </is>
      </c>
      <c r="H35" s="7" t="inlineStr">
        <is>
          <t>D) Make jokes about it to lighten the mood.</t>
        </is>
      </c>
      <c r="I35" s="12" t="n">
        <v>4</v>
      </c>
      <c r="J35" s="12" t="n">
        <v>3</v>
      </c>
      <c r="K35" s="12" t="n">
        <v>1</v>
      </c>
      <c r="L35" s="12" t="n">
        <v>2</v>
      </c>
      <c r="M35" s="10" t="n"/>
      <c r="N35">
        <f>IF(M35="",0,INDEX(I35:L35,1,MATCH(M35,{"A","B","C","D"},0)))</f>
        <v/>
      </c>
    </row>
    <row r="36" ht="40" customHeight="1">
      <c r="A36" s="11" t="inlineStr">
        <is>
          <t>Set 6</t>
        </is>
      </c>
      <c r="B36" s="11" t="inlineStr">
        <is>
          <t>Q5</t>
        </is>
      </c>
      <c r="C36" s="7" t="inlineStr">
        <is>
          <t>Relationship Management</t>
        </is>
      </c>
      <c r="D36" s="7" t="inlineStr">
        <is>
          <t>Your best friend starts hanging out more with a new group and you feel a bit left out. What's your approach?</t>
        </is>
      </c>
      <c r="E36" s="7" t="inlineStr">
        <is>
          <t>A) Try to insert yourself into their new friend group without asking.</t>
        </is>
      </c>
      <c r="F36" s="7" t="inlineStr">
        <is>
          <t>B) Tell them honestly that you miss spending time together and ask about grabbing time soon.</t>
        </is>
      </c>
      <c r="G36" s="7" t="inlineStr">
        <is>
          <t>C) Start acting cold toward them to see if they notice.</t>
        </is>
      </c>
      <c r="H36" s="7" t="inlineStr">
        <is>
          <t>D) Say nothing and quietly distance yourself too.</t>
        </is>
      </c>
      <c r="I36" s="12" t="n">
        <v>3</v>
      </c>
      <c r="J36" s="12" t="n">
        <v>4</v>
      </c>
      <c r="K36" s="12" t="n">
        <v>2</v>
      </c>
      <c r="L36" s="12" t="n">
        <v>3</v>
      </c>
      <c r="M36" s="10" t="n"/>
      <c r="N36">
        <f>IF(M36="",0,INDEX(I36:L36,1,MATCH(M36,{"A","B","C","D"},0)))</f>
        <v/>
      </c>
    </row>
    <row r="37" ht="40" customHeight="1">
      <c r="A37" s="11" t="inlineStr">
        <is>
          <t>Set 7</t>
        </is>
      </c>
      <c r="B37" s="11" t="inlineStr">
        <is>
          <t>Q1</t>
        </is>
      </c>
      <c r="C37" s="7" t="inlineStr">
        <is>
          <t>Self-Awareness</t>
        </is>
      </c>
      <c r="D37" s="7" t="inlineStr">
        <is>
          <t>You get unusually defensive when a friend gives you feedback on a school project. What's happening?</t>
        </is>
      </c>
      <c r="E37" s="7" t="inlineStr">
        <is>
          <t>A) Feel embarrassed and avoid asking anyone for feedback again.</t>
        </is>
      </c>
      <c r="F37" s="7" t="inlineStr">
        <is>
          <t>B) Conclude that they're just jealous of your work.</t>
        </is>
      </c>
      <c r="G37" s="7" t="inlineStr">
        <is>
          <t>C) Notice you're feeling defensive, take a breath, and consider whether the feedback has a point.</t>
        </is>
      </c>
      <c r="H37" s="7" t="inlineStr">
        <is>
          <t>D) Ignore the feeling and change the subject.</t>
        </is>
      </c>
      <c r="I37" s="12" t="n">
        <v>3</v>
      </c>
      <c r="J37" s="12" t="n">
        <v>2</v>
      </c>
      <c r="K37" s="12" t="n">
        <v>4</v>
      </c>
      <c r="L37" s="12" t="n">
        <v>2</v>
      </c>
      <c r="M37" s="10" t="n"/>
      <c r="N37">
        <f>IF(M37="",0,INDEX(I37:L37,1,MATCH(M37,{"A","B","C","D"},0)))</f>
        <v/>
      </c>
    </row>
    <row r="38" ht="40" customHeight="1">
      <c r="A38" s="11" t="inlineStr">
        <is>
          <t>Set 7</t>
        </is>
      </c>
      <c r="B38" s="11" t="inlineStr">
        <is>
          <t>Q2</t>
        </is>
      </c>
      <c r="C38" s="7" t="inlineStr">
        <is>
          <t>Self-Regulation</t>
        </is>
      </c>
      <c r="D38" s="7" t="inlineStr">
        <is>
          <t>A friend borrows your notes before an exam and returns them late, making you scramble to revise. What's your reaction?</t>
        </is>
      </c>
      <c r="E38" s="7" t="inlineStr">
        <is>
          <t>A) Complain about them to mutual friends instead of addressing it directly.</t>
        </is>
      </c>
      <c r="F38" s="7" t="inlineStr">
        <is>
          <t>B) Say it's fine out loud but silently decide never to lend notes again.</t>
        </is>
      </c>
      <c r="G38" s="7" t="inlineStr">
        <is>
          <t>C) Tell them off harshly in front of others so they learn a lesson.</t>
        </is>
      </c>
      <c r="H38" s="7" t="inlineStr">
        <is>
          <t>D) Let them know clearly how the delay affected you, and set a clearer expectation for next time.</t>
        </is>
      </c>
      <c r="I38" s="12" t="n">
        <v>2</v>
      </c>
      <c r="J38" s="12" t="n">
        <v>3</v>
      </c>
      <c r="K38" s="12" t="n">
        <v>2</v>
      </c>
      <c r="L38" s="12" t="n">
        <v>4</v>
      </c>
      <c r="M38" s="10" t="n"/>
      <c r="N38">
        <f>IF(M38="",0,INDEX(I38:L38,1,MATCH(M38,{"A","B","C","D"},0)))</f>
        <v/>
      </c>
    </row>
    <row r="39" ht="40" customHeight="1">
      <c r="A39" s="11" t="inlineStr">
        <is>
          <t>Set 7</t>
        </is>
      </c>
      <c r="B39" s="11" t="inlineStr">
        <is>
          <t>Q3</t>
        </is>
      </c>
      <c r="C39" s="7" t="inlineStr">
        <is>
          <t>Motivation / Resilience</t>
        </is>
      </c>
      <c r="D39" s="7" t="inlineStr">
        <is>
          <t>You've been trying to build a habit of morning study but keep sleeping through your alarm. What's your approach?</t>
        </is>
      </c>
      <c r="E39" s="7" t="inlineStr">
        <is>
          <t>A) Experiment with an earlier bedtime or a different alarm strategy instead of giving up.</t>
        </is>
      </c>
      <c r="F39" s="7" t="inlineStr">
        <is>
          <t>B) Blame your family for being noisy at night and keeping you up.</t>
        </is>
      </c>
      <c r="G39" s="7" t="inlineStr">
        <is>
          <t>C) Decide you're just not a morning person and give up on the habit entirely.</t>
        </is>
      </c>
      <c r="H39" s="7" t="inlineStr">
        <is>
          <t>D) Keep setting the same alarm and getting frustrated when it doesn't work.</t>
        </is>
      </c>
      <c r="I39" s="12" t="n">
        <v>4</v>
      </c>
      <c r="J39" s="12" t="n">
        <v>2</v>
      </c>
      <c r="K39" s="12" t="n">
        <v>2</v>
      </c>
      <c r="L39" s="12" t="n">
        <v>3</v>
      </c>
      <c r="M39" s="10" t="n"/>
      <c r="N39">
        <f>IF(M39="",0,INDEX(I39:L39,1,MATCH(M39,{"A","B","C","D"},0)))</f>
        <v/>
      </c>
    </row>
    <row r="40" ht="40" customHeight="1">
      <c r="A40" s="11" t="inlineStr">
        <is>
          <t>Set 7</t>
        </is>
      </c>
      <c r="B40" s="11" t="inlineStr">
        <is>
          <t>Q4</t>
        </is>
      </c>
      <c r="C40" s="7" t="inlineStr">
        <is>
          <t>Empathy</t>
        </is>
      </c>
      <c r="D40" s="7" t="inlineStr">
        <is>
          <t>A classmate who's usually confident seems visibly anxious before presenting today. What's your move?</t>
        </is>
      </c>
      <c r="E40" s="7" t="inlineStr">
        <is>
          <t>A) Assume they'll be fine since they're usually confident anyway.</t>
        </is>
      </c>
      <c r="F40" s="7" t="inlineStr">
        <is>
          <t>B) Give them a quiet, genuine 'you've got this' before they go up.</t>
        </is>
      </c>
      <c r="G40" s="7" t="inlineStr">
        <is>
          <t>C) Avoid making eye contact so you don't add to their nerves.</t>
        </is>
      </c>
      <c r="H40" s="7" t="inlineStr">
        <is>
          <t>D) Point out that they seem nervous in front of others.</t>
        </is>
      </c>
      <c r="I40" s="12" t="n">
        <v>3</v>
      </c>
      <c r="J40" s="12" t="n">
        <v>4</v>
      </c>
      <c r="K40" s="12" t="n">
        <v>3</v>
      </c>
      <c r="L40" s="12" t="n">
        <v>2</v>
      </c>
      <c r="M40" s="10" t="n"/>
      <c r="N40">
        <f>IF(M40="",0,INDEX(I40:L40,1,MATCH(M40,{"A","B","C","D"},0)))</f>
        <v/>
      </c>
    </row>
    <row r="41" ht="40" customHeight="1">
      <c r="A41" s="11" t="inlineStr">
        <is>
          <t>Set 7</t>
        </is>
      </c>
      <c r="B41" s="11" t="inlineStr">
        <is>
          <t>Q5</t>
        </is>
      </c>
      <c r="C41" s="7" t="inlineStr">
        <is>
          <t>Relationship Management</t>
        </is>
      </c>
      <c r="D41" s="7" t="inlineStr">
        <is>
          <t>Two friends in your group ask you separately to 'pick a side' in their disagreement. What's your approach?</t>
        </is>
      </c>
      <c r="E41" s="7" t="inlineStr">
        <is>
          <t>A) Tell each of them privately that you agree with them, just to keep the peace.</t>
        </is>
      </c>
      <c r="F41" s="7" t="inlineStr">
        <is>
          <t>B) Avoid both of them until the drama blows over on its own.</t>
        </is>
      </c>
      <c r="G41" s="7" t="inlineStr">
        <is>
          <t>C) Tell both you're not comfortable picking sides, but you're happy to help them talk it through together.</t>
        </is>
      </c>
      <c r="H41" s="7" t="inlineStr">
        <is>
          <t>D) Pick whichever friend you're closer to, to keep that friendship strong.</t>
        </is>
      </c>
      <c r="I41" s="12" t="n">
        <v>2</v>
      </c>
      <c r="J41" s="12" t="n">
        <v>3</v>
      </c>
      <c r="K41" s="12" t="n">
        <v>4</v>
      </c>
      <c r="L41" s="12" t="n">
        <v>2</v>
      </c>
      <c r="M41" s="10" t="n"/>
      <c r="N41">
        <f>IF(M41="",0,INDEX(I41:L41,1,MATCH(M41,{"A","B","C","D"},0)))</f>
        <v/>
      </c>
    </row>
    <row r="42" ht="40" customHeight="1">
      <c r="A42" s="11" t="inlineStr">
        <is>
          <t>Set 8</t>
        </is>
      </c>
      <c r="B42" s="11" t="inlineStr">
        <is>
          <t>Q1</t>
        </is>
      </c>
      <c r="C42" s="7" t="inlineStr">
        <is>
          <t>Self-Awareness</t>
        </is>
      </c>
      <c r="D42" s="7" t="inlineStr">
        <is>
          <t>You realise you've been procrastinating a big assignment by cleaning your room, reorganising files, anything but the actual work. What's really going on?</t>
        </is>
      </c>
      <c r="E42" s="7" t="inlineStr">
        <is>
          <t>A) Decide you're just lazy and there's nothing to be done about it.</t>
        </is>
      </c>
      <c r="F42" s="7" t="inlineStr">
        <is>
          <t>B) Tell yourself you'll start once your room is perfectly organised.</t>
        </is>
      </c>
      <c r="G42" s="7" t="inlineStr">
        <is>
          <t>C) Feel guilty about procrastinating but keep doing it anyway.</t>
        </is>
      </c>
      <c r="H42" s="7" t="inlineStr">
        <is>
          <t>D) Recognise this is avoidance likely linked to feeling overwhelmed by the assignment's size, and break it into smaller steps.</t>
        </is>
      </c>
      <c r="I42" s="12" t="n">
        <v>2</v>
      </c>
      <c r="J42" s="12" t="n">
        <v>2</v>
      </c>
      <c r="K42" s="12" t="n">
        <v>3</v>
      </c>
      <c r="L42" s="12" t="n">
        <v>4</v>
      </c>
      <c r="M42" s="10" t="n"/>
      <c r="N42">
        <f>IF(M42="",0,INDEX(I42:L42,1,MATCH(M42,{"A","B","C","D"},0)))</f>
        <v/>
      </c>
    </row>
    <row r="43" ht="40" customHeight="1">
      <c r="A43" s="11" t="inlineStr">
        <is>
          <t>Set 8</t>
        </is>
      </c>
      <c r="B43" s="11" t="inlineStr">
        <is>
          <t>Q2</t>
        </is>
      </c>
      <c r="C43" s="7" t="inlineStr">
        <is>
          <t>Self-Regulation</t>
        </is>
      </c>
      <c r="D43" s="7" t="inlineStr">
        <is>
          <t>You get a lower grade than expected on a group project, and you did most of the work. What's your reaction?</t>
        </is>
      </c>
      <c r="E43" s="7" t="inlineStr">
        <is>
          <t>A) Cool off first, then request a private conversation with the teacher about how the grading considered individual contribution.</t>
        </is>
      </c>
      <c r="F43" s="7" t="inlineStr">
        <is>
          <t>B) Refuse to work in a group with any of them again without explanation.</t>
        </is>
      </c>
      <c r="G43" s="7" t="inlineStr">
        <is>
          <t>C) Silently resent your group members but say nothing to anyone.</t>
        </is>
      </c>
      <c r="H43" s="7" t="inlineStr">
        <is>
          <t>D) Publicly call out your group members for dragging your grade down.</t>
        </is>
      </c>
      <c r="I43" s="12" t="n">
        <v>4</v>
      </c>
      <c r="J43" s="12" t="n">
        <v>3</v>
      </c>
      <c r="K43" s="12" t="n">
        <v>3</v>
      </c>
      <c r="L43" s="12" t="n">
        <v>2</v>
      </c>
      <c r="M43" s="10" t="n"/>
      <c r="N43">
        <f>IF(M43="",0,INDEX(I43:L43,1,MATCH(M43,{"A","B","C","D"},0)))</f>
        <v/>
      </c>
    </row>
    <row r="44" ht="40" customHeight="1">
      <c r="A44" s="11" t="inlineStr">
        <is>
          <t>Set 8</t>
        </is>
      </c>
      <c r="B44" s="11" t="inlineStr">
        <is>
          <t>Q3</t>
        </is>
      </c>
      <c r="C44" s="7" t="inlineStr">
        <is>
          <t>Motivation / Resilience</t>
        </is>
      </c>
      <c r="D44" s="7" t="inlineStr">
        <is>
          <t>You're learning to drive/ride and stall or wobble repeatedly in front of your instructor. What's your mindset?</t>
        </is>
      </c>
      <c r="E44" s="7" t="inlineStr">
        <is>
          <t>A) Keep trying the same way without changing your technique.</t>
        </is>
      </c>
      <c r="F44" s="7" t="inlineStr">
        <is>
          <t>B) Recognise this is a normal part of learning, and ask the instructor what specifically to adjust.</t>
        </is>
      </c>
      <c r="G44" s="7" t="inlineStr">
        <is>
          <t>C) Get frustrated and blame the vehicle for being difficult.</t>
        </is>
      </c>
      <c r="H44" s="7" t="inlineStr">
        <is>
          <t>D) Decide you're hopeless at it and ask to stop lessons.</t>
        </is>
      </c>
      <c r="I44" s="12" t="n">
        <v>3</v>
      </c>
      <c r="J44" s="12" t="n">
        <v>4</v>
      </c>
      <c r="K44" s="12" t="n">
        <v>2</v>
      </c>
      <c r="L44" s="12" t="n">
        <v>2</v>
      </c>
      <c r="M44" s="10" t="n"/>
      <c r="N44">
        <f>IF(M44="",0,INDEX(I44:L44,1,MATCH(M44,{"A","B","C","D"},0)))</f>
        <v/>
      </c>
    </row>
    <row r="45" ht="40" customHeight="1">
      <c r="A45" s="11" t="inlineStr">
        <is>
          <t>Set 8</t>
        </is>
      </c>
      <c r="B45" s="11" t="inlineStr">
        <is>
          <t>Q4</t>
        </is>
      </c>
      <c r="C45" s="7" t="inlineStr">
        <is>
          <t>Empathy</t>
        </is>
      </c>
      <c r="D45" s="7" t="inlineStr">
        <is>
          <t>A friend excitedly shares news about something you also wanted but didn't get. What's your first reaction?</t>
        </is>
      </c>
      <c r="E45" s="7" t="inlineStr">
        <is>
          <t>A) Make a subtly sarcastic comment about their news.</t>
        </is>
      </c>
      <c r="F45" s="7" t="inlineStr">
        <is>
          <t>B) Change the subject quickly to avoid talking about it.</t>
        </is>
      </c>
      <c r="G45" s="7" t="inlineStr">
        <is>
          <t>C) Feel a pang of envy, acknowledge it to yourself, and still genuinely congratulate them.</t>
        </is>
      </c>
      <c r="H45" s="7" t="inlineStr">
        <is>
          <t>D) Fake enthusiasm poorly, and they can tell something's off.</t>
        </is>
      </c>
      <c r="I45" s="12" t="n">
        <v>1</v>
      </c>
      <c r="J45" s="12" t="n">
        <v>2</v>
      </c>
      <c r="K45" s="12" t="n">
        <v>4</v>
      </c>
      <c r="L45" s="12" t="n">
        <v>3</v>
      </c>
      <c r="M45" s="10" t="n"/>
      <c r="N45">
        <f>IF(M45="",0,INDEX(I45:L45,1,MATCH(M45,{"A","B","C","D"},0)))</f>
        <v/>
      </c>
    </row>
    <row r="46" ht="40" customHeight="1">
      <c r="A46" s="11" t="inlineStr">
        <is>
          <t>Set 8</t>
        </is>
      </c>
      <c r="B46" s="11" t="inlineStr">
        <is>
          <t>Q5</t>
        </is>
      </c>
      <c r="C46" s="7" t="inlineStr">
        <is>
          <t>Relationship Management</t>
        </is>
      </c>
      <c r="D46" s="7" t="inlineStr">
        <is>
          <t>You're the only one in your friend group who thinks a plan (like skipping a class) is a bad idea. What do you do?</t>
        </is>
      </c>
      <c r="E46" s="7" t="inlineStr">
        <is>
          <t>A) Threaten to tell a teacher unless they change the plan.</t>
        </is>
      </c>
      <c r="F46" s="7" t="inlineStr">
        <is>
          <t>B) Pretend to be sick that day so you don't have to explain your decision.</t>
        </is>
      </c>
      <c r="G46" s="7" t="inlineStr">
        <is>
          <t>C) Go along with it anyway to avoid seeming uncool.</t>
        </is>
      </c>
      <c r="H46" s="7" t="inlineStr">
        <is>
          <t>D) Say clearly that you're not comfortable with it, without lecturing anyone else's choice.</t>
        </is>
      </c>
      <c r="I46" s="12" t="n">
        <v>2</v>
      </c>
      <c r="J46" s="12" t="n">
        <v>3</v>
      </c>
      <c r="K46" s="12" t="n">
        <v>2</v>
      </c>
      <c r="L46" s="12" t="n">
        <v>4</v>
      </c>
      <c r="M46" s="10" t="n"/>
      <c r="N46">
        <f>IF(M46="",0,INDEX(I46:L46,1,MATCH(M46,{"A","B","C","D"},0)))</f>
        <v/>
      </c>
    </row>
    <row r="47" ht="40" customHeight="1">
      <c r="A47" s="11" t="inlineStr">
        <is>
          <t>Set 9</t>
        </is>
      </c>
      <c r="B47" s="11" t="inlineStr">
        <is>
          <t>Q1</t>
        </is>
      </c>
      <c r="C47" s="7" t="inlineStr">
        <is>
          <t>Self-Awareness</t>
        </is>
      </c>
      <c r="D47" s="7" t="inlineStr">
        <is>
          <t>You notice that certain subjects make you anxious even before class starts, while others don't bother you at all. What's your takeaway?</t>
        </is>
      </c>
      <c r="E47" s="7" t="inlineStr">
        <is>
          <t>A) Notice the pattern and consider what specifically triggers the anxiety (unclear concepts? past bad grades?).</t>
        </is>
      </c>
      <c r="F47" s="7" t="inlineStr">
        <is>
          <t>B) Conclude you're just naturally bad at the subjects that worry you.</t>
        </is>
      </c>
      <c r="G47" s="7" t="inlineStr">
        <is>
          <t>C) Avoid thinking about it and just push through the discomfort silently.</t>
        </is>
      </c>
      <c r="H47" s="7" t="inlineStr">
        <is>
          <t>D) Blame the subject teacher for making the class stressful.</t>
        </is>
      </c>
      <c r="I47" s="12" t="n">
        <v>4</v>
      </c>
      <c r="J47" s="12" t="n">
        <v>2</v>
      </c>
      <c r="K47" s="12" t="n">
        <v>3</v>
      </c>
      <c r="L47" s="12" t="n">
        <v>2</v>
      </c>
      <c r="M47" s="10" t="n"/>
      <c r="N47">
        <f>IF(M47="",0,INDEX(I47:L47,1,MATCH(M47,{"A","B","C","D"},0)))</f>
        <v/>
      </c>
    </row>
    <row r="48" ht="40" customHeight="1">
      <c r="A48" s="11" t="inlineStr">
        <is>
          <t>Set 9</t>
        </is>
      </c>
      <c r="B48" s="11" t="inlineStr">
        <is>
          <t>Q2</t>
        </is>
      </c>
      <c r="C48" s="7" t="inlineStr">
        <is>
          <t>Self-Regulation</t>
        </is>
      </c>
      <c r="D48" s="7" t="inlineStr">
        <is>
          <t>You're waiting for exam results and keep refreshing the portal every few minutes, getting more anxious each time. What do you do?</t>
        </is>
      </c>
      <c r="E48" s="7" t="inlineStr">
        <is>
          <t>A) Keep refreshing obsessively even though it's making you feel worse.</t>
        </is>
      </c>
      <c r="F48" s="7" t="inlineStr">
        <is>
          <t>B) Set the phone aside, do something distracting for an hour, and check back later.</t>
        </is>
      </c>
      <c r="G48" s="7" t="inlineStr">
        <is>
          <t>C) Vent your anxiety to family members repeatedly without doing anything else.</t>
        </is>
      </c>
      <c r="H48" s="7" t="inlineStr">
        <is>
          <t>D) Convince yourself you already know you've failed to prepare for the worst.</t>
        </is>
      </c>
      <c r="I48" s="12" t="n">
        <v>2</v>
      </c>
      <c r="J48" s="12" t="n">
        <v>4</v>
      </c>
      <c r="K48" s="12" t="n">
        <v>3</v>
      </c>
      <c r="L48" s="12" t="n">
        <v>3</v>
      </c>
      <c r="M48" s="10" t="n"/>
      <c r="N48">
        <f>IF(M48="",0,INDEX(I48:L48,1,MATCH(M48,{"A","B","C","D"},0)))</f>
        <v/>
      </c>
    </row>
    <row r="49" ht="40" customHeight="1">
      <c r="A49" s="11" t="inlineStr">
        <is>
          <t>Set 9</t>
        </is>
      </c>
      <c r="B49" s="11" t="inlineStr">
        <is>
          <t>Q3</t>
        </is>
      </c>
      <c r="C49" s="7" t="inlineStr">
        <is>
          <t>Motivation / Resilience</t>
        </is>
      </c>
      <c r="D49" s="7" t="inlineStr">
        <is>
          <t>You start a fitness routine but miss several days due to a busy exam week. What's your approach when you get back to it?</t>
        </is>
      </c>
      <c r="E49" s="7" t="inlineStr">
        <is>
          <t>A) Feel guilty and push yourself too hard immediately to compensate.</t>
        </is>
      </c>
      <c r="F49" s="7" t="inlineStr">
        <is>
          <t>B) Blame the exam schedule for ruining your consistency.</t>
        </is>
      </c>
      <c r="G49" s="7" t="inlineStr">
        <is>
          <t>C) Restart from where you can manage now, without trying to 'catch up' all at once.</t>
        </is>
      </c>
      <c r="H49" s="7" t="inlineStr">
        <is>
          <t>D) Decide the whole routine is ruined and there's no point restarting.</t>
        </is>
      </c>
      <c r="I49" s="12" t="n">
        <v>3</v>
      </c>
      <c r="J49" s="12" t="n">
        <v>2</v>
      </c>
      <c r="K49" s="12" t="n">
        <v>4</v>
      </c>
      <c r="L49" s="12" t="n">
        <v>2</v>
      </c>
      <c r="M49" s="10" t="n"/>
      <c r="N49">
        <f>IF(M49="",0,INDEX(I49:L49,1,MATCH(M49,{"A","B","C","D"},0)))</f>
        <v/>
      </c>
    </row>
    <row r="50" ht="40" customHeight="1">
      <c r="A50" s="11" t="inlineStr">
        <is>
          <t>Set 9</t>
        </is>
      </c>
      <c r="B50" s="11" t="inlineStr">
        <is>
          <t>Q4</t>
        </is>
      </c>
      <c r="C50" s="7" t="inlineStr">
        <is>
          <t>Empathy</t>
        </is>
      </c>
      <c r="D50" s="7" t="inlineStr">
        <is>
          <t>A friend mentions they didn't get invited to a party that most of your friend group is going to. What's your response?</t>
        </is>
      </c>
      <c r="E50" s="7" t="inlineStr">
        <is>
          <t>A) Talk excitedly about the party plans in front of them anyway.</t>
        </is>
      </c>
      <c r="F50" s="7" t="inlineStr">
        <is>
          <t>B) Say nothing about the party around them, but don't check in either.</t>
        </is>
      </c>
      <c r="G50" s="7" t="inlineStr">
        <is>
          <t>C) Tell them it's not a big deal and they shouldn't feel bad.</t>
        </is>
      </c>
      <c r="H50" s="7" t="inlineStr">
        <is>
          <t>D) Acknowledge it might feel isolating, and consider planning something with them separately.</t>
        </is>
      </c>
      <c r="I50" s="12" t="n">
        <v>1</v>
      </c>
      <c r="J50" s="12" t="n">
        <v>3</v>
      </c>
      <c r="K50" s="12" t="n">
        <v>3</v>
      </c>
      <c r="L50" s="12" t="n">
        <v>4</v>
      </c>
      <c r="M50" s="10" t="n"/>
      <c r="N50">
        <f>IF(M50="",0,INDEX(I50:L50,1,MATCH(M50,{"A","B","C","D"},0)))</f>
        <v/>
      </c>
    </row>
    <row r="51" ht="40" customHeight="1">
      <c r="A51" s="11" t="inlineStr">
        <is>
          <t>Set 9</t>
        </is>
      </c>
      <c r="B51" s="11" t="inlineStr">
        <is>
          <t>Q5</t>
        </is>
      </c>
      <c r="C51" s="7" t="inlineStr">
        <is>
          <t>Relationship Management</t>
        </is>
      </c>
      <c r="D51" s="7" t="inlineStr">
        <is>
          <t>You're leading a small group for a class activity and one member keeps interrupting others. How do you handle it?</t>
        </is>
      </c>
      <c r="E51" s="7" t="inlineStr">
        <is>
          <t>A) Set a simple ground rule for the group (like one person speaks at a time) and gently enforce it.</t>
        </is>
      </c>
      <c r="F51" s="7" t="inlineStr">
        <is>
          <t>B) Call them out sharply in front of the group to make them stop.</t>
        </is>
      </c>
      <c r="G51" s="7" t="inlineStr">
        <is>
          <t>C) Let it continue since you don't want an awkward confrontation.</t>
        </is>
      </c>
      <c r="H51" s="7" t="inlineStr">
        <is>
          <t>D) Mention it to the teacher instead of addressing it within the group.</t>
        </is>
      </c>
      <c r="I51" s="12" t="n">
        <v>4</v>
      </c>
      <c r="J51" s="12" t="n">
        <v>2</v>
      </c>
      <c r="K51" s="12" t="n">
        <v>3</v>
      </c>
      <c r="L51" s="12" t="n">
        <v>3</v>
      </c>
      <c r="M51" s="10" t="n"/>
      <c r="N51">
        <f>IF(M51="",0,INDEX(I51:L51,1,MATCH(M51,{"A","B","C","D"},0)))</f>
        <v/>
      </c>
    </row>
    <row r="52" ht="40" customHeight="1">
      <c r="A52" s="11" t="inlineStr">
        <is>
          <t>Set 10</t>
        </is>
      </c>
      <c r="B52" s="11" t="inlineStr">
        <is>
          <t>Q1</t>
        </is>
      </c>
      <c r="C52" s="7" t="inlineStr">
        <is>
          <t>Self-Awareness</t>
        </is>
      </c>
      <c r="D52" s="7" t="inlineStr">
        <is>
          <t>You realise you've been saying yes to every request from friends, even when it stresses you out. What's the underlying pattern?</t>
        </is>
      </c>
      <c r="E52" s="7" t="inlineStr">
        <is>
          <t>A) Blame your friends for asking too much of you.</t>
        </is>
      </c>
      <c r="F52" s="7" t="inlineStr">
        <is>
          <t>B) Recognise you're avoiding conflict by over-committing, and consider setting clearer limits.</t>
        </is>
      </c>
      <c r="G52" s="7" t="inlineStr">
        <is>
          <t>C) Feel resentful about it but keep saying yes anyway.</t>
        </is>
      </c>
      <c r="H52" s="7" t="inlineStr">
        <is>
          <t>D) Decide you're just a naturally generous person and it's fine.</t>
        </is>
      </c>
      <c r="I52" s="12" t="n">
        <v>2</v>
      </c>
      <c r="J52" s="12" t="n">
        <v>4</v>
      </c>
      <c r="K52" s="12" t="n">
        <v>3</v>
      </c>
      <c r="L52" s="12" t="n">
        <v>2</v>
      </c>
      <c r="M52" s="10" t="n"/>
      <c r="N52">
        <f>IF(M52="",0,INDEX(I52:L52,1,MATCH(M52,{"A","B","C","D"},0)))</f>
        <v/>
      </c>
    </row>
    <row r="53" ht="40" customHeight="1">
      <c r="A53" s="11" t="inlineStr">
        <is>
          <t>Set 10</t>
        </is>
      </c>
      <c r="B53" s="11" t="inlineStr">
        <is>
          <t>Q2</t>
        </is>
      </c>
      <c r="C53" s="7" t="inlineStr">
        <is>
          <t>Self-Regulation</t>
        </is>
      </c>
      <c r="D53" s="7" t="inlineStr">
        <is>
          <t>You're in a heated class debate and the other side makes a point that catches you off guard. What's your reaction?</t>
        </is>
      </c>
      <c r="E53" s="7" t="inlineStr">
        <is>
          <t>A) Shut down and stop participating for the rest of the debate.</t>
        </is>
      </c>
      <c r="F53" s="7" t="inlineStr">
        <is>
          <t>B) Get flustered and start talking over them to regain control.</t>
        </is>
      </c>
      <c r="G53" s="7" t="inlineStr">
        <is>
          <t>C) Take a moment to actually consider the point before responding, even if you still disagree.</t>
        </is>
      </c>
      <c r="H53" s="7" t="inlineStr">
        <is>
          <t>D) Dismiss their point without really engaging with it.</t>
        </is>
      </c>
      <c r="I53" s="12" t="n">
        <v>3</v>
      </c>
      <c r="J53" s="12" t="n">
        <v>2</v>
      </c>
      <c r="K53" s="12" t="n">
        <v>4</v>
      </c>
      <c r="L53" s="12" t="n">
        <v>3</v>
      </c>
      <c r="M53" s="10" t="n"/>
      <c r="N53">
        <f>IF(M53="",0,INDEX(I53:L53,1,MATCH(M53,{"A","B","C","D"},0)))</f>
        <v/>
      </c>
    </row>
    <row r="54" ht="40" customHeight="1">
      <c r="A54" s="11" t="inlineStr">
        <is>
          <t>Set 10</t>
        </is>
      </c>
      <c r="B54" s="11" t="inlineStr">
        <is>
          <t>Q3</t>
        </is>
      </c>
      <c r="C54" s="7" t="inlineStr">
        <is>
          <t>Motivation / Resilience</t>
        </is>
      </c>
      <c r="D54" s="7" t="inlineStr">
        <is>
          <t>You put in extra effort on an essay and still get a mediocre grade with vague feedback. What's your next step?</t>
        </is>
      </c>
      <c r="E54" s="7" t="inlineStr">
        <is>
          <t>A) Assume the teacher just doesn't like your writing style.</t>
        </is>
      </c>
      <c r="F54" s="7" t="inlineStr">
        <is>
          <t>B) Decide extra effort never pays off and stop trying as hard going forward.</t>
        </is>
      </c>
      <c r="G54" s="7" t="inlineStr">
        <is>
          <t>C) Rewrite it the exact same way for the next essay, hoping for a different result.</t>
        </is>
      </c>
      <c r="H54" s="7" t="inlineStr">
        <is>
          <t>D) Ask the teacher directly for specific ways to improve next time.</t>
        </is>
      </c>
      <c r="I54" s="12" t="n">
        <v>2</v>
      </c>
      <c r="J54" s="12" t="n">
        <v>2</v>
      </c>
      <c r="K54" s="12" t="n">
        <v>3</v>
      </c>
      <c r="L54" s="12" t="n">
        <v>4</v>
      </c>
      <c r="M54" s="10" t="n"/>
      <c r="N54">
        <f>IF(M54="",0,INDEX(I54:L54,1,MATCH(M54,{"A","B","C","D"},0)))</f>
        <v/>
      </c>
    </row>
    <row r="55" ht="40" customHeight="1">
      <c r="A55" s="11" t="inlineStr">
        <is>
          <t>Set 10</t>
        </is>
      </c>
      <c r="B55" s="11" t="inlineStr">
        <is>
          <t>Q4</t>
        </is>
      </c>
      <c r="C55" s="7" t="inlineStr">
        <is>
          <t>Empathy</t>
        </is>
      </c>
      <c r="D55" s="7" t="inlineStr">
        <is>
          <t>A friend seems increasingly withdrawn over the past few weeks but insists everything's fine when you ask. What do you do?</t>
        </is>
      </c>
      <c r="E55" s="7" t="inlineStr">
        <is>
          <t>A) Let them know gently that you've noticed a change and you're there whenever they're ready to talk.</t>
        </is>
      </c>
      <c r="F55" s="7" t="inlineStr">
        <is>
          <t>B) Keep pushing them to tell you what's wrong right now.</t>
        </is>
      </c>
      <c r="G55" s="7" t="inlineStr">
        <is>
          <t>C) Take their word for it and don't bring it up again.</t>
        </is>
      </c>
      <c r="H55" s="7" t="inlineStr">
        <is>
          <t>D) Mention your concern to their other friends instead of them directly.</t>
        </is>
      </c>
      <c r="I55" s="12" t="n">
        <v>4</v>
      </c>
      <c r="J55" s="12" t="n">
        <v>2</v>
      </c>
      <c r="K55" s="12" t="n">
        <v>3</v>
      </c>
      <c r="L55" s="12" t="n">
        <v>2</v>
      </c>
      <c r="M55" s="10" t="n"/>
      <c r="N55">
        <f>IF(M55="",0,INDEX(I55:L55,1,MATCH(M55,{"A","B","C","D"},0)))</f>
        <v/>
      </c>
    </row>
    <row r="56" ht="40" customHeight="1">
      <c r="A56" s="11" t="inlineStr">
        <is>
          <t>Set 10</t>
        </is>
      </c>
      <c r="B56" s="11" t="inlineStr">
        <is>
          <t>Q5</t>
        </is>
      </c>
      <c r="C56" s="7" t="inlineStr">
        <is>
          <t>Relationship Management</t>
        </is>
      </c>
      <c r="D56" s="7" t="inlineStr">
        <is>
          <t>You and a friend both want to be considered for the same solo opportunity (like a scholarship interview slot). How do you handle it?</t>
        </is>
      </c>
      <c r="E56" s="7" t="inlineStr">
        <is>
          <t>A) Quietly try to make yourself look better to the selectors than your friend.</t>
        </is>
      </c>
      <c r="F56" s="7" t="inlineStr">
        <is>
          <t>B) Talk openly with your friend about it so there's no awkwardness either way, and support each other regardless of outcome.</t>
        </is>
      </c>
      <c r="G56" s="7" t="inlineStr">
        <is>
          <t>C) Downplay your own interest to them while still applying secretly.</t>
        </is>
      </c>
      <c r="H56" s="7" t="inlineStr">
        <is>
          <t>D) Avoid discussing it with them at all to sidestep any tension.</t>
        </is>
      </c>
      <c r="I56" s="12" t="n">
        <v>2</v>
      </c>
      <c r="J56" s="12" t="n">
        <v>4</v>
      </c>
      <c r="K56" s="12" t="n">
        <v>3</v>
      </c>
      <c r="L56" s="12" t="n">
        <v>3</v>
      </c>
      <c r="M56" s="10" t="n"/>
      <c r="N56">
        <f>IF(M56="",0,INDEX(I56:L56,1,MATCH(M56,{"A","B","C","D"},0)))</f>
        <v/>
      </c>
    </row>
    <row r="58" ht="20" customHeight="1">
      <c r="A58" s="13" t="inlineStr">
        <is>
          <t>YOUR EI PROFILE FOR THE SELECTED SET</t>
        </is>
      </c>
    </row>
    <row r="59">
      <c r="A59" s="14" t="inlineStr">
        <is>
          <t>EI Domain</t>
        </is>
      </c>
      <c r="B59" s="14" t="inlineStr">
        <is>
          <t>Your Response Quality</t>
        </is>
      </c>
      <c r="C59" s="14" t="inlineStr">
        <is>
          <t>Score</t>
        </is>
      </c>
    </row>
    <row r="60">
      <c r="A60" s="5" t="inlineStr">
        <is>
          <t>Self-Awareness</t>
        </is>
      </c>
      <c r="B60" s="15">
        <f>IF($C$60=0,"Not answered yet",IF($C$60=4,"High",IF($C$60=3,"Moderate",IF($C$60=2,"Low","Negative"))))</f>
        <v/>
      </c>
      <c r="C60" s="15">
        <f>SUMPRODUCT(($A$7:$A$56=$B$4)*($C$7:$C$56="Self-Awareness")*$N$7:$N$56)</f>
        <v/>
      </c>
    </row>
    <row r="61">
      <c r="A61" s="5" t="inlineStr">
        <is>
          <t>Self-Regulation</t>
        </is>
      </c>
      <c r="B61" s="15">
        <f>IF($C$61=0,"Not answered yet",IF($C$61=4,"High",IF($C$61=3,"Moderate",IF($C$61=2,"Low","Negative"))))</f>
        <v/>
      </c>
      <c r="C61" s="15">
        <f>SUMPRODUCT(($A$7:$A$56=$B$4)*($C$7:$C$56="Self-Regulation")*$N$7:$N$56)</f>
        <v/>
      </c>
    </row>
    <row r="62">
      <c r="A62" s="5" t="inlineStr">
        <is>
          <t>Motivation / Resilience</t>
        </is>
      </c>
      <c r="B62" s="15">
        <f>IF($C$62=0,"Not answered yet",IF($C$62=4,"High",IF($C$62=3,"Moderate",IF($C$62=2,"Low","Negative"))))</f>
        <v/>
      </c>
      <c r="C62" s="15">
        <f>SUMPRODUCT(($A$7:$A$56=$B$4)*($C$7:$C$56="Motivation / Resilience")*$N$7:$N$56)</f>
        <v/>
      </c>
    </row>
    <row r="63">
      <c r="A63" s="5" t="inlineStr">
        <is>
          <t>Empathy</t>
        </is>
      </c>
      <c r="B63" s="15">
        <f>IF($C$63=0,"Not answered yet",IF($C$63=4,"High",IF($C$63=3,"Moderate",IF($C$63=2,"Low","Negative"))))</f>
        <v/>
      </c>
      <c r="C63" s="15">
        <f>SUMPRODUCT(($A$7:$A$56=$B$4)*($C$7:$C$56="Empathy")*$N$7:$N$56)</f>
        <v/>
      </c>
    </row>
    <row r="64">
      <c r="A64" s="5" t="inlineStr">
        <is>
          <t>Relationship Management</t>
        </is>
      </c>
      <c r="B64" s="15">
        <f>IF($C$64=0,"Not answered yet",IF($C$64=4,"High",IF($C$64=3,"Moderate",IF($C$64=2,"Low","Negative"))))</f>
        <v/>
      </c>
      <c r="C64" s="15">
        <f>SUMPRODUCT(($A$7:$A$56=$B$4)*($C$7:$C$56="Relationship Management")*$N$7:$N$56)</f>
        <v/>
      </c>
    </row>
    <row r="66" ht="20" customHeight="1">
      <c r="A66" s="16" t="inlineStr">
        <is>
          <t>QUICK SUMMARY</t>
        </is>
      </c>
    </row>
    <row r="67">
      <c r="A67" s="9" t="inlineStr">
        <is>
          <t>Strongest domain (this set):</t>
        </is>
      </c>
      <c r="B67" s="17">
        <f>IFERROR(INDEX($A$60:$A$64,MATCH(MAX($C$60:$C$64),$C$60:$C$64,0)),"Answer all 5 first")</f>
        <v/>
      </c>
    </row>
    <row r="68">
      <c r="A68" s="9" t="inlineStr">
        <is>
          <t>Growth area (this set):</t>
        </is>
      </c>
      <c r="B68" s="18">
        <f>IFERROR(INDEX($A$60:$A$64,MATCH(MIN($C$60:$C$64),$C$60:$C$64,0)),"Answer all 5 first")</f>
        <v/>
      </c>
    </row>
    <row r="70">
      <c r="A70" s="19" t="inlineStr">
        <is>
          <t>Note: this reflects ONE set (5 questions = 1 per domain), so treat it as a first read, not a verdict. Try another set on a different day and see what stays consistent.</t>
        </is>
      </c>
    </row>
  </sheetData>
  <mergeCells count="8">
    <mergeCell ref="B68:C68"/>
    <mergeCell ref="A66:C66"/>
    <mergeCell ref="A1:M1"/>
    <mergeCell ref="B67:C67"/>
    <mergeCell ref="A70:F70"/>
    <mergeCell ref="C4:H4"/>
    <mergeCell ref="A58:E58"/>
    <mergeCell ref="A2:M2"/>
  </mergeCells>
  <dataValidations count="2">
    <dataValidation sqref="B4" showDropDown="0" showInputMessage="0" showErrorMessage="1" allowBlank="0" type="list">
      <formula1>"Set 1,Set 2,Set 3,Set 4,Set 5,Set 6,Set 7,Set 8,Set 9,Set 10"</formula1>
    </dataValidation>
    <dataValidation sqref="M7 M8 M9 M10 M11 M12 M13 M14 M15 M16 M17 M18 M19 M20 M21 M22 M23 M24 M25 M26 M27 M28 M29 M30 M31 M32 M33 M34 M35 M36 M37 M38 M39 M40 M41 M42 M43 M44 M45 M46 M47 M48 M49 M50 M51 M52 M53 M54 M55 M56" showDropDown="0" showInputMessage="0" showErrorMessage="1" allowBlank="1" errorTitle="Invalid entry" error="Please enter A, B, C, or D."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6" customWidth="1" min="3" max="3"/>
    <col width="34" customWidth="1" min="4" max="4"/>
    <col width="30" customWidth="1" min="5" max="5"/>
    <col width="30" customWidth="1" min="6" max="6"/>
    <col width="30" customWidth="1" min="7" max="7"/>
    <col width="30" customWidth="1" min="8" max="8"/>
    <col hidden="1" width="13" customWidth="1" min="9" max="9"/>
    <col hidden="1" width="13" customWidth="1" min="10" max="10"/>
    <col hidden="1" width="13" customWidth="1" min="11" max="11"/>
    <col hidden="1" width="13" customWidth="1" min="12" max="12"/>
    <col width="15" customWidth="1" min="13" max="13"/>
    <col hidden="1" width="13" customWidth="1" min="14" max="14"/>
  </cols>
  <sheetData>
    <row r="1" ht="26" customHeight="1">
      <c r="A1" s="1" t="inlineStr">
        <is>
          <t>Class 11-12 (Ages 16-17) — Emotional Intelligence Assessment (10 Sets x 5 Questions)</t>
        </is>
      </c>
    </row>
    <row r="2">
      <c r="A2" s="8" t="inlineStr">
        <is>
          <t>Framework basis: CASEL / Goleman EI Framework (College-Prep Adapted)</t>
        </is>
      </c>
    </row>
    <row r="4">
      <c r="A4" s="9" t="inlineStr">
        <is>
          <t>Which set are you taking?</t>
        </is>
      </c>
      <c r="B4" s="10" t="inlineStr">
        <is>
          <t>Set 1</t>
        </is>
      </c>
      <c r="C4" s="8" t="inlineStr">
        <is>
          <t>(pick one set, then answer only that set's 5 rows below with A/B/C/D)</t>
        </is>
      </c>
    </row>
    <row r="6">
      <c r="A6" s="4" t="inlineStr">
        <is>
          <t>Set</t>
        </is>
      </c>
      <c r="B6" s="4" t="inlineStr">
        <is>
          <t>Q#</t>
        </is>
      </c>
      <c r="C6" s="4" t="inlineStr">
        <is>
          <t>Domain</t>
        </is>
      </c>
      <c r="D6" s="4" t="inlineStr">
        <is>
          <t>Scenario</t>
        </is>
      </c>
      <c r="E6" s="4" t="inlineStr">
        <is>
          <t>Option A</t>
        </is>
      </c>
      <c r="F6" s="4" t="inlineStr">
        <is>
          <t>Option B</t>
        </is>
      </c>
      <c r="G6" s="4" t="inlineStr">
        <is>
          <t>Option C</t>
        </is>
      </c>
      <c r="H6" s="4" t="inlineStr">
        <is>
          <t>Option D</t>
        </is>
      </c>
      <c r="I6" s="4" t="inlineStr">
        <is>
          <t>qA</t>
        </is>
      </c>
      <c r="J6" s="4" t="inlineStr">
        <is>
          <t>qB</t>
        </is>
      </c>
      <c r="K6" s="4" t="inlineStr">
        <is>
          <t>qC</t>
        </is>
      </c>
      <c r="L6" s="4" t="inlineStr">
        <is>
          <t>qD</t>
        </is>
      </c>
      <c r="M6" s="4" t="inlineStr">
        <is>
          <t>Your Answer (A-D)</t>
        </is>
      </c>
      <c r="N6" t="inlineStr">
        <is>
          <t>score</t>
        </is>
      </c>
    </row>
    <row r="7" ht="40" customHeight="1">
      <c r="A7" s="11" t="inlineStr">
        <is>
          <t>Set 1</t>
        </is>
      </c>
      <c r="B7" s="11" t="inlineStr">
        <is>
          <t>Q1</t>
        </is>
      </c>
      <c r="C7" s="7" t="inlineStr">
        <is>
          <t>Self-Awareness</t>
        </is>
      </c>
      <c r="D7" s="7" t="inlineStr">
        <is>
          <t>Two weeks before your entrance exam, you notice you're either overworking or completely avoiding study, with no in-between. What's your read?</t>
        </is>
      </c>
      <c r="E7" s="7" t="inlineStr">
        <is>
          <t>A) Recognise this swing pattern usually means underlying anxiety, and build a more sustainable daily structure.</t>
        </is>
      </c>
      <c r="F7" s="7" t="inlineStr">
        <is>
          <t>B) Blame the exam system for being unreasonably stressful.</t>
        </is>
      </c>
      <c r="G7" s="7" t="inlineStr">
        <is>
          <t>C) Push through the overworking phase since more hours must mean better results.</t>
        </is>
      </c>
      <c r="H7" s="7" t="inlineStr">
        <is>
          <t>D) Decide you have no self-discipline and never will.</t>
        </is>
      </c>
      <c r="I7" s="12" t="n">
        <v>4</v>
      </c>
      <c r="J7" s="12" t="n">
        <v>2</v>
      </c>
      <c r="K7" s="12" t="n">
        <v>3</v>
      </c>
      <c r="L7" s="12" t="n">
        <v>2</v>
      </c>
      <c r="M7" s="10" t="n"/>
      <c r="N7">
        <f>IF(M7="",0,INDEX(I7:L7,1,MATCH(M7,{"A","B","C","D"},0)))</f>
        <v/>
      </c>
    </row>
    <row r="8" ht="40" customHeight="1">
      <c r="A8" s="11" t="inlineStr">
        <is>
          <t>Set 1</t>
        </is>
      </c>
      <c r="B8" s="11" t="inlineStr">
        <is>
          <t>Q2</t>
        </is>
      </c>
      <c r="C8" s="7" t="inlineStr">
        <is>
          <t>Self-Regulation</t>
        </is>
      </c>
      <c r="D8" s="7" t="inlineStr">
        <is>
          <t>A close friend gets a college offer you were hoping for yourself. You feel a sharp, uncomfortable reaction. What do you do?</t>
        </is>
      </c>
      <c r="E8" s="7" t="inlineStr">
        <is>
          <t>A) Make an offhand comment implying their offer wasn't that impressive.</t>
        </is>
      </c>
      <c r="F8" s="7" t="inlineStr">
        <is>
          <t>B) Notice the envy, let yourself feel it privately, and still congratulate them genuinely.</t>
        </is>
      </c>
      <c r="G8" s="7" t="inlineStr">
        <is>
          <t>C) Avoid the topic completely whenever it comes up around them.</t>
        </is>
      </c>
      <c r="H8" s="7" t="inlineStr">
        <is>
          <t>D) Distance yourself from them without explanation until the feeling passes.</t>
        </is>
      </c>
      <c r="I8" s="12" t="n">
        <v>2</v>
      </c>
      <c r="J8" s="12" t="n">
        <v>4</v>
      </c>
      <c r="K8" s="12" t="n">
        <v>3</v>
      </c>
      <c r="L8" s="12" t="n">
        <v>3</v>
      </c>
      <c r="M8" s="10" t="n"/>
      <c r="N8">
        <f>IF(M8="",0,INDEX(I8:L8,1,MATCH(M8,{"A","B","C","D"},0)))</f>
        <v/>
      </c>
    </row>
    <row r="9" ht="40" customHeight="1">
      <c r="A9" s="11" t="inlineStr">
        <is>
          <t>Set 1</t>
        </is>
      </c>
      <c r="B9" s="11" t="inlineStr">
        <is>
          <t>Q3</t>
        </is>
      </c>
      <c r="C9" s="7" t="inlineStr">
        <is>
          <t>Motivation / Resilience</t>
        </is>
      </c>
      <c r="D9" s="7" t="inlineStr">
        <is>
          <t>You score well below your target in a mock test series with the real exam a month away. What's your approach?</t>
        </is>
      </c>
      <c r="E9" s="7" t="inlineStr">
        <is>
          <t>A) Decide mock tests don't reflect real exam performance anyway.</t>
        </is>
      </c>
      <c r="F9" s="7" t="inlineStr">
        <is>
          <t>B) Conclude your target college is now out of reach and lower your ambitions immediately.</t>
        </is>
      </c>
      <c r="G9" s="7" t="inlineStr">
        <is>
          <t>C) Break down the mock test by section to identify exactly where you're losing marks, and adjust your last month's plan.</t>
        </is>
      </c>
      <c r="H9" s="7" t="inlineStr">
        <is>
          <t>D) Take another mock test the very next day without changing anything.</t>
        </is>
      </c>
      <c r="I9" s="12" t="n">
        <v>2</v>
      </c>
      <c r="J9" s="12" t="n">
        <v>2</v>
      </c>
      <c r="K9" s="12" t="n">
        <v>4</v>
      </c>
      <c r="L9" s="12" t="n">
        <v>3</v>
      </c>
      <c r="M9" s="10" t="n"/>
      <c r="N9">
        <f>IF(M9="",0,INDEX(I9:L9,1,MATCH(M9,{"A","B","C","D"},0)))</f>
        <v/>
      </c>
    </row>
    <row r="10" ht="40" customHeight="1">
      <c r="A10" s="11" t="inlineStr">
        <is>
          <t>Set 1</t>
        </is>
      </c>
      <c r="B10" s="11" t="inlineStr">
        <is>
          <t>Q4</t>
        </is>
      </c>
      <c r="C10" s="7" t="inlineStr">
        <is>
          <t>Empathy</t>
        </is>
      </c>
      <c r="D10" s="7" t="inlineStr">
        <is>
          <t>A classmate who's usually competitive with you seems visibly deflated after a bad result. What's your move?</t>
        </is>
      </c>
      <c r="E10" s="7" t="inlineStr">
        <is>
          <t>A) Feel a quiet sense of relief since you're ahead of them now.</t>
        </is>
      </c>
      <c r="F10" s="7" t="inlineStr">
        <is>
          <t>B) Say nothing, since your relationship has always been about competition, not support.</t>
        </is>
      </c>
      <c r="G10" s="7" t="inlineStr">
        <is>
          <t>C) Offer generic encouragement without really checking in on how they're feeling.</t>
        </is>
      </c>
      <c r="H10" s="7" t="inlineStr">
        <is>
          <t>D) Set the rivalry aside for a moment and ask if they're doing okay.</t>
        </is>
      </c>
      <c r="I10" s="12" t="n">
        <v>1</v>
      </c>
      <c r="J10" s="12" t="n">
        <v>3</v>
      </c>
      <c r="K10" s="12" t="n">
        <v>3</v>
      </c>
      <c r="L10" s="12" t="n">
        <v>4</v>
      </c>
      <c r="M10" s="10" t="n"/>
      <c r="N10">
        <f>IF(M10="",0,INDEX(I10:L10,1,MATCH(M10,{"A","B","C","D"},0)))</f>
        <v/>
      </c>
    </row>
    <row r="11" ht="40" customHeight="1">
      <c r="A11" s="11" t="inlineStr">
        <is>
          <t>Set 1</t>
        </is>
      </c>
      <c r="B11" s="11" t="inlineStr">
        <is>
          <t>Q5</t>
        </is>
      </c>
      <c r="C11" s="7" t="inlineStr">
        <is>
          <t>Relationship Management</t>
        </is>
      </c>
      <c r="D11" s="7" t="inlineStr">
        <is>
          <t>As student council member, you need to push back on an unpopular decision made by the principal's office, while representing student concerns. How do you approach it?</t>
        </is>
      </c>
      <c r="E11" s="7" t="inlineStr">
        <is>
          <t>A) Request a meeting, come with organised student feedback, and propose a specific alternative.</t>
        </is>
      </c>
      <c r="F11" s="7" t="inlineStr">
        <is>
          <t>B) Rally students to protest loudly before attempting any direct conversation.</t>
        </is>
      </c>
      <c r="G11" s="7" t="inlineStr">
        <is>
          <t>C) Post about the unfairness on social media without addressing it internally first.</t>
        </is>
      </c>
      <c r="H11" s="7" t="inlineStr">
        <is>
          <t>D) Avoid raising it since challenging authority feels too risky.</t>
        </is>
      </c>
      <c r="I11" s="12" t="n">
        <v>4</v>
      </c>
      <c r="J11" s="12" t="n">
        <v>2</v>
      </c>
      <c r="K11" s="12" t="n">
        <v>2</v>
      </c>
      <c r="L11" s="12" t="n">
        <v>3</v>
      </c>
      <c r="M11" s="10" t="n"/>
      <c r="N11">
        <f>IF(M11="",0,INDEX(I11:L11,1,MATCH(M11,{"A","B","C","D"},0)))</f>
        <v/>
      </c>
    </row>
    <row r="12" ht="40" customHeight="1">
      <c r="A12" s="11" t="inlineStr">
        <is>
          <t>Set 2</t>
        </is>
      </c>
      <c r="B12" s="11" t="inlineStr">
        <is>
          <t>Q1</t>
        </is>
      </c>
      <c r="C12" s="7" t="inlineStr">
        <is>
          <t>Self-Awareness</t>
        </is>
      </c>
      <c r="D12" s="7" t="inlineStr">
        <is>
          <t>You find yourself checking your phone every few minutes during a study session, even though you know it's hurting your focus. What's the honest read?</t>
        </is>
      </c>
      <c r="E12" s="7" t="inlineStr">
        <is>
          <t>A) Tell yourself it's fine since you're 'multitasking'.</t>
        </is>
      </c>
      <c r="F12" s="7" t="inlineStr">
        <is>
          <t>B) Recognise it's a dopamine-seeking habit under stress, and try a structured focus/break system instead.</t>
        </is>
      </c>
      <c r="G12" s="7" t="inlineStr">
        <is>
          <t>C) Feel vaguely guilty about it but keep the phone within reach anyway.</t>
        </is>
      </c>
      <c r="H12" s="7" t="inlineStr">
        <is>
          <t>D) Decide you simply don't have the willpower to be a serious student.</t>
        </is>
      </c>
      <c r="I12" s="12" t="n">
        <v>2</v>
      </c>
      <c r="J12" s="12" t="n">
        <v>4</v>
      </c>
      <c r="K12" s="12" t="n">
        <v>3</v>
      </c>
      <c r="L12" s="12" t="n">
        <v>2</v>
      </c>
      <c r="M12" s="10" t="n"/>
      <c r="N12">
        <f>IF(M12="",0,INDEX(I12:L12,1,MATCH(M12,{"A","B","C","D"},0)))</f>
        <v/>
      </c>
    </row>
    <row r="13" ht="40" customHeight="1">
      <c r="A13" s="11" t="inlineStr">
        <is>
          <t>Set 2</t>
        </is>
      </c>
      <c r="B13" s="11" t="inlineStr">
        <is>
          <t>Q2</t>
        </is>
      </c>
      <c r="C13" s="7" t="inlineStr">
        <is>
          <t>Self-Regulation</t>
        </is>
      </c>
      <c r="D13" s="7" t="inlineStr">
        <is>
          <t>A teacher dismisses a genuine doubt you raised in class as 'obvious', and a few classmates snicker. What's your in-the-moment response?</t>
        </is>
      </c>
      <c r="E13" s="7" t="inlineStr">
        <is>
          <t>A) Stop asking questions in that class for the rest of the term.</t>
        </is>
      </c>
      <c r="F13" s="7" t="inlineStr">
        <is>
          <t>B) Snap back defensively in front of the class.</t>
        </is>
      </c>
      <c r="G13" s="7" t="inlineStr">
        <is>
          <t>C) Let it go in the moment, and if the doubt is still unresolved, ask the teacher privately after class.</t>
        </is>
      </c>
      <c r="H13" s="7" t="inlineStr">
        <is>
          <t>D) Complain loudly to classmates about the teacher afterward.</t>
        </is>
      </c>
      <c r="I13" s="12" t="n">
        <v>3</v>
      </c>
      <c r="J13" s="12" t="n">
        <v>2</v>
      </c>
      <c r="K13" s="12" t="n">
        <v>4</v>
      </c>
      <c r="L13" s="12" t="n">
        <v>3</v>
      </c>
      <c r="M13" s="10" t="n"/>
      <c r="N13">
        <f>IF(M13="",0,INDEX(I13:L13,1,MATCH(M13,{"A","B","C","D"},0)))</f>
        <v/>
      </c>
    </row>
    <row r="14" ht="40" customHeight="1">
      <c r="A14" s="11" t="inlineStr">
        <is>
          <t>Set 2</t>
        </is>
      </c>
      <c r="B14" s="11" t="inlineStr">
        <is>
          <t>Q3</t>
        </is>
      </c>
      <c r="C14" s="7" t="inlineStr">
        <is>
          <t>Motivation / Resilience</t>
        </is>
      </c>
      <c r="D14" s="7" t="inlineStr">
        <is>
          <t>Your application essay for a college program gets rejected by a mentor's harsh first read. What's your next move?</t>
        </is>
      </c>
      <c r="E14" s="7" t="inlineStr">
        <is>
          <t>A) Submit it as-is anyway since you're tired of revising.</t>
        </is>
      </c>
      <c r="F14" s="7" t="inlineStr">
        <is>
          <t>B) Assume the mentor just has different taste and ignore the feedback.</t>
        </is>
      </c>
      <c r="G14" s="7" t="inlineStr">
        <is>
          <t>C) Decide you're a bad writer and ask someone else to write it for you.</t>
        </is>
      </c>
      <c r="H14" s="7" t="inlineStr">
        <is>
          <t>D) Ask for specific line-by-line feedback and revise it methodically over several drafts.</t>
        </is>
      </c>
      <c r="I14" s="12" t="n">
        <v>3</v>
      </c>
      <c r="J14" s="12" t="n">
        <v>2</v>
      </c>
      <c r="K14" s="12" t="n">
        <v>2</v>
      </c>
      <c r="L14" s="12" t="n">
        <v>4</v>
      </c>
      <c r="M14" s="10" t="n"/>
      <c r="N14">
        <f>IF(M14="",0,INDEX(I14:L14,1,MATCH(M14,{"A","B","C","D"},0)))</f>
        <v/>
      </c>
    </row>
    <row r="15" ht="40" customHeight="1">
      <c r="A15" s="11" t="inlineStr">
        <is>
          <t>Set 2</t>
        </is>
      </c>
      <c r="B15" s="11" t="inlineStr">
        <is>
          <t>Q4</t>
        </is>
      </c>
      <c r="C15" s="7" t="inlineStr">
        <is>
          <t>Empathy</t>
        </is>
      </c>
      <c r="D15" s="7" t="inlineStr">
        <is>
          <t>A junior nervously approaches you for advice on handling a difficult teacher, clearly worried about repercussions. What's your approach?</t>
        </is>
      </c>
      <c r="E15" s="7" t="inlineStr">
        <is>
          <t>A) Take their concern seriously, ask follow-up questions, and share what's actually worked for you.</t>
        </is>
      </c>
      <c r="F15" s="7" t="inlineStr">
        <is>
          <t>B) Tell them to just deal with it since everyone has difficult teachers.</t>
        </is>
      </c>
      <c r="G15" s="7" t="inlineStr">
        <is>
          <t>C) Give a quick, generic answer to move the conversation along.</t>
        </is>
      </c>
      <c r="H15" s="7" t="inlineStr">
        <is>
          <t>D) Brush it off since it's not really your problem to solve.</t>
        </is>
      </c>
      <c r="I15" s="12" t="n">
        <v>4</v>
      </c>
      <c r="J15" s="12" t="n">
        <v>2</v>
      </c>
      <c r="K15" s="12" t="n">
        <v>3</v>
      </c>
      <c r="L15" s="12" t="n">
        <v>2</v>
      </c>
      <c r="M15" s="10" t="n"/>
      <c r="N15">
        <f>IF(M15="",0,INDEX(I15:L15,1,MATCH(M15,{"A","B","C","D"},0)))</f>
        <v/>
      </c>
    </row>
    <row r="16" ht="40" customHeight="1">
      <c r="A16" s="11" t="inlineStr">
        <is>
          <t>Set 2</t>
        </is>
      </c>
      <c r="B16" s="11" t="inlineStr">
        <is>
          <t>Q5</t>
        </is>
      </c>
      <c r="C16" s="7" t="inlineStr">
        <is>
          <t>Relationship Management</t>
        </is>
      </c>
      <c r="D16" s="7" t="inlineStr">
        <is>
          <t>Your project group is relying heavily on one member who keeps missing deadlines, putting the whole grade at risk close to submission. How do you handle it?</t>
        </is>
      </c>
      <c r="E16" s="7" t="inlineStr">
        <is>
          <t>A) Quietly redo their part yourself without saying anything to them.</t>
        </is>
      </c>
      <c r="F16" s="7" t="inlineStr">
        <is>
          <t>B) Have a direct but respectful conversation about the risk, and agree on a concrete revised plan together.</t>
        </is>
      </c>
      <c r="G16" s="7" t="inlineStr">
        <is>
          <t>C) Vent about them to the rest of the group without addressing it with the person directly.</t>
        </is>
      </c>
      <c r="H16" s="7" t="inlineStr">
        <is>
          <t>D) Report them to the teacher immediately without talking to them first.</t>
        </is>
      </c>
      <c r="I16" s="12" t="n">
        <v>3</v>
      </c>
      <c r="J16" s="12" t="n">
        <v>4</v>
      </c>
      <c r="K16" s="12" t="n">
        <v>2</v>
      </c>
      <c r="L16" s="12" t="n">
        <v>2</v>
      </c>
      <c r="M16" s="10" t="n"/>
      <c r="N16">
        <f>IF(M16="",0,INDEX(I16:L16,1,MATCH(M16,{"A","B","C","D"},0)))</f>
        <v/>
      </c>
    </row>
    <row r="17" ht="40" customHeight="1">
      <c r="A17" s="11" t="inlineStr">
        <is>
          <t>Set 3</t>
        </is>
      </c>
      <c r="B17" s="11" t="inlineStr">
        <is>
          <t>Q1</t>
        </is>
      </c>
      <c r="C17" s="7" t="inlineStr">
        <is>
          <t>Self-Awareness</t>
        </is>
      </c>
      <c r="D17" s="7" t="inlineStr">
        <is>
          <t>You notice you're more irritable in weeks when you've been skipping meals or sleep due to studying. What's your takeaway?</t>
        </is>
      </c>
      <c r="E17" s="7" t="inlineStr">
        <is>
          <t>A) Push through the exhaustion since results matter more right now.</t>
        </is>
      </c>
      <c r="F17" s="7" t="inlineStr">
        <is>
          <t>B) Blame your family for not understanding how stressed you are.</t>
        </is>
      </c>
      <c r="G17" s="7" t="inlineStr">
        <is>
          <t>C) Connect the irritability to specific physical habits, and prioritise sleep/meals even during intense study periods.</t>
        </is>
      </c>
      <c r="H17" s="7" t="inlineStr">
        <is>
          <t>D) Decide you're just naturally short-tempered under academic stress.</t>
        </is>
      </c>
      <c r="I17" s="12" t="n">
        <v>3</v>
      </c>
      <c r="J17" s="12" t="n">
        <v>2</v>
      </c>
      <c r="K17" s="12" t="n">
        <v>4</v>
      </c>
      <c r="L17" s="12" t="n">
        <v>2</v>
      </c>
      <c r="M17" s="10" t="n"/>
      <c r="N17">
        <f>IF(M17="",0,INDEX(I17:L17,1,MATCH(M17,{"A","B","C","D"},0)))</f>
        <v/>
      </c>
    </row>
    <row r="18" ht="40" customHeight="1">
      <c r="A18" s="11" t="inlineStr">
        <is>
          <t>Set 3</t>
        </is>
      </c>
      <c r="B18" s="11" t="inlineStr">
        <is>
          <t>Q2</t>
        </is>
      </c>
      <c r="C18" s="7" t="inlineStr">
        <is>
          <t>Self-Regulation</t>
        </is>
      </c>
      <c r="D18" s="7" t="inlineStr">
        <is>
          <t>You're waitlisted for a college you really wanted, and the news comes right before a family gathering where relatives will ask about it. What do you do?</t>
        </is>
      </c>
      <c r="E18" s="7" t="inlineStr">
        <is>
          <t>A) Avoid the gathering entirely to dodge the questions.</t>
        </is>
      </c>
      <c r="F18" s="7" t="inlineStr">
        <is>
          <t>B) Snap irritably at the first relative who brings it up.</t>
        </is>
      </c>
      <c r="G18" s="7" t="inlineStr">
        <is>
          <t>C) Lie about the outcome to avoid an uncomfortable conversation.</t>
        </is>
      </c>
      <c r="H18" s="7" t="inlineStr">
        <is>
          <t>D) Prepare a calm, brief response in advance so you're not caught off guard by the questions.</t>
        </is>
      </c>
      <c r="I18" s="12" t="n">
        <v>3</v>
      </c>
      <c r="J18" s="12" t="n">
        <v>2</v>
      </c>
      <c r="K18" s="12" t="n">
        <v>2</v>
      </c>
      <c r="L18" s="12" t="n">
        <v>4</v>
      </c>
      <c r="M18" s="10" t="n"/>
      <c r="N18">
        <f>IF(M18="",0,INDEX(I18:L18,1,MATCH(M18,{"A","B","C","D"},0)))</f>
        <v/>
      </c>
    </row>
    <row r="19" ht="40" customHeight="1">
      <c r="A19" s="11" t="inlineStr">
        <is>
          <t>Set 3</t>
        </is>
      </c>
      <c r="B19" s="11" t="inlineStr">
        <is>
          <t>Q3</t>
        </is>
      </c>
      <c r="C19" s="7" t="inlineStr">
        <is>
          <t>Motivation / Resilience</t>
        </is>
      </c>
      <c r="D19" s="7" t="inlineStr">
        <is>
          <t>You've applied to five colleges and received two rejections in the same week. What's your mindset going into the remaining decisions?</t>
        </is>
      </c>
      <c r="E19" s="7" t="inlineStr">
        <is>
          <t>A) Remind yourself that admissions decisions involve factors outside your control, and stay focused on what you can still influence.</t>
        </is>
      </c>
      <c r="F19" s="7" t="inlineStr">
        <is>
          <t>B) Decide the whole college admissions process is fundamentally broken and unfair.</t>
        </is>
      </c>
      <c r="G19" s="7" t="inlineStr">
        <is>
          <t>C) Assume the rejections predict how the rest will go and mentally prepare for failure.</t>
        </is>
      </c>
      <c r="H19" s="7" t="inlineStr">
        <is>
          <t>D) Stop checking your application statuses altogether to avoid more disappointment.</t>
        </is>
      </c>
      <c r="I19" s="12" t="n">
        <v>4</v>
      </c>
      <c r="J19" s="12" t="n">
        <v>2</v>
      </c>
      <c r="K19" s="12" t="n">
        <v>2</v>
      </c>
      <c r="L19" s="12" t="n">
        <v>3</v>
      </c>
      <c r="M19" s="10" t="n"/>
      <c r="N19">
        <f>IF(M19="",0,INDEX(I19:L19,1,MATCH(M19,{"A","B","C","D"},0)))</f>
        <v/>
      </c>
    </row>
    <row r="20" ht="40" customHeight="1">
      <c r="A20" s="11" t="inlineStr">
        <is>
          <t>Set 3</t>
        </is>
      </c>
      <c r="B20" s="11" t="inlineStr">
        <is>
          <t>Q4</t>
        </is>
      </c>
      <c r="C20" s="7" t="inlineStr">
        <is>
          <t>Empathy</t>
        </is>
      </c>
      <c r="D20" s="7" t="inlineStr">
        <is>
          <t>A close friend confides they're under intense pressure from their parents about career choice, and it's affecting their mental health. What's your response?</t>
        </is>
      </c>
      <c r="E20" s="7" t="inlineStr">
        <is>
          <t>A) Change the subject since it feels like a heavy conversation to have.</t>
        </is>
      </c>
      <c r="F20" s="7" t="inlineStr">
        <is>
          <t>B) Listen without immediately jumping to advice, and ask what kind of support would actually help them.</t>
        </is>
      </c>
      <c r="G20" s="7" t="inlineStr">
        <is>
          <t>C) Tell them to just talk to their parents and it'll probably resolve itself.</t>
        </is>
      </c>
      <c r="H20" s="7" t="inlineStr">
        <is>
          <t>D) Share your own similar (or different) experience at length instead of focusing on theirs.</t>
        </is>
      </c>
      <c r="I20" s="12" t="n">
        <v>2</v>
      </c>
      <c r="J20" s="12" t="n">
        <v>4</v>
      </c>
      <c r="K20" s="12" t="n">
        <v>3</v>
      </c>
      <c r="L20" s="12" t="n">
        <v>3</v>
      </c>
      <c r="M20" s="10" t="n"/>
      <c r="N20">
        <f>IF(M20="",0,INDEX(I20:L20,1,MATCH(M20,{"A","B","C","D"},0)))</f>
        <v/>
      </c>
    </row>
    <row r="21" ht="40" customHeight="1">
      <c r="A21" s="11" t="inlineStr">
        <is>
          <t>Set 3</t>
        </is>
      </c>
      <c r="B21" s="11" t="inlineStr">
        <is>
          <t>Q5</t>
        </is>
      </c>
      <c r="C21" s="7" t="inlineStr">
        <is>
          <t>Relationship Management</t>
        </is>
      </c>
      <c r="D21" s="7" t="inlineStr">
        <is>
          <t>You're chosen to lead a fundraiser for a school cause, but two senior members openly resent taking instructions from you. How do you handle it?</t>
        </is>
      </c>
      <c r="E21" s="7" t="inlineStr">
        <is>
          <t>A) Avoid giving them any responsibilities to sidestep the friction.</t>
        </is>
      </c>
      <c r="F21" s="7" t="inlineStr">
        <is>
          <t>B) Assert your authority forcefully to make sure they follow your lead.</t>
        </is>
      </c>
      <c r="G21" s="7" t="inlineStr">
        <is>
          <t>C) Have an early one-on-one with each of them to understand their concerns and find ways to use their strengths.</t>
        </is>
      </c>
      <c r="H21" s="7" t="inlineStr">
        <is>
          <t>D) Complain to the teacher-in-charge about their attitude without addressing it directly first.</t>
        </is>
      </c>
      <c r="I21" s="12" t="n">
        <v>3</v>
      </c>
      <c r="J21" s="12" t="n">
        <v>2</v>
      </c>
      <c r="K21" s="12" t="n">
        <v>4</v>
      </c>
      <c r="L21" s="12" t="n">
        <v>3</v>
      </c>
      <c r="M21" s="10" t="n"/>
      <c r="N21">
        <f>IF(M21="",0,INDEX(I21:L21,1,MATCH(M21,{"A","B","C","D"},0)))</f>
        <v/>
      </c>
    </row>
    <row r="22" ht="40" customHeight="1">
      <c r="A22" s="11" t="inlineStr">
        <is>
          <t>Set 4</t>
        </is>
      </c>
      <c r="B22" s="11" t="inlineStr">
        <is>
          <t>Q1</t>
        </is>
      </c>
      <c r="C22" s="7" t="inlineStr">
        <is>
          <t>Self-Awareness</t>
        </is>
      </c>
      <c r="D22" s="7" t="inlineStr">
        <is>
          <t>You catch yourself assuming the worst (failing, embarrassment) before every important exam, even ones you're usually good at. What's the pattern?</t>
        </is>
      </c>
      <c r="E22" s="7" t="inlineStr">
        <is>
          <t>A) Avoid thinking about the exam at all until the last minute.</t>
        </is>
      </c>
      <c r="F22" s="7" t="inlineStr">
        <is>
          <t>B) Decide you're just a pessimist and there's nothing you can do about it.</t>
        </is>
      </c>
      <c r="G22" s="7" t="inlineStr">
        <is>
          <t>C) Try to suppress the thought entirely without addressing why it keeps coming up.</t>
        </is>
      </c>
      <c r="H22" s="7" t="inlineStr">
        <is>
          <t>D) Notice this as a recurring anxious thought pattern, and try reality-checking it against your actual track record.</t>
        </is>
      </c>
      <c r="I22" s="12" t="n">
        <v>2</v>
      </c>
      <c r="J22" s="12" t="n">
        <v>2</v>
      </c>
      <c r="K22" s="12" t="n">
        <v>3</v>
      </c>
      <c r="L22" s="12" t="n">
        <v>4</v>
      </c>
      <c r="M22" s="10" t="n"/>
      <c r="N22">
        <f>IF(M22="",0,INDEX(I22:L22,1,MATCH(M22,{"A","B","C","D"},0)))</f>
        <v/>
      </c>
    </row>
    <row r="23" ht="40" customHeight="1">
      <c r="A23" s="11" t="inlineStr">
        <is>
          <t>Set 4</t>
        </is>
      </c>
      <c r="B23" s="11" t="inlineStr">
        <is>
          <t>Q2</t>
        </is>
      </c>
      <c r="C23" s="7" t="inlineStr">
        <is>
          <t>Self-Regulation</t>
        </is>
      </c>
      <c r="D23" s="7" t="inlineStr">
        <is>
          <t>A friend group chat is planning something during a time you'd already committed to intensive exam prep, and there's pressure to join. What do you do?</t>
        </is>
      </c>
      <c r="E23" s="7" t="inlineStr">
        <is>
          <t>A) Politely decline, explain your reason briefly, and suggest an alternative time to meet.</t>
        </is>
      </c>
      <c r="F23" s="7" t="inlineStr">
        <is>
          <t>B) Agree to join but then bail last-minute without notice.</t>
        </is>
      </c>
      <c r="G23" s="7" t="inlineStr">
        <is>
          <t>C) Go silent in the chat and don't respond either way.</t>
        </is>
      </c>
      <c r="H23" s="7" t="inlineStr">
        <is>
          <t>D) Cave in and join anyway, then feel resentful about lost study time.</t>
        </is>
      </c>
      <c r="I23" s="12" t="n">
        <v>4</v>
      </c>
      <c r="J23" s="12" t="n">
        <v>2</v>
      </c>
      <c r="K23" s="12" t="n">
        <v>3</v>
      </c>
      <c r="L23" s="12" t="n">
        <v>2</v>
      </c>
      <c r="M23" s="10" t="n"/>
      <c r="N23">
        <f>IF(M23="",0,INDEX(I23:L23,1,MATCH(M23,{"A","B","C","D"},0)))</f>
        <v/>
      </c>
    </row>
    <row r="24" ht="40" customHeight="1">
      <c r="A24" s="11" t="inlineStr">
        <is>
          <t>Set 4</t>
        </is>
      </c>
      <c r="B24" s="11" t="inlineStr">
        <is>
          <t>Q3</t>
        </is>
      </c>
      <c r="C24" s="7" t="inlineStr">
        <is>
          <t>Motivation / Resilience</t>
        </is>
      </c>
      <c r="D24" s="7" t="inlineStr">
        <is>
          <t>You've been rejected from a summer research program you spent weeks preparing an application for. What's your next step?</t>
        </is>
      </c>
      <c r="E24" s="7" t="inlineStr">
        <is>
          <t>A) Reapply to the exact same program next cycle without changing your approach.</t>
        </is>
      </c>
      <c r="F24" s="7" t="inlineStr">
        <is>
          <t>B) Reach out to the program for feedback if possible, and look for a smaller-scale way to gain similar experience.</t>
        </is>
      </c>
      <c r="G24" s="7" t="inlineStr">
        <is>
          <t>C) Assume the selection process was based on connections rather than merit.</t>
        </is>
      </c>
      <c r="H24" s="7" t="inlineStr">
        <is>
          <t>D) Decide research isn't for you and rule it out as a future direction entirely.</t>
        </is>
      </c>
      <c r="I24" s="12" t="n">
        <v>3</v>
      </c>
      <c r="J24" s="12" t="n">
        <v>4</v>
      </c>
      <c r="K24" s="12" t="n">
        <v>2</v>
      </c>
      <c r="L24" s="12" t="n">
        <v>2</v>
      </c>
      <c r="M24" s="10" t="n"/>
      <c r="N24">
        <f>IF(M24="",0,INDEX(I24:L24,1,MATCH(M24,{"A","B","C","D"},0)))</f>
        <v/>
      </c>
    </row>
    <row r="25" ht="40" customHeight="1">
      <c r="A25" s="11" t="inlineStr">
        <is>
          <t>Set 4</t>
        </is>
      </c>
      <c r="B25" s="11" t="inlineStr">
        <is>
          <t>Q4</t>
        </is>
      </c>
      <c r="C25" s="7" t="inlineStr">
        <is>
          <t>Empathy</t>
        </is>
      </c>
      <c r="D25" s="7" t="inlineStr">
        <is>
          <t>A classmate who recently moved from another city seems to be struggling to fit into established friend groups. What's your approach?</t>
        </is>
      </c>
      <c r="E25" s="7" t="inlineStr">
        <is>
          <t>A) Feel bad for them but don't actually do anything differently.</t>
        </is>
      </c>
      <c r="F25" s="7" t="inlineStr">
        <is>
          <t>B) Ask them directly why they're struggling to make friends.</t>
        </is>
      </c>
      <c r="G25" s="7" t="inlineStr">
        <is>
          <t>C) Make a genuine effort to include them in plans without making it feel like charity.</t>
        </is>
      </c>
      <c r="H25" s="7" t="inlineStr">
        <is>
          <t>D) Assume they'll figure it out on their own eventually.</t>
        </is>
      </c>
      <c r="I25" s="12" t="n">
        <v>2</v>
      </c>
      <c r="J25" s="12" t="n">
        <v>2</v>
      </c>
      <c r="K25" s="12" t="n">
        <v>4</v>
      </c>
      <c r="L25" s="12" t="n">
        <v>3</v>
      </c>
      <c r="M25" s="10" t="n"/>
      <c r="N25">
        <f>IF(M25="",0,INDEX(I25:L25,1,MATCH(M25,{"A","B","C","D"},0)))</f>
        <v/>
      </c>
    </row>
    <row r="26" ht="40" customHeight="1">
      <c r="A26" s="11" t="inlineStr">
        <is>
          <t>Set 4</t>
        </is>
      </c>
      <c r="B26" s="11" t="inlineStr">
        <is>
          <t>Q5</t>
        </is>
      </c>
      <c r="C26" s="7" t="inlineStr">
        <is>
          <t>Relationship Management</t>
        </is>
      </c>
      <c r="D26" s="7" t="inlineStr">
        <is>
          <t>You and your best friend are applying to the same competitive college program, and it's starting to create quiet tension between you. How do you address it?</t>
        </is>
      </c>
      <c r="E26" s="7" t="inlineStr">
        <is>
          <t>A) Downplay your own effort around them to avoid seeming like competition.</t>
        </is>
      </c>
      <c r="F26" s="7" t="inlineStr">
        <is>
          <t>B) Secretly start keeping your prep strategies from them.</t>
        </is>
      </c>
      <c r="G26" s="7" t="inlineStr">
        <is>
          <t>C) Avoid discussing the topic altogether and hope the tension fades on its own.</t>
        </is>
      </c>
      <c r="H26" s="7" t="inlineStr">
        <is>
          <t>D) Name the tension directly and agree on how you both want to handle it, win or lose.</t>
        </is>
      </c>
      <c r="I26" s="12" t="n">
        <v>3</v>
      </c>
      <c r="J26" s="12" t="n">
        <v>2</v>
      </c>
      <c r="K26" s="12" t="n">
        <v>3</v>
      </c>
      <c r="L26" s="12" t="n">
        <v>4</v>
      </c>
      <c r="M26" s="10" t="n"/>
      <c r="N26">
        <f>IF(M26="",0,INDEX(I26:L26,1,MATCH(M26,{"A","B","C","D"},0)))</f>
        <v/>
      </c>
    </row>
    <row r="27" ht="40" customHeight="1">
      <c r="A27" s="11" t="inlineStr">
        <is>
          <t>Set 5</t>
        </is>
      </c>
      <c r="B27" s="11" t="inlineStr">
        <is>
          <t>Q1</t>
        </is>
      </c>
      <c r="C27" s="7" t="inlineStr">
        <is>
          <t>Self-Awareness</t>
        </is>
      </c>
      <c r="D27" s="7" t="inlineStr">
        <is>
          <t>You realise you feel a strange sense of relief whenever a class or activity gets cancelled, even ones you claim to enjoy. What might this mean?</t>
        </is>
      </c>
      <c r="E27" s="7" t="inlineStr">
        <is>
          <t>A) Consider whether you're more overloaded than you've been admitting, and reassess your commitments.</t>
        </is>
      </c>
      <c r="F27" s="7" t="inlineStr">
        <is>
          <t>B) Ignore the feeling since cancellations are rare anyway.</t>
        </is>
      </c>
      <c r="G27" s="7" t="inlineStr">
        <is>
          <t>C) Feel guilty about the relief without exploring why you feel it.</t>
        </is>
      </c>
      <c r="H27" s="7" t="inlineStr">
        <is>
          <t>D) Decide you're just lazy and leave it at that.</t>
        </is>
      </c>
      <c r="I27" s="12" t="n">
        <v>4</v>
      </c>
      <c r="J27" s="12" t="n">
        <v>3</v>
      </c>
      <c r="K27" s="12" t="n">
        <v>3</v>
      </c>
      <c r="L27" s="12" t="n">
        <v>2</v>
      </c>
      <c r="M27" s="10" t="n"/>
      <c r="N27">
        <f>IF(M27="",0,INDEX(I27:L27,1,MATCH(M27,{"A","B","C","D"},0)))</f>
        <v/>
      </c>
    </row>
    <row r="28" ht="40" customHeight="1">
      <c r="A28" s="11" t="inlineStr">
        <is>
          <t>Set 5</t>
        </is>
      </c>
      <c r="B28" s="11" t="inlineStr">
        <is>
          <t>Q2</t>
        </is>
      </c>
      <c r="C28" s="7" t="inlineStr">
        <is>
          <t>Self-Regulation</t>
        </is>
      </c>
      <c r="D28" s="7" t="inlineStr">
        <is>
          <t>A group project teammate publicly takes credit for an idea that was actually yours, in front of the teacher. What's your response in that moment?</t>
        </is>
      </c>
      <c r="E28" s="7" t="inlineStr">
        <is>
          <t>A) Say nothing at all and let it go completely, even though it bothers you.</t>
        </is>
      </c>
      <c r="F28" s="7" t="inlineStr">
        <is>
          <t>B) Let the moment pass, then calmly clarify your contribution with the teacher afterward, and address it with the teammate separately.</t>
        </is>
      </c>
      <c r="G28" s="7" t="inlineStr">
        <is>
          <t>C) Stop contributing ideas to the group from that point on.</t>
        </is>
      </c>
      <c r="H28" s="7" t="inlineStr">
        <is>
          <t>D) Interrupt loudly to correct them in front of everyone.</t>
        </is>
      </c>
      <c r="I28" s="12" t="n">
        <v>3</v>
      </c>
      <c r="J28" s="12" t="n">
        <v>4</v>
      </c>
      <c r="K28" s="12" t="n">
        <v>3</v>
      </c>
      <c r="L28" s="12" t="n">
        <v>2</v>
      </c>
      <c r="M28" s="10" t="n"/>
      <c r="N28">
        <f>IF(M28="",0,INDEX(I28:L28,1,MATCH(M28,{"A","B","C","D"},0)))</f>
        <v/>
      </c>
    </row>
    <row r="29" ht="40" customHeight="1">
      <c r="A29" s="11" t="inlineStr">
        <is>
          <t>Set 5</t>
        </is>
      </c>
      <c r="B29" s="11" t="inlineStr">
        <is>
          <t>Q3</t>
        </is>
      </c>
      <c r="C29" s="7" t="inlineStr">
        <is>
          <t>Motivation / Resilience</t>
        </is>
      </c>
      <c r="D29" s="7" t="inlineStr">
        <is>
          <t>You're preparing for a competitive exam and your rank in practice tests has plateaued for weeks despite consistent effort. What's your approach?</t>
        </is>
      </c>
      <c r="E29" s="7" t="inlineStr">
        <is>
          <t>A) Assume you've hit your natural ceiling and can't improve further.</t>
        </is>
      </c>
      <c r="F29" s="7" t="inlineStr">
        <is>
          <t>B) Increase study hours dramatically without changing your method.</t>
        </is>
      </c>
      <c r="G29" s="7" t="inlineStr">
        <is>
          <t>C) Seek out a mentor or teacher to review your approach, since plateaus often mean it's time to change strategy, not effort.</t>
        </is>
      </c>
      <c r="H29" s="7" t="inlineStr">
        <is>
          <t>D) Blame the test series for being poorly calibrated.</t>
        </is>
      </c>
      <c r="I29" s="12" t="n">
        <v>2</v>
      </c>
      <c r="J29" s="12" t="n">
        <v>3</v>
      </c>
      <c r="K29" s="12" t="n">
        <v>4</v>
      </c>
      <c r="L29" s="12" t="n">
        <v>2</v>
      </c>
      <c r="M29" s="10" t="n"/>
      <c r="N29">
        <f>IF(M29="",0,INDEX(I29:L29,1,MATCH(M29,{"A","B","C","D"},0)))</f>
        <v/>
      </c>
    </row>
    <row r="30" ht="40" customHeight="1">
      <c r="A30" s="11" t="inlineStr">
        <is>
          <t>Set 5</t>
        </is>
      </c>
      <c r="B30" s="11" t="inlineStr">
        <is>
          <t>Q4</t>
        </is>
      </c>
      <c r="C30" s="7" t="inlineStr">
        <is>
          <t>Empathy</t>
        </is>
      </c>
      <c r="D30" s="7" t="inlineStr">
        <is>
          <t>A friend who's usually easygoing snaps at you unexpectedly over something minor. What's your first instinct?</t>
        </is>
      </c>
      <c r="E30" s="7" t="inlineStr">
        <is>
          <t>A) Snap back immediately since their reaction feels unfair.</t>
        </is>
      </c>
      <c r="F30" s="7" t="inlineStr">
        <is>
          <t>B) Avoid them for a while until the awkwardness passes.</t>
        </is>
      </c>
      <c r="G30" s="7" t="inlineStr">
        <is>
          <t>C) Take it personally and assume they're upset with you specifically.</t>
        </is>
      </c>
      <c r="H30" s="7" t="inlineStr">
        <is>
          <t>D) Consider that something else might be weighing on them, and ask calmly if everything's okay.</t>
        </is>
      </c>
      <c r="I30" s="12" t="n">
        <v>2</v>
      </c>
      <c r="J30" s="12" t="n">
        <v>3</v>
      </c>
      <c r="K30" s="12" t="n">
        <v>3</v>
      </c>
      <c r="L30" s="12" t="n">
        <v>4</v>
      </c>
      <c r="M30" s="10" t="n"/>
      <c r="N30">
        <f>IF(M30="",0,INDEX(I30:L30,1,MATCH(M30,{"A","B","C","D"},0)))</f>
        <v/>
      </c>
    </row>
    <row r="31" ht="40" customHeight="1">
      <c r="A31" s="11" t="inlineStr">
        <is>
          <t>Set 5</t>
        </is>
      </c>
      <c r="B31" s="11" t="inlineStr">
        <is>
          <t>Q5</t>
        </is>
      </c>
      <c r="C31" s="7" t="inlineStr">
        <is>
          <t>Relationship Management</t>
        </is>
      </c>
      <c r="D31" s="7" t="inlineStr">
        <is>
          <t>Your parents want you to pursue a specific field, but you're increasingly certain you want something different. How do you approach the conversation?</t>
        </is>
      </c>
      <c r="E31" s="7" t="inlineStr">
        <is>
          <t>A) Prepare your reasoning clearly, acknowledge their concerns, and have an honest, calm conversation about it.</t>
        </is>
      </c>
      <c r="F31" s="7" t="inlineStr">
        <is>
          <t>B) Avoid the topic indefinitely and let them assume you're still on their preferred path.</t>
        </is>
      </c>
      <c r="G31" s="7" t="inlineStr">
        <is>
          <t>C) Agree to their path outwardly while secretly planning to do your own thing later.</t>
        </is>
      </c>
      <c r="H31" s="7" t="inlineStr">
        <is>
          <t>D) Announce your decision abruptly during an unrelated argument.</t>
        </is>
      </c>
      <c r="I31" s="12" t="n">
        <v>4</v>
      </c>
      <c r="J31" s="12" t="n">
        <v>3</v>
      </c>
      <c r="K31" s="12" t="n">
        <v>2</v>
      </c>
      <c r="L31" s="12" t="n">
        <v>2</v>
      </c>
      <c r="M31" s="10" t="n"/>
      <c r="N31">
        <f>IF(M31="",0,INDEX(I31:L31,1,MATCH(M31,{"A","B","C","D"},0)))</f>
        <v/>
      </c>
    </row>
    <row r="32" ht="40" customHeight="1">
      <c r="A32" s="11" t="inlineStr">
        <is>
          <t>Set 6</t>
        </is>
      </c>
      <c r="B32" s="11" t="inlineStr">
        <is>
          <t>Q1</t>
        </is>
      </c>
      <c r="C32" s="7" t="inlineStr">
        <is>
          <t>Self-Awareness</t>
        </is>
      </c>
      <c r="D32" s="7" t="inlineStr">
        <is>
          <t>You notice you only feel confident about your abilities right after getting a good grade, and completely doubt yourself after a bad one. What does this suggest?</t>
        </is>
      </c>
      <c r="E32" s="7" t="inlineStr">
        <is>
          <t>A) Try to only focus on subjects where you consistently do well.</t>
        </is>
      </c>
      <c r="F32" s="7" t="inlineStr">
        <is>
          <t>B) Recognise your self-esteem is overly dependent on external results, and work on building a steadier sense of your own ability.</t>
        </is>
      </c>
      <c r="G32" s="7" t="inlineStr">
        <is>
          <t>C) Avoid checking grades as a way to sidestep the mood swings.</t>
        </is>
      </c>
      <c r="H32" s="7" t="inlineStr">
        <is>
          <t>D) Decide your self-worth is just naturally tied to your grades and that's fine.</t>
        </is>
      </c>
      <c r="I32" s="12" t="n">
        <v>3</v>
      </c>
      <c r="J32" s="12" t="n">
        <v>4</v>
      </c>
      <c r="K32" s="12" t="n">
        <v>3</v>
      </c>
      <c r="L32" s="12" t="n">
        <v>2</v>
      </c>
      <c r="M32" s="10" t="n"/>
      <c r="N32">
        <f>IF(M32="",0,INDEX(I32:L32,1,MATCH(M32,{"A","B","C","D"},0)))</f>
        <v/>
      </c>
    </row>
    <row r="33" ht="40" customHeight="1">
      <c r="A33" s="11" t="inlineStr">
        <is>
          <t>Set 6</t>
        </is>
      </c>
      <c r="B33" s="11" t="inlineStr">
        <is>
          <t>Q2</t>
        </is>
      </c>
      <c r="C33" s="7" t="inlineStr">
        <is>
          <t>Self-Regulation</t>
        </is>
      </c>
      <c r="D33" s="7" t="inlineStr">
        <is>
          <t>During a heated class debate on a topic you care about, you feel your voice starting to shake with emotion. What do you do?</t>
        </is>
      </c>
      <c r="E33" s="7" t="inlineStr">
        <is>
          <t>A) Push through anyway, letting the emotion take over the argument.</t>
        </is>
      </c>
      <c r="F33" s="7" t="inlineStr">
        <is>
          <t>B) Raise your voice further to compensate for feeling emotional.</t>
        </is>
      </c>
      <c r="G33" s="7" t="inlineStr">
        <is>
          <t>C) Take a breath, ground your point in facts, and let the passion come through without losing control of the argument.</t>
        </is>
      </c>
      <c r="H33" s="7" t="inlineStr">
        <is>
          <t>D) Stop talking abruptly and let someone else take over.</t>
        </is>
      </c>
      <c r="I33" s="12" t="n">
        <v>3</v>
      </c>
      <c r="J33" s="12" t="n">
        <v>2</v>
      </c>
      <c r="K33" s="12" t="n">
        <v>4</v>
      </c>
      <c r="L33" s="12" t="n">
        <v>2</v>
      </c>
      <c r="M33" s="10" t="n"/>
      <c r="N33">
        <f>IF(M33="",0,INDEX(I33:L33,1,MATCH(M33,{"A","B","C","D"},0)))</f>
        <v/>
      </c>
    </row>
    <row r="34" ht="40" customHeight="1">
      <c r="A34" s="11" t="inlineStr">
        <is>
          <t>Set 6</t>
        </is>
      </c>
      <c r="B34" s="11" t="inlineStr">
        <is>
          <t>Q3</t>
        </is>
      </c>
      <c r="C34" s="7" t="inlineStr">
        <is>
          <t>Motivation / Resilience</t>
        </is>
      </c>
      <c r="D34" s="7" t="inlineStr">
        <is>
          <t>You didn't get selected as team captain despite putting in the most visible effort all season. What's your reaction?</t>
        </is>
      </c>
      <c r="E34" s="7" t="inlineStr">
        <is>
          <t>A) Quietly resent the new captain without saying anything.</t>
        </is>
      </c>
      <c r="F34" s="7" t="inlineStr">
        <is>
          <t>B) Decide effort clearly doesn't matter and stop trying as hard.</t>
        </is>
      </c>
      <c r="G34" s="7" t="inlineStr">
        <is>
          <t>C) Assume the selected captain was just more popular, not more capable.</t>
        </is>
      </c>
      <c r="H34" s="7" t="inlineStr">
        <is>
          <t>D) Ask the coach what qualities they were looking for, and consider how to build those for next time.</t>
        </is>
      </c>
      <c r="I34" s="12" t="n">
        <v>3</v>
      </c>
      <c r="J34" s="12" t="n">
        <v>2</v>
      </c>
      <c r="K34" s="12" t="n">
        <v>2</v>
      </c>
      <c r="L34" s="12" t="n">
        <v>4</v>
      </c>
      <c r="M34" s="10" t="n"/>
      <c r="N34">
        <f>IF(M34="",0,INDEX(I34:L34,1,MATCH(M34,{"A","B","C","D"},0)))</f>
        <v/>
      </c>
    </row>
    <row r="35" ht="40" customHeight="1">
      <c r="A35" s="11" t="inlineStr">
        <is>
          <t>Set 6</t>
        </is>
      </c>
      <c r="B35" s="11" t="inlineStr">
        <is>
          <t>Q4</t>
        </is>
      </c>
      <c r="C35" s="7" t="inlineStr">
        <is>
          <t>Empathy</t>
        </is>
      </c>
      <c r="D35" s="7" t="inlineStr">
        <is>
          <t>A classmate you're not particularly close to shares that they're dealing with a family financial crisis. What's your response?</t>
        </is>
      </c>
      <c r="E35" s="7" t="inlineStr">
        <is>
          <t>A) Listen without judgment, and avoid asking prying questions about details they haven't offered.</t>
        </is>
      </c>
      <c r="F35" s="7" t="inlineStr">
        <is>
          <t>B) Feel awkward and quickly steer the conversation elsewhere.</t>
        </is>
      </c>
      <c r="G35" s="7" t="inlineStr">
        <is>
          <t>C) Offer unsolicited advice about how their family should manage money.</t>
        </is>
      </c>
      <c r="H35" s="7" t="inlineStr">
        <is>
          <t>D) Tell other friends so they can also be sensitive around the topic.</t>
        </is>
      </c>
      <c r="I35" s="12" t="n">
        <v>4</v>
      </c>
      <c r="J35" s="12" t="n">
        <v>3</v>
      </c>
      <c r="K35" s="12" t="n">
        <v>2</v>
      </c>
      <c r="L35" s="12" t="n">
        <v>2</v>
      </c>
      <c r="M35" s="10" t="n"/>
      <c r="N35">
        <f>IF(M35="",0,INDEX(I35:L35,1,MATCH(M35,{"A","B","C","D"},0)))</f>
        <v/>
      </c>
    </row>
    <row r="36" ht="40" customHeight="1">
      <c r="A36" s="11" t="inlineStr">
        <is>
          <t>Set 6</t>
        </is>
      </c>
      <c r="B36" s="11" t="inlineStr">
        <is>
          <t>Q5</t>
        </is>
      </c>
      <c r="C36" s="7" t="inlineStr">
        <is>
          <t>Relationship Management</t>
        </is>
      </c>
      <c r="D36" s="7" t="inlineStr">
        <is>
          <t>You're mediating between two friends after a serious falling-out, and both are pressuring you to agree they were right. How do you handle it?</t>
        </is>
      </c>
      <c r="E36" s="7" t="inlineStr">
        <is>
          <t>A) Pick the side of whoever seems more upset in the moment.</t>
        </is>
      </c>
      <c r="F36" s="7" t="inlineStr">
        <is>
          <t>B) Stay neutral, validate both of their feelings, and encourage them to talk to each other directly.</t>
        </is>
      </c>
      <c r="G36" s="7" t="inlineStr">
        <is>
          <t>C) Tell each of them privately that you agree with them, to keep both relationships intact.</t>
        </is>
      </c>
      <c r="H36" s="7" t="inlineStr">
        <is>
          <t>D) Withdraw from the friendship entirely to avoid the pressure.</t>
        </is>
      </c>
      <c r="I36" s="12" t="n">
        <v>3</v>
      </c>
      <c r="J36" s="12" t="n">
        <v>4</v>
      </c>
      <c r="K36" s="12" t="n">
        <v>2</v>
      </c>
      <c r="L36" s="12" t="n">
        <v>3</v>
      </c>
      <c r="M36" s="10" t="n"/>
      <c r="N36">
        <f>IF(M36="",0,INDEX(I36:L36,1,MATCH(M36,{"A","B","C","D"},0)))</f>
        <v/>
      </c>
    </row>
    <row r="37" ht="40" customHeight="1">
      <c r="A37" s="11" t="inlineStr">
        <is>
          <t>Set 7</t>
        </is>
      </c>
      <c r="B37" s="11" t="inlineStr">
        <is>
          <t>Q1</t>
        </is>
      </c>
      <c r="C37" s="7" t="inlineStr">
        <is>
          <t>Self-Awareness</t>
        </is>
      </c>
      <c r="D37" s="7" t="inlineStr">
        <is>
          <t>You realise you've said 'I'm fine' to concerned friends multiple times this week when you clearly weren't. What's the pattern?</t>
        </is>
      </c>
      <c r="E37" s="7" t="inlineStr">
        <is>
          <t>A) Assume no one actually wants to hear the real answer anyway.</t>
        </is>
      </c>
      <c r="F37" s="7" t="inlineStr">
        <is>
          <t>B) Feel frustrated that people keep asking without doing anything differently.</t>
        </is>
      </c>
      <c r="G37" s="7" t="inlineStr">
        <is>
          <t>C) Recognise you're minimising your own stress to avoid burdening others, and consider being more honest with at least one trusted person.</t>
        </is>
      </c>
      <c r="H37" s="7" t="inlineStr">
        <is>
          <t>D) Decide it's easier to just keep saying that and move on.</t>
        </is>
      </c>
      <c r="I37" s="12" t="n">
        <v>2</v>
      </c>
      <c r="J37" s="12" t="n">
        <v>2</v>
      </c>
      <c r="K37" s="12" t="n">
        <v>4</v>
      </c>
      <c r="L37" s="12" t="n">
        <v>3</v>
      </c>
      <c r="M37" s="10" t="n"/>
      <c r="N37">
        <f>IF(M37="",0,INDEX(I37:L37,1,MATCH(M37,{"A","B","C","D"},0)))</f>
        <v/>
      </c>
    </row>
    <row r="38" ht="40" customHeight="1">
      <c r="A38" s="11" t="inlineStr">
        <is>
          <t>Set 7</t>
        </is>
      </c>
      <c r="B38" s="11" t="inlineStr">
        <is>
          <t>Q2</t>
        </is>
      </c>
      <c r="C38" s="7" t="inlineStr">
        <is>
          <t>Self-Regulation</t>
        </is>
      </c>
      <c r="D38" s="7" t="inlineStr">
        <is>
          <t>You get major feedback criticism on a college application essay you were proud of, right before the deadline. What's your immediate reaction?</t>
        </is>
      </c>
      <c r="E38" s="7" t="inlineStr">
        <is>
          <t>A) Panic and rewrite the entire essay from scratch in a rush.</t>
        </is>
      </c>
      <c r="F38" s="7" t="inlineStr">
        <is>
          <t>B) Dismiss the feedback entirely and submit the essay unchanged out of frustration.</t>
        </is>
      </c>
      <c r="G38" s="7" t="inlineStr">
        <is>
          <t>C) Get defensive and argue with whoever gave the feedback.</t>
        </is>
      </c>
      <c r="H38" s="7" t="inlineStr">
        <is>
          <t>D) Sit with the disappointment briefly, then objectively evaluate which points are worth addressing.</t>
        </is>
      </c>
      <c r="I38" s="12" t="n">
        <v>3</v>
      </c>
      <c r="J38" s="12" t="n">
        <v>2</v>
      </c>
      <c r="K38" s="12" t="n">
        <v>2</v>
      </c>
      <c r="L38" s="12" t="n">
        <v>4</v>
      </c>
      <c r="M38" s="10" t="n"/>
      <c r="N38">
        <f>IF(M38="",0,INDEX(I38:L38,1,MATCH(M38,{"A","B","C","D"},0)))</f>
        <v/>
      </c>
    </row>
    <row r="39" ht="40" customHeight="1">
      <c r="A39" s="11" t="inlineStr">
        <is>
          <t>Set 7</t>
        </is>
      </c>
      <c r="B39" s="11" t="inlineStr">
        <is>
          <t>Q3</t>
        </is>
      </c>
      <c r="C39" s="7" t="inlineStr">
        <is>
          <t>Motivation / Resilience</t>
        </is>
      </c>
      <c r="D39" s="7" t="inlineStr">
        <is>
          <t>A subject you need for your intended career path turns out to be much harder for you than expected. What's your approach?</t>
        </is>
      </c>
      <c r="E39" s="7" t="inlineStr">
        <is>
          <t>A) Invest in extra support (tutoring, study groups) specifically for that subject, since it matters for your goal.</t>
        </is>
      </c>
      <c r="F39" s="7" t="inlineStr">
        <is>
          <t>B) Blame the subject's difficulty on poor teaching rather than engaging with it.</t>
        </is>
      </c>
      <c r="G39" s="7" t="inlineStr">
        <is>
          <t>C) Do the minimum to pass and hope it won't matter later.</t>
        </is>
      </c>
      <c r="H39" s="7" t="inlineStr">
        <is>
          <t>D) Decide the career path isn't right for you based on this one subject.</t>
        </is>
      </c>
      <c r="I39" s="12" t="n">
        <v>4</v>
      </c>
      <c r="J39" s="12" t="n">
        <v>2</v>
      </c>
      <c r="K39" s="12" t="n">
        <v>3</v>
      </c>
      <c r="L39" s="12" t="n">
        <v>2</v>
      </c>
      <c r="M39" s="10" t="n"/>
      <c r="N39">
        <f>IF(M39="",0,INDEX(I39:L39,1,MATCH(M39,{"A","B","C","D"},0)))</f>
        <v/>
      </c>
    </row>
    <row r="40" ht="40" customHeight="1">
      <c r="A40" s="11" t="inlineStr">
        <is>
          <t>Set 7</t>
        </is>
      </c>
      <c r="B40" s="11" t="inlineStr">
        <is>
          <t>Q4</t>
        </is>
      </c>
      <c r="C40" s="7" t="inlineStr">
        <is>
          <t>Empathy</t>
        </is>
      </c>
      <c r="D40" s="7" t="inlineStr">
        <is>
          <t>A friend seems to be pulling away from your friend group generally, not just from you specifically. What's your approach?</t>
        </is>
      </c>
      <c r="E40" s="7" t="inlineStr">
        <is>
          <t>A) Assume they've simply outgrown the group and let it happen.</t>
        </is>
      </c>
      <c r="F40" s="7" t="inlineStr">
        <is>
          <t>B) Reach out individually to check in, separate from the group dynamic, without pressuring them to explain.</t>
        </is>
      </c>
      <c r="G40" s="7" t="inlineStr">
        <is>
          <t>C) Discuss it with the rest of the group before talking to them directly.</t>
        </is>
      </c>
      <c r="H40" s="7" t="inlineStr">
        <is>
          <t>D) Take it personally and assume you did something to cause it.</t>
        </is>
      </c>
      <c r="I40" s="12" t="n">
        <v>3</v>
      </c>
      <c r="J40" s="12" t="n">
        <v>4</v>
      </c>
      <c r="K40" s="12" t="n">
        <v>2</v>
      </c>
      <c r="L40" s="12" t="n">
        <v>2</v>
      </c>
      <c r="M40" s="10" t="n"/>
      <c r="N40">
        <f>IF(M40="",0,INDEX(I40:L40,1,MATCH(M40,{"A","B","C","D"},0)))</f>
        <v/>
      </c>
    </row>
    <row r="41" ht="40" customHeight="1">
      <c r="A41" s="11" t="inlineStr">
        <is>
          <t>Set 7</t>
        </is>
      </c>
      <c r="B41" s="11" t="inlineStr">
        <is>
          <t>Q5</t>
        </is>
      </c>
      <c r="C41" s="7" t="inlineStr">
        <is>
          <t>Relationship Management</t>
        </is>
      </c>
      <c r="D41" s="7" t="inlineStr">
        <is>
          <t>You're organising a farewell event and a teacher keeps overriding your team's decisions without much explanation. How do you handle it?</t>
        </is>
      </c>
      <c r="E41" s="7" t="inlineStr">
        <is>
          <t>A) Complain to your team about the teacher without addressing it with them directly.</t>
        </is>
      </c>
      <c r="F41" s="7" t="inlineStr">
        <is>
          <t>B) Push back publicly in front of the team to defend your original plan.</t>
        </is>
      </c>
      <c r="G41" s="7" t="inlineStr">
        <is>
          <t>C) Request a brief conversation to understand their concerns and find a version both sides are comfortable with.</t>
        </is>
      </c>
      <c r="H41" s="7" t="inlineStr">
        <is>
          <t>D) Comply silently with every change even when you disagree.</t>
        </is>
      </c>
      <c r="I41" s="12" t="n">
        <v>3</v>
      </c>
      <c r="J41" s="12" t="n">
        <v>2</v>
      </c>
      <c r="K41" s="12" t="n">
        <v>4</v>
      </c>
      <c r="L41" s="12" t="n">
        <v>3</v>
      </c>
      <c r="M41" s="10" t="n"/>
      <c r="N41">
        <f>IF(M41="",0,INDEX(I41:L41,1,MATCH(M41,{"A","B","C","D"},0)))</f>
        <v/>
      </c>
    </row>
    <row r="42" ht="40" customHeight="1">
      <c r="A42" s="11" t="inlineStr">
        <is>
          <t>Set 8</t>
        </is>
      </c>
      <c r="B42" s="11" t="inlineStr">
        <is>
          <t>Q1</t>
        </is>
      </c>
      <c r="C42" s="7" t="inlineStr">
        <is>
          <t>Self-Awareness</t>
        </is>
      </c>
      <c r="D42" s="7" t="inlineStr">
        <is>
          <t>You notice that you procrastinate most on tasks connected to subjects you secretly doubt you're good at. What's the real pattern?</t>
        </is>
      </c>
      <c r="E42" s="7" t="inlineStr">
        <is>
          <t>A) Decide those subjects just aren't interesting to you.</t>
        </is>
      </c>
      <c r="F42" s="7" t="inlineStr">
        <is>
          <t>B) Avoid the subject as much as possible going forward.</t>
        </is>
      </c>
      <c r="G42" s="7" t="inlineStr">
        <is>
          <t>C) Push through with forced effort without addressing the underlying doubt.</t>
        </is>
      </c>
      <c r="H42" s="7" t="inlineStr">
        <is>
          <t>D) Recognise the procrastination is likely fear of confirming self-doubt, and try starting with a small, low-stakes step.</t>
        </is>
      </c>
      <c r="I42" s="12" t="n">
        <v>2</v>
      </c>
      <c r="J42" s="12" t="n">
        <v>3</v>
      </c>
      <c r="K42" s="12" t="n">
        <v>3</v>
      </c>
      <c r="L42" s="12" t="n">
        <v>4</v>
      </c>
      <c r="M42" s="10" t="n"/>
      <c r="N42">
        <f>IF(M42="",0,INDEX(I42:L42,1,MATCH(M42,{"A","B","C","D"},0)))</f>
        <v/>
      </c>
    </row>
    <row r="43" ht="40" customHeight="1">
      <c r="A43" s="11" t="inlineStr">
        <is>
          <t>Set 8</t>
        </is>
      </c>
      <c r="B43" s="11" t="inlineStr">
        <is>
          <t>Q2</t>
        </is>
      </c>
      <c r="C43" s="7" t="inlineStr">
        <is>
          <t>Self-Regulation</t>
        </is>
      </c>
      <c r="D43" s="7" t="inlineStr">
        <is>
          <t>You're rejected from a leadership position you campaigned hard for, and the announcement happens in front of the whole class. What's your reaction in the moment?</t>
        </is>
      </c>
      <c r="E43" s="7" t="inlineStr">
        <is>
          <t>A) Keep your composure publicly, and process the disappointment privately afterward.</t>
        </is>
      </c>
      <c r="F43" s="7" t="inlineStr">
        <is>
          <t>B) Visibly show frustration or walk out of the room.</t>
        </is>
      </c>
      <c r="G43" s="7" t="inlineStr">
        <is>
          <t>C) Force a big smile while feeling completely numb inside, avoiding the feeling entirely.</t>
        </is>
      </c>
      <c r="H43" s="7" t="inlineStr">
        <is>
          <t>D) Make a sarcastic comment about the results to nearby classmates.</t>
        </is>
      </c>
      <c r="I43" s="12" t="n">
        <v>4</v>
      </c>
      <c r="J43" s="12" t="n">
        <v>2</v>
      </c>
      <c r="K43" s="12" t="n">
        <v>3</v>
      </c>
      <c r="L43" s="12" t="n">
        <v>2</v>
      </c>
      <c r="M43" s="10" t="n"/>
      <c r="N43">
        <f>IF(M43="",0,INDEX(I43:L43,1,MATCH(M43,{"A","B","C","D"},0)))</f>
        <v/>
      </c>
    </row>
    <row r="44" ht="40" customHeight="1">
      <c r="A44" s="11" t="inlineStr">
        <is>
          <t>Set 8</t>
        </is>
      </c>
      <c r="B44" s="11" t="inlineStr">
        <is>
          <t>Q3</t>
        </is>
      </c>
      <c r="C44" s="7" t="inlineStr">
        <is>
          <t>Motivation / Resilience</t>
        </is>
      </c>
      <c r="D44" s="7" t="inlineStr">
        <is>
          <t>Despite consistent practice, your public speaking still feels shaky compared to peers in your debate club. What's your approach?</t>
        </is>
      </c>
      <c r="E44" s="7" t="inlineStr">
        <is>
          <t>A) Assume the club's standards are just unreasonably high.</t>
        </is>
      </c>
      <c r="F44" s="7" t="inlineStr">
        <is>
          <t>B) Ask a mentor to record and review your speeches for specific, actionable feedback.</t>
        </is>
      </c>
      <c r="G44" s="7" t="inlineStr">
        <is>
          <t>C) Decide public speaking isn't a skill you'll ever have and avoid it going forward.</t>
        </is>
      </c>
      <c r="H44" s="7" t="inlineStr">
        <is>
          <t>D) Keep practicing the exact same way, hoping repetition alone will fix it.</t>
        </is>
      </c>
      <c r="I44" s="12" t="n">
        <v>2</v>
      </c>
      <c r="J44" s="12" t="n">
        <v>4</v>
      </c>
      <c r="K44" s="12" t="n">
        <v>2</v>
      </c>
      <c r="L44" s="12" t="n">
        <v>3</v>
      </c>
      <c r="M44" s="10" t="n"/>
      <c r="N44">
        <f>IF(M44="",0,INDEX(I44:L44,1,MATCH(M44,{"A","B","C","D"},0)))</f>
        <v/>
      </c>
    </row>
    <row r="45" ht="40" customHeight="1">
      <c r="A45" s="11" t="inlineStr">
        <is>
          <t>Set 8</t>
        </is>
      </c>
      <c r="B45" s="11" t="inlineStr">
        <is>
          <t>Q4</t>
        </is>
      </c>
      <c r="C45" s="7" t="inlineStr">
        <is>
          <t>Empathy</t>
        </is>
      </c>
      <c r="D45" s="7" t="inlineStr">
        <is>
          <t>A friend didn't get into any of their top-choice colleges while others around them celebrate their own acceptances. What's your approach around them?</t>
        </is>
      </c>
      <c r="E45" s="7" t="inlineStr">
        <is>
          <t>A) Tell them not to worry since 'everything happens for a reason'.</t>
        </is>
      </c>
      <c r="F45" s="7" t="inlineStr">
        <is>
          <t>B) Avoid mentioning your own good news around them to spare their feelings, without checking how they'd actually prefer it.</t>
        </is>
      </c>
      <c r="G45" s="7" t="inlineStr">
        <is>
          <t>C) Ask them directly how they'd like you to handle discussing college news around them right now.</t>
        </is>
      </c>
      <c r="H45" s="7" t="inlineStr">
        <is>
          <t>D) Talk about your own acceptances at length since it's exciting news.</t>
        </is>
      </c>
      <c r="I45" s="12" t="n">
        <v>3</v>
      </c>
      <c r="J45" s="12" t="n">
        <v>3</v>
      </c>
      <c r="K45" s="12" t="n">
        <v>4</v>
      </c>
      <c r="L45" s="12" t="n">
        <v>2</v>
      </c>
      <c r="M45" s="10" t="n"/>
      <c r="N45">
        <f>IF(M45="",0,INDEX(I45:L45,1,MATCH(M45,{"A","B","C","D"},0)))</f>
        <v/>
      </c>
    </row>
    <row r="46" ht="40" customHeight="1">
      <c r="A46" s="11" t="inlineStr">
        <is>
          <t>Set 8</t>
        </is>
      </c>
      <c r="B46" s="11" t="inlineStr">
        <is>
          <t>Q5</t>
        </is>
      </c>
      <c r="C46" s="7" t="inlineStr">
        <is>
          <t>Relationship Management</t>
        </is>
      </c>
      <c r="D46" s="7" t="inlineStr">
        <is>
          <t>You strongly disagree with a decision your student council makes, but you're outvoted. How do you proceed afterward?</t>
        </is>
      </c>
      <c r="E46" s="7" t="inlineStr">
        <is>
          <t>A) Quietly stop participating in council activities without explanation.</t>
        </is>
      </c>
      <c r="F46" s="7" t="inlineStr">
        <is>
          <t>B) Try to undermine the decision informally through side conversations.</t>
        </is>
      </c>
      <c r="G46" s="7" t="inlineStr">
        <is>
          <t>C) Publicly criticise the decision to other students after the meeting.</t>
        </is>
      </c>
      <c r="H46" s="7" t="inlineStr">
        <is>
          <t>D) Voice your disagreement clearly during the discussion, then support the group's decision once it's made.</t>
        </is>
      </c>
      <c r="I46" s="12" t="n">
        <v>3</v>
      </c>
      <c r="J46" s="12" t="n">
        <v>2</v>
      </c>
      <c r="K46" s="12" t="n">
        <v>2</v>
      </c>
      <c r="L46" s="12" t="n">
        <v>4</v>
      </c>
      <c r="M46" s="10" t="n"/>
      <c r="N46">
        <f>IF(M46="",0,INDEX(I46:L46,1,MATCH(M46,{"A","B","C","D"},0)))</f>
        <v/>
      </c>
    </row>
    <row r="47" ht="40" customHeight="1">
      <c r="A47" s="11" t="inlineStr">
        <is>
          <t>Set 9</t>
        </is>
      </c>
      <c r="B47" s="11" t="inlineStr">
        <is>
          <t>Q1</t>
        </is>
      </c>
      <c r="C47" s="7" t="inlineStr">
        <is>
          <t>Self-Awareness</t>
        </is>
      </c>
      <c r="D47" s="7" t="inlineStr">
        <is>
          <t>You realise your motivation to study spikes right before deadlines but is nearly absent otherwise. What's the honest read?</t>
        </is>
      </c>
      <c r="E47" s="7" t="inlineStr">
        <is>
          <t>A) Recognise this pattern often leads to avoidable stress, and experiment with smaller intermediate deadlines for yourself.</t>
        </is>
      </c>
      <c r="F47" s="7" t="inlineStr">
        <is>
          <t>B) Blame the workload for being unreasonably spaced out.</t>
        </is>
      </c>
      <c r="G47" s="7" t="inlineStr">
        <is>
          <t>C) Decide you 'work best under pressure' and leave it at that permanently.</t>
        </is>
      </c>
      <c r="H47" s="7" t="inlineStr">
        <is>
          <t>D) Assume there's nothing you can do to change how your motivation works.</t>
        </is>
      </c>
      <c r="I47" s="12" t="n">
        <v>4</v>
      </c>
      <c r="J47" s="12" t="n">
        <v>2</v>
      </c>
      <c r="K47" s="12" t="n">
        <v>3</v>
      </c>
      <c r="L47" s="12" t="n">
        <v>2</v>
      </c>
      <c r="M47" s="10" t="n"/>
      <c r="N47">
        <f>IF(M47="",0,INDEX(I47:L47,1,MATCH(M47,{"A","B","C","D"},0)))</f>
        <v/>
      </c>
    </row>
    <row r="48" ht="40" customHeight="1">
      <c r="A48" s="11" t="inlineStr">
        <is>
          <t>Set 9</t>
        </is>
      </c>
      <c r="B48" s="11" t="inlineStr">
        <is>
          <t>Q2</t>
        </is>
      </c>
      <c r="C48" s="7" t="inlineStr">
        <is>
          <t>Self-Regulation</t>
        </is>
      </c>
      <c r="D48" s="7" t="inlineStr">
        <is>
          <t>You receive a college rejection email while sitting in class and have to keep functioning normally for the rest of the day. What's your approach?</t>
        </is>
      </c>
      <c r="E48" s="7" t="inlineStr">
        <is>
          <t>A) Distract yourself completely and refuse to think about it until much later.</t>
        </is>
      </c>
      <c r="F48" s="7" t="inlineStr">
        <is>
          <t>B) Acknowledge the disappointment internally, compartmentalise for now, and process it properly once you have space and privacy.</t>
        </is>
      </c>
      <c r="G48" s="7" t="inlineStr">
        <is>
          <t>C) Text multiple people immediately during class to vent about it.</t>
        </is>
      </c>
      <c r="H48" s="7" t="inlineStr">
        <is>
          <t>D) Let the disappointment visibly affect your participation for the rest of the day.</t>
        </is>
      </c>
      <c r="I48" s="12" t="n">
        <v>2</v>
      </c>
      <c r="J48" s="12" t="n">
        <v>4</v>
      </c>
      <c r="K48" s="12" t="n">
        <v>2</v>
      </c>
      <c r="L48" s="12" t="n">
        <v>3</v>
      </c>
      <c r="M48" s="10" t="n"/>
      <c r="N48">
        <f>IF(M48="",0,INDEX(I48:L48,1,MATCH(M48,{"A","B","C","D"},0)))</f>
        <v/>
      </c>
    </row>
    <row r="49" ht="40" customHeight="1">
      <c r="A49" s="11" t="inlineStr">
        <is>
          <t>Set 9</t>
        </is>
      </c>
      <c r="B49" s="11" t="inlineStr">
        <is>
          <t>Q3</t>
        </is>
      </c>
      <c r="C49" s="7" t="inlineStr">
        <is>
          <t>Motivation / Resilience</t>
        </is>
      </c>
      <c r="D49" s="7" t="inlineStr">
        <is>
          <t>You've committed to an ambitious personal project (like a portfolio or research paper) and are now realising it's much bigger than you planned for. What's your move?</t>
        </is>
      </c>
      <c r="E49" s="7" t="inlineStr">
        <is>
          <t>A) Abandon the project since it feels too overwhelming now.</t>
        </is>
      </c>
      <c r="F49" s="7" t="inlineStr">
        <is>
          <t>B) Keep the scope the same and just work longer hours to compensate.</t>
        </is>
      </c>
      <c r="G49" s="7" t="inlineStr">
        <is>
          <t>C) Scope it down to a realistic version you can actually complete well, rather than abandoning it entirely.</t>
        </is>
      </c>
      <c r="H49" s="7" t="inlineStr">
        <is>
          <t>D) Blame yourself for poor initial planning and spiral into self-criticism.</t>
        </is>
      </c>
      <c r="I49" s="12" t="n">
        <v>2</v>
      </c>
      <c r="J49" s="12" t="n">
        <v>3</v>
      </c>
      <c r="K49" s="12" t="n">
        <v>4</v>
      </c>
      <c r="L49" s="12" t="n">
        <v>2</v>
      </c>
      <c r="M49" s="10" t="n"/>
      <c r="N49">
        <f>IF(M49="",0,INDEX(I49:L49,1,MATCH(M49,{"A","B","C","D"},0)))</f>
        <v/>
      </c>
    </row>
    <row r="50" ht="40" customHeight="1">
      <c r="A50" s="11" t="inlineStr">
        <is>
          <t>Set 9</t>
        </is>
      </c>
      <c r="B50" s="11" t="inlineStr">
        <is>
          <t>Q4</t>
        </is>
      </c>
      <c r="C50" s="7" t="inlineStr">
        <is>
          <t>Empathy</t>
        </is>
      </c>
      <c r="D50" s="7" t="inlineStr">
        <is>
          <t>A friend is clearly avoiding a topic (like their exam results) that everyone else keeps casually bringing up. What's your approach?</t>
        </is>
      </c>
      <c r="E50" s="7" t="inlineStr">
        <is>
          <t>A) Ask other friends what happened instead of asking them directly.</t>
        </is>
      </c>
      <c r="F50" s="7" t="inlineStr">
        <is>
          <t>B) Bring it up directly since avoiding it seems unhealthy.</t>
        </is>
      </c>
      <c r="G50" s="7" t="inlineStr">
        <is>
          <t>C) Assume it's not a big deal since they haven't mentioned it themselves.</t>
        </is>
      </c>
      <c r="H50" s="7" t="inlineStr">
        <is>
          <t>D) Follow their lead and don't force the topic, while making it clear you're available if they want to talk.</t>
        </is>
      </c>
      <c r="I50" s="12" t="n">
        <v>3</v>
      </c>
      <c r="J50" s="12" t="n">
        <v>2</v>
      </c>
      <c r="K50" s="12" t="n">
        <v>3</v>
      </c>
      <c r="L50" s="12" t="n">
        <v>4</v>
      </c>
      <c r="M50" s="10" t="n"/>
      <c r="N50">
        <f>IF(M50="",0,INDEX(I50:L50,1,MATCH(M50,{"A","B","C","D"},0)))</f>
        <v/>
      </c>
    </row>
    <row r="51" ht="40" customHeight="1">
      <c r="A51" s="11" t="inlineStr">
        <is>
          <t>Set 9</t>
        </is>
      </c>
      <c r="B51" s="11" t="inlineStr">
        <is>
          <t>Q5</t>
        </is>
      </c>
      <c r="C51" s="7" t="inlineStr">
        <is>
          <t>Relationship Management</t>
        </is>
      </c>
      <c r="D51" s="7" t="inlineStr">
        <is>
          <t>You and a friend group member have fundamentally different opinions on a sensitive current-affairs topic that comes up often. How do you manage the friendship?</t>
        </is>
      </c>
      <c r="E51" s="7" t="inlineStr">
        <is>
          <t>A) Agree to disagree respectfully, and consciously keep the friendship bigger than this one topic.</t>
        </is>
      </c>
      <c r="F51" s="7" t="inlineStr">
        <is>
          <t>B) Bring it up repeatedly, hoping to eventually change their mind.</t>
        </is>
      </c>
      <c r="G51" s="7" t="inlineStr">
        <is>
          <t>C) Avoid the friendship altogether to sidestep the disagreement.</t>
        </is>
      </c>
      <c r="H51" s="7" t="inlineStr">
        <is>
          <t>D) Pretend to agree with them just to keep things comfortable.</t>
        </is>
      </c>
      <c r="I51" s="12" t="n">
        <v>4</v>
      </c>
      <c r="J51" s="12" t="n">
        <v>3</v>
      </c>
      <c r="K51" s="12" t="n">
        <v>2</v>
      </c>
      <c r="L51" s="12" t="n">
        <v>3</v>
      </c>
      <c r="M51" s="10" t="n"/>
      <c r="N51">
        <f>IF(M51="",0,INDEX(I51:L51,1,MATCH(M51,{"A","B","C","D"},0)))</f>
        <v/>
      </c>
    </row>
    <row r="52" ht="40" customHeight="1">
      <c r="A52" s="11" t="inlineStr">
        <is>
          <t>Set 10</t>
        </is>
      </c>
      <c r="B52" s="11" t="inlineStr">
        <is>
          <t>Q1</t>
        </is>
      </c>
      <c r="C52" s="7" t="inlineStr">
        <is>
          <t>Self-Awareness</t>
        </is>
      </c>
      <c r="D52" s="7" t="inlineStr">
        <is>
          <t>Looking back at the year, you realise you've been defining your worth almost entirely by comparison to a specific high-achieving classmate. What's the takeaway?</t>
        </is>
      </c>
      <c r="E52" s="7" t="inlineStr">
        <is>
          <t>A) Try to avoid that classmate altogether to stop the comparison.</t>
        </is>
      </c>
      <c r="F52" s="7" t="inlineStr">
        <is>
          <t>B) Recognise the comparison has become more harmful than motivating, and consciously shift toward tracking your own progress instead.</t>
        </is>
      </c>
      <c r="G52" s="7" t="inlineStr">
        <is>
          <t>C) Feel bad about the pattern without changing anything about it.</t>
        </is>
      </c>
      <c r="H52" s="7" t="inlineStr">
        <is>
          <t>D) Decide the comparison is just useful motivation and keep doing it.</t>
        </is>
      </c>
      <c r="I52" s="12" t="n">
        <v>2</v>
      </c>
      <c r="J52" s="12" t="n">
        <v>4</v>
      </c>
      <c r="K52" s="12" t="n">
        <v>2</v>
      </c>
      <c r="L52" s="12" t="n">
        <v>3</v>
      </c>
      <c r="M52" s="10" t="n"/>
      <c r="N52">
        <f>IF(M52="",0,INDEX(I52:L52,1,MATCH(M52,{"A","B","C","D"},0)))</f>
        <v/>
      </c>
    </row>
    <row r="53" ht="40" customHeight="1">
      <c r="A53" s="11" t="inlineStr">
        <is>
          <t>Set 10</t>
        </is>
      </c>
      <c r="B53" s="11" t="inlineStr">
        <is>
          <t>Q2</t>
        </is>
      </c>
      <c r="C53" s="7" t="inlineStr">
        <is>
          <t>Self-Regulation</t>
        </is>
      </c>
      <c r="D53" s="7" t="inlineStr">
        <is>
          <t>You're in the final stretch before a major exam and a well-meaning relative keeps asking pressuring questions about your preparation. What's your response?</t>
        </is>
      </c>
      <c r="E53" s="7" t="inlineStr">
        <is>
          <t>A) Avoid that relative completely for the rest of the exam period.</t>
        </is>
      </c>
      <c r="F53" s="7" t="inlineStr">
        <is>
          <t>B) Snap at them out of accumulated stress.</t>
        </is>
      </c>
      <c r="G53" s="7" t="inlineStr">
        <is>
          <t>C) Politely but firmly set a boundary about not discussing exam pressure right now, then redirect the conversation.</t>
        </is>
      </c>
      <c r="H53" s="7" t="inlineStr">
        <is>
          <t>D) Answer every question anxiously in detail, feeding your own stress further.</t>
        </is>
      </c>
      <c r="I53" s="12" t="n">
        <v>3</v>
      </c>
      <c r="J53" s="12" t="n">
        <v>2</v>
      </c>
      <c r="K53" s="12" t="n">
        <v>4</v>
      </c>
      <c r="L53" s="12" t="n">
        <v>3</v>
      </c>
      <c r="M53" s="10" t="n"/>
      <c r="N53">
        <f>IF(M53="",0,INDEX(I53:L53,1,MATCH(M53,{"A","B","C","D"},0)))</f>
        <v/>
      </c>
    </row>
    <row r="54" ht="40" customHeight="1">
      <c r="A54" s="11" t="inlineStr">
        <is>
          <t>Set 10</t>
        </is>
      </c>
      <c r="B54" s="11" t="inlineStr">
        <is>
          <t>Q3</t>
        </is>
      </c>
      <c r="C54" s="7" t="inlineStr">
        <is>
          <t>Motivation / Resilience</t>
        </is>
      </c>
      <c r="D54" s="7" t="inlineStr">
        <is>
          <t>After a full year of consistent effort, your final results are only marginally better than last year's. What's your reflection?</t>
        </is>
      </c>
      <c r="E54" s="7" t="inlineStr">
        <is>
          <t>A) Blame the grading or teachers for not recognising your effort.</t>
        </is>
      </c>
      <c r="F54" s="7" t="inlineStr">
        <is>
          <t>B) Conclude that effort simply doesn't translate to results for you.</t>
        </is>
      </c>
      <c r="G54" s="7" t="inlineStr">
        <is>
          <t>C) Decide to work exactly twice as hard next year without changing strategy.</t>
        </is>
      </c>
      <c r="H54" s="7" t="inlineStr">
        <is>
          <t>D) Look honestly at what worked and what didn't, and use it to make next year's approach more effective, not just harder.</t>
        </is>
      </c>
      <c r="I54" s="12" t="n">
        <v>2</v>
      </c>
      <c r="J54" s="12" t="n">
        <v>2</v>
      </c>
      <c r="K54" s="12" t="n">
        <v>3</v>
      </c>
      <c r="L54" s="12" t="n">
        <v>4</v>
      </c>
      <c r="M54" s="10" t="n"/>
      <c r="N54">
        <f>IF(M54="",0,INDEX(I54:L54,1,MATCH(M54,{"A","B","C","D"},0)))</f>
        <v/>
      </c>
    </row>
    <row r="55" ht="40" customHeight="1">
      <c r="A55" s="11" t="inlineStr">
        <is>
          <t>Set 10</t>
        </is>
      </c>
      <c r="B55" s="11" t="inlineStr">
        <is>
          <t>Q4</t>
        </is>
      </c>
      <c r="C55" s="7" t="inlineStr">
        <is>
          <t>Empathy</t>
        </is>
      </c>
      <c r="D55" s="7" t="inlineStr">
        <is>
          <t>A close friend is making a major life decision (like a gap year) that you privately think is a mistake. What's your approach?</t>
        </is>
      </c>
      <c r="E55" s="7" t="inlineStr">
        <is>
          <t>A) Share your honest concerns once, clearly, then respect that it's ultimately their decision to make.</t>
        </is>
      </c>
      <c r="F55" s="7" t="inlineStr">
        <is>
          <t>B) Tell them directly and repeatedly that they're making the wrong choice.</t>
        </is>
      </c>
      <c r="G55" s="7" t="inlineStr">
        <is>
          <t>C) Say nothing at all, even though you have real concerns.</t>
        </is>
      </c>
      <c r="H55" s="7" t="inlineStr">
        <is>
          <t>D) Talk to their parents about your concerns instead of them.</t>
        </is>
      </c>
      <c r="I55" s="12" t="n">
        <v>4</v>
      </c>
      <c r="J55" s="12" t="n">
        <v>2</v>
      </c>
      <c r="K55" s="12" t="n">
        <v>3</v>
      </c>
      <c r="L55" s="12" t="n">
        <v>2</v>
      </c>
      <c r="M55" s="10" t="n"/>
      <c r="N55">
        <f>IF(M55="",0,INDEX(I55:L55,1,MATCH(M55,{"A","B","C","D"},0)))</f>
        <v/>
      </c>
    </row>
    <row r="56" ht="40" customHeight="1">
      <c r="A56" s="11" t="inlineStr">
        <is>
          <t>Set 10</t>
        </is>
      </c>
      <c r="B56" s="11" t="inlineStr">
        <is>
          <t>Q5</t>
        </is>
      </c>
      <c r="C56" s="7" t="inlineStr">
        <is>
          <t>Relationship Management</t>
        </is>
      </c>
      <c r="D56" s="7" t="inlineStr">
        <is>
          <t>As you and your close friends prepare to head to different colleges, tension is building around who's 'moving on' too fast or too slow emotionally. How do you handle it?</t>
        </is>
      </c>
      <c r="E56" s="7" t="inlineStr">
        <is>
          <t>A) Match whichever friend seems most upset, to avoid seeming uncaring.</t>
        </is>
      </c>
      <c r="F56" s="7" t="inlineStr">
        <is>
          <t>B) Name the shared anxiety about the transition openly, and suggest a way to stay connected that works for everyone.</t>
        </is>
      </c>
      <c r="G56" s="7" t="inlineStr">
        <is>
          <t>C) Distance yourself early to make the eventual separation less painful.</t>
        </is>
      </c>
      <c r="H56" s="7" t="inlineStr">
        <is>
          <t>D) Avoid the topic of the upcoming separation altogether to sidestep tension.</t>
        </is>
      </c>
      <c r="I56" s="12" t="n">
        <v>2</v>
      </c>
      <c r="J56" s="12" t="n">
        <v>4</v>
      </c>
      <c r="K56" s="12" t="n">
        <v>2</v>
      </c>
      <c r="L56" s="12" t="n">
        <v>3</v>
      </c>
      <c r="M56" s="10" t="n"/>
      <c r="N56">
        <f>IF(M56="",0,INDEX(I56:L56,1,MATCH(M56,{"A","B","C","D"},0)))</f>
        <v/>
      </c>
    </row>
    <row r="58" ht="20" customHeight="1">
      <c r="A58" s="13" t="inlineStr">
        <is>
          <t>YOUR EI PROFILE FOR THE SELECTED SET</t>
        </is>
      </c>
    </row>
    <row r="59">
      <c r="A59" s="14" t="inlineStr">
        <is>
          <t>EI Domain</t>
        </is>
      </c>
      <c r="B59" s="14" t="inlineStr">
        <is>
          <t>Your Response Quality</t>
        </is>
      </c>
      <c r="C59" s="14" t="inlineStr">
        <is>
          <t>Score</t>
        </is>
      </c>
    </row>
    <row r="60">
      <c r="A60" s="5" t="inlineStr">
        <is>
          <t>Self-Awareness</t>
        </is>
      </c>
      <c r="B60" s="15">
        <f>IF($C$60=0,"Not answered yet",IF($C$60=4,"High",IF($C$60=3,"Moderate",IF($C$60=2,"Low","Negative"))))</f>
        <v/>
      </c>
      <c r="C60" s="15">
        <f>SUMPRODUCT(($A$7:$A$56=$B$4)*($C$7:$C$56="Self-Awareness")*$N$7:$N$56)</f>
        <v/>
      </c>
    </row>
    <row r="61">
      <c r="A61" s="5" t="inlineStr">
        <is>
          <t>Self-Regulation</t>
        </is>
      </c>
      <c r="B61" s="15">
        <f>IF($C$61=0,"Not answered yet",IF($C$61=4,"High",IF($C$61=3,"Moderate",IF($C$61=2,"Low","Negative"))))</f>
        <v/>
      </c>
      <c r="C61" s="15">
        <f>SUMPRODUCT(($A$7:$A$56=$B$4)*($C$7:$C$56="Self-Regulation")*$N$7:$N$56)</f>
        <v/>
      </c>
    </row>
    <row r="62">
      <c r="A62" s="5" t="inlineStr">
        <is>
          <t>Motivation / Resilience</t>
        </is>
      </c>
      <c r="B62" s="15">
        <f>IF($C$62=0,"Not answered yet",IF($C$62=4,"High",IF($C$62=3,"Moderate",IF($C$62=2,"Low","Negative"))))</f>
        <v/>
      </c>
      <c r="C62" s="15">
        <f>SUMPRODUCT(($A$7:$A$56=$B$4)*($C$7:$C$56="Motivation / Resilience")*$N$7:$N$56)</f>
        <v/>
      </c>
    </row>
    <row r="63">
      <c r="A63" s="5" t="inlineStr">
        <is>
          <t>Empathy</t>
        </is>
      </c>
      <c r="B63" s="15">
        <f>IF($C$63=0,"Not answered yet",IF($C$63=4,"High",IF($C$63=3,"Moderate",IF($C$63=2,"Low","Negative"))))</f>
        <v/>
      </c>
      <c r="C63" s="15">
        <f>SUMPRODUCT(($A$7:$A$56=$B$4)*($C$7:$C$56="Empathy")*$N$7:$N$56)</f>
        <v/>
      </c>
    </row>
    <row r="64">
      <c r="A64" s="5" t="inlineStr">
        <is>
          <t>Relationship Management</t>
        </is>
      </c>
      <c r="B64" s="15">
        <f>IF($C$64=0,"Not answered yet",IF($C$64=4,"High",IF($C$64=3,"Moderate",IF($C$64=2,"Low","Negative"))))</f>
        <v/>
      </c>
      <c r="C64" s="15">
        <f>SUMPRODUCT(($A$7:$A$56=$B$4)*($C$7:$C$56="Relationship Management")*$N$7:$N$56)</f>
        <v/>
      </c>
    </row>
    <row r="66" ht="20" customHeight="1">
      <c r="A66" s="16" t="inlineStr">
        <is>
          <t>QUICK SUMMARY</t>
        </is>
      </c>
    </row>
    <row r="67">
      <c r="A67" s="9" t="inlineStr">
        <is>
          <t>Strongest domain (this set):</t>
        </is>
      </c>
      <c r="B67" s="17">
        <f>IFERROR(INDEX($A$60:$A$64,MATCH(MAX($C$60:$C$64),$C$60:$C$64,0)),"Answer all 5 first")</f>
        <v/>
      </c>
    </row>
    <row r="68">
      <c r="A68" s="9" t="inlineStr">
        <is>
          <t>Growth area (this set):</t>
        </is>
      </c>
      <c r="B68" s="18">
        <f>IFERROR(INDEX($A$60:$A$64,MATCH(MIN($C$60:$C$64),$C$60:$C$64,0)),"Answer all 5 first")</f>
        <v/>
      </c>
    </row>
    <row r="70">
      <c r="A70" s="19" t="inlineStr">
        <is>
          <t>Note: this reflects ONE set (5 questions = 1 per domain), so treat it as a first read, not a verdict. Try another set on a different day and see what stays consistent.</t>
        </is>
      </c>
    </row>
  </sheetData>
  <mergeCells count="8">
    <mergeCell ref="B68:C68"/>
    <mergeCell ref="A66:C66"/>
    <mergeCell ref="A1:M1"/>
    <mergeCell ref="B67:C67"/>
    <mergeCell ref="A70:F70"/>
    <mergeCell ref="C4:H4"/>
    <mergeCell ref="A58:E58"/>
    <mergeCell ref="A2:M2"/>
  </mergeCells>
  <dataValidations count="2">
    <dataValidation sqref="B4" showDropDown="0" showInputMessage="0" showErrorMessage="1" allowBlank="0" type="list">
      <formula1>"Set 1,Set 2,Set 3,Set 4,Set 5,Set 6,Set 7,Set 8,Set 9,Set 10"</formula1>
    </dataValidation>
    <dataValidation sqref="M7 M8 M9 M10 M11 M12 M13 M14 M15 M16 M17 M18 M19 M20 M21 M22 M23 M24 M25 M26 M27 M28 M29 M30 M31 M32 M33 M34 M35 M36 M37 M38 M39 M40 M41 M42 M43 M44 M45 M46 M47 M48 M49 M50 M51 M52 M53 M54 M55 M56" showDropDown="0" showInputMessage="0" showErrorMessage="1" allowBlank="1" errorTitle="Invalid entry" error="Please enter A, B, C, or D." type="list">
      <formula1>"A,B,C,D"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6" customWidth="1" min="3" max="3"/>
    <col width="34" customWidth="1" min="4" max="4"/>
    <col width="30" customWidth="1" min="5" max="5"/>
    <col width="30" customWidth="1" min="6" max="6"/>
    <col width="30" customWidth="1" min="7" max="7"/>
    <col width="30" customWidth="1" min="8" max="8"/>
    <col hidden="1" width="13" customWidth="1" min="9" max="9"/>
    <col hidden="1" width="13" customWidth="1" min="10" max="10"/>
    <col hidden="1" width="13" customWidth="1" min="11" max="11"/>
    <col hidden="1" width="13" customWidth="1" min="12" max="12"/>
    <col width="15" customWidth="1" min="13" max="13"/>
    <col hidden="1" width="13" customWidth="1" min="14" max="14"/>
  </cols>
  <sheetData>
    <row r="1" ht="26" customHeight="1">
      <c r="A1" s="1" t="inlineStr">
        <is>
          <t>Graduate (Ages 18-21) — Emotional Intelligence Assessment (10 Sets x 5 Questions)</t>
        </is>
      </c>
    </row>
    <row r="2">
      <c r="A2" s="8" t="inlineStr">
        <is>
          <t>Framework basis: Goleman's Emotional Intelligence Framework</t>
        </is>
      </c>
    </row>
    <row r="4">
      <c r="A4" s="9" t="inlineStr">
        <is>
          <t>Which set are you taking?</t>
        </is>
      </c>
      <c r="B4" s="10" t="inlineStr">
        <is>
          <t>Set 1</t>
        </is>
      </c>
      <c r="C4" s="8" t="inlineStr">
        <is>
          <t>(pick one set, then answer only that set's 5 rows below with A/B/C/D)</t>
        </is>
      </c>
    </row>
    <row r="6">
      <c r="A6" s="4" t="inlineStr">
        <is>
          <t>Set</t>
        </is>
      </c>
      <c r="B6" s="4" t="inlineStr">
        <is>
          <t>Q#</t>
        </is>
      </c>
      <c r="C6" s="4" t="inlineStr">
        <is>
          <t>Domain</t>
        </is>
      </c>
      <c r="D6" s="4" t="inlineStr">
        <is>
          <t>Scenario</t>
        </is>
      </c>
      <c r="E6" s="4" t="inlineStr">
        <is>
          <t>Option A</t>
        </is>
      </c>
      <c r="F6" s="4" t="inlineStr">
        <is>
          <t>Option B</t>
        </is>
      </c>
      <c r="G6" s="4" t="inlineStr">
        <is>
          <t>Option C</t>
        </is>
      </c>
      <c r="H6" s="4" t="inlineStr">
        <is>
          <t>Option D</t>
        </is>
      </c>
      <c r="I6" s="4" t="inlineStr">
        <is>
          <t>qA</t>
        </is>
      </c>
      <c r="J6" s="4" t="inlineStr">
        <is>
          <t>qB</t>
        </is>
      </c>
      <c r="K6" s="4" t="inlineStr">
        <is>
          <t>qC</t>
        </is>
      </c>
      <c r="L6" s="4" t="inlineStr">
        <is>
          <t>qD</t>
        </is>
      </c>
      <c r="M6" s="4" t="inlineStr">
        <is>
          <t>Your Answer (A-D)</t>
        </is>
      </c>
      <c r="N6" t="inlineStr">
        <is>
          <t>score</t>
        </is>
      </c>
    </row>
    <row r="7" ht="40" customHeight="1">
      <c r="A7" s="11" t="inlineStr">
        <is>
          <t>Set 1</t>
        </is>
      </c>
      <c r="B7" s="11" t="inlineStr">
        <is>
          <t>Q1</t>
        </is>
      </c>
      <c r="C7" s="7" t="inlineStr">
        <is>
          <t>Self-Awareness</t>
        </is>
      </c>
      <c r="D7" s="7" t="inlineStr">
        <is>
          <t>You bomb a college presentation and notice your hands were shaking throughout. What's your read on this afterward?</t>
        </is>
      </c>
      <c r="E7" s="7" t="inlineStr">
        <is>
          <t>A) Recognise the physical anxiety response, and identify specifically what preparation would help you feel steadier next time.</t>
        </is>
      </c>
      <c r="F7" s="7" t="inlineStr">
        <is>
          <t>B) Blame the professor for making the room feel intimidating.</t>
        </is>
      </c>
      <c r="G7" s="7" t="inlineStr">
        <is>
          <t>C) Decide you're just bad under pressure and start avoiding presentations.</t>
        </is>
      </c>
      <c r="H7" s="7" t="inlineStr">
        <is>
          <t>D) Brush past it without reflecting on what happened.</t>
        </is>
      </c>
      <c r="I7" s="12" t="n">
        <v>4</v>
      </c>
      <c r="J7" s="12" t="n">
        <v>2</v>
      </c>
      <c r="K7" s="12" t="n">
        <v>2</v>
      </c>
      <c r="L7" s="12" t="n">
        <v>3</v>
      </c>
      <c r="M7" s="10" t="n"/>
      <c r="N7">
        <f>IF(M7="",0,INDEX(I7:L7,1,MATCH(M7,{"A","B","C","D"},0)))</f>
        <v/>
      </c>
    </row>
    <row r="8" ht="40" customHeight="1">
      <c r="A8" s="11" t="inlineStr">
        <is>
          <t>Set 1</t>
        </is>
      </c>
      <c r="B8" s="11" t="inlineStr">
        <is>
          <t>Q2</t>
        </is>
      </c>
      <c r="C8" s="7" t="inlineStr">
        <is>
          <t>Self-Regulation</t>
        </is>
      </c>
      <c r="D8" s="7" t="inlineStr">
        <is>
          <t>Your roommate keeps leaving shared spaces messy despite you mentioning it once already. What do you do?</t>
        </is>
      </c>
      <c r="E8" s="7" t="inlineStr">
        <is>
          <t>A) Blow up over it the next time you find a mess.</t>
        </is>
      </c>
      <c r="F8" s="7" t="inlineStr">
        <is>
          <t>B) Have a direct, calm conversation proposing a simple shared system (like a cleaning schedule).</t>
        </is>
      </c>
      <c r="G8" s="7" t="inlineStr">
        <is>
          <t>C) Vent to other friends about it instead of addressing it with them.</t>
        </is>
      </c>
      <c r="H8" s="7" t="inlineStr">
        <is>
          <t>D) Passive-aggressively leave their mess untouched to make a point.</t>
        </is>
      </c>
      <c r="I8" s="12" t="n">
        <v>2</v>
      </c>
      <c r="J8" s="12" t="n">
        <v>4</v>
      </c>
      <c r="K8" s="12" t="n">
        <v>2</v>
      </c>
      <c r="L8" s="12" t="n">
        <v>3</v>
      </c>
      <c r="M8" s="10" t="n"/>
      <c r="N8">
        <f>IF(M8="",0,INDEX(I8:L8,1,MATCH(M8,{"A","B","C","D"},0)))</f>
        <v/>
      </c>
    </row>
    <row r="9" ht="40" customHeight="1">
      <c r="A9" s="11" t="inlineStr">
        <is>
          <t>Set 1</t>
        </is>
      </c>
      <c r="B9" s="11" t="inlineStr">
        <is>
          <t>Q3</t>
        </is>
      </c>
      <c r="C9" s="7" t="inlineStr">
        <is>
          <t>Motivation / Resilience</t>
        </is>
      </c>
      <c r="D9" s="7" t="inlineStr">
        <is>
          <t>You don't get shortlisted for a competitive internship you prepared for over a month. What's your next step?</t>
        </is>
      </c>
      <c r="E9" s="7" t="inlineStr">
        <is>
          <t>A) Decide you're not cut out for that industry and pivot away entirely.</t>
        </is>
      </c>
      <c r="F9" s="7" t="inlineStr">
        <is>
          <t>B) Reapply to the same place next cycle without changing anything.</t>
        </is>
      </c>
      <c r="G9" s="7" t="inlineStr">
        <is>
          <t>C) Reach out for feedback where possible, and apply to a few other opportunities with a refined approach.</t>
        </is>
      </c>
      <c r="H9" s="7" t="inlineStr">
        <is>
          <t>D) Assume the process was rigged toward people with connections.</t>
        </is>
      </c>
      <c r="I9" s="12" t="n">
        <v>2</v>
      </c>
      <c r="J9" s="12" t="n">
        <v>3</v>
      </c>
      <c r="K9" s="12" t="n">
        <v>4</v>
      </c>
      <c r="L9" s="12" t="n">
        <v>2</v>
      </c>
      <c r="M9" s="10" t="n"/>
      <c r="N9">
        <f>IF(M9="",0,INDEX(I9:L9,1,MATCH(M9,{"A","B","C","D"},0)))</f>
        <v/>
      </c>
    </row>
    <row r="10" ht="40" customHeight="1">
      <c r="A10" s="11" t="inlineStr">
        <is>
          <t>Set 1</t>
        </is>
      </c>
      <c r="B10" s="11" t="inlineStr">
        <is>
          <t>Q4</t>
        </is>
      </c>
      <c r="C10" s="7" t="inlineStr">
        <is>
          <t>Empathy</t>
        </is>
      </c>
      <c r="D10" s="7" t="inlineStr">
        <is>
          <t>A coursemate you barely know seems to be struggling significantly, missing classes and looking withdrawn. What's your approach?</t>
        </is>
      </c>
      <c r="E10" s="7" t="inlineStr">
        <is>
          <t>A) Mention your concern to a mutual friend instead of reaching out yourself.</t>
        </is>
      </c>
      <c r="F10" s="7" t="inlineStr">
        <is>
          <t>B) Assume it's not your place to say anything since you're not close.</t>
        </is>
      </c>
      <c r="G10" s="7" t="inlineStr">
        <is>
          <t>C) Ask them directly and bluntly what's wrong with them.</t>
        </is>
      </c>
      <c r="H10" s="7" t="inlineStr">
        <is>
          <t>D) Send a low-pressure message letting them know you've noticed and you're around if they need anything.</t>
        </is>
      </c>
      <c r="I10" s="12" t="n">
        <v>2</v>
      </c>
      <c r="J10" s="12" t="n">
        <v>3</v>
      </c>
      <c r="K10" s="12" t="n">
        <v>2</v>
      </c>
      <c r="L10" s="12" t="n">
        <v>4</v>
      </c>
      <c r="M10" s="10" t="n"/>
      <c r="N10">
        <f>IF(M10="",0,INDEX(I10:L10,1,MATCH(M10,{"A","B","C","D"},0)))</f>
        <v/>
      </c>
    </row>
    <row r="11" ht="40" customHeight="1">
      <c r="A11" s="11" t="inlineStr">
        <is>
          <t>Set 1</t>
        </is>
      </c>
      <c r="B11" s="11" t="inlineStr">
        <is>
          <t>Q5</t>
        </is>
      </c>
      <c r="C11" s="7" t="inlineStr">
        <is>
          <t>Relationship Management</t>
        </is>
      </c>
      <c r="D11" s="7" t="inlineStr">
        <is>
          <t>You're assigned a group project with someone known for being difficult to work with. How do you approach the collaboration?</t>
        </is>
      </c>
      <c r="E11" s="7" t="inlineStr">
        <is>
          <t>A) Set up an early conversation to agree on roles, communication style, and expectations upfront.</t>
        </is>
      </c>
      <c r="F11" s="7" t="inlineStr">
        <is>
          <t>B) Complain to the professor preemptively about the group assignment.</t>
        </is>
      </c>
      <c r="G11" s="7" t="inlineStr">
        <is>
          <t>C) Do the work independently and just merge it at the end with minimal contact.</t>
        </is>
      </c>
      <c r="H11" s="7" t="inlineStr">
        <is>
          <t>D) Let them take the lead entirely to avoid any friction.</t>
        </is>
      </c>
      <c r="I11" s="12" t="n">
        <v>4</v>
      </c>
      <c r="J11" s="12" t="n">
        <v>2</v>
      </c>
      <c r="K11" s="12" t="n">
        <v>3</v>
      </c>
      <c r="L11" s="12" t="n">
        <v>2</v>
      </c>
      <c r="M11" s="10" t="n"/>
      <c r="N11">
        <f>IF(M11="",0,INDEX(I11:L11,1,MATCH(M11,{"A","B","C","D"},0)))</f>
        <v/>
      </c>
    </row>
    <row r="12" ht="40" customHeight="1">
      <c r="A12" s="11" t="inlineStr">
        <is>
          <t>Set 2</t>
        </is>
      </c>
      <c r="B12" s="11" t="inlineStr">
        <is>
          <t>Q1</t>
        </is>
      </c>
      <c r="C12" s="7" t="inlineStr">
        <is>
          <t>Self-Awareness</t>
        </is>
      </c>
      <c r="D12" s="7" t="inlineStr">
        <is>
          <t>You realise you've been more anxious than usual since starting to compare your post-graduation plans to your friends' plans. What's the underlying issue?</t>
        </is>
      </c>
      <c r="E12" s="7" t="inlineStr">
        <is>
          <t>A) Decide your plans are objectively worse than everyone else's.</t>
        </is>
      </c>
      <c r="F12" s="7" t="inlineStr">
        <is>
          <t>B) Recognise this is a comparison-driven anxiety, and refocus on whether your own plan actually fits your goals.</t>
        </is>
      </c>
      <c r="G12" s="7" t="inlineStr">
        <is>
          <t>C) Avoid conversations about post-graduation plans altogether.</t>
        </is>
      </c>
      <c r="H12" s="7" t="inlineStr">
        <is>
          <t>D) Change your plans impulsively to match what seems more impressive.</t>
        </is>
      </c>
      <c r="I12" s="12" t="n">
        <v>2</v>
      </c>
      <c r="J12" s="12" t="n">
        <v>4</v>
      </c>
      <c r="K12" s="12" t="n">
        <v>3</v>
      </c>
      <c r="L12" s="12" t="n">
        <v>2</v>
      </c>
      <c r="M12" s="10" t="n"/>
      <c r="N12">
        <f>IF(M12="",0,INDEX(I12:L12,1,MATCH(M12,{"A","B","C","D"},0)))</f>
        <v/>
      </c>
    </row>
    <row r="13" ht="40" customHeight="1">
      <c r="A13" s="11" t="inlineStr">
        <is>
          <t>Set 2</t>
        </is>
      </c>
      <c r="B13" s="11" t="inlineStr">
        <is>
          <t>Q2</t>
        </is>
      </c>
      <c r="C13" s="7" t="inlineStr">
        <is>
          <t>Self-Regulation</t>
        </is>
      </c>
      <c r="D13" s="7" t="inlineStr">
        <is>
          <t>A professor gives blunt, critical feedback on your thesis proposal in front of your cohort. What's your reaction in the moment?</t>
        </is>
      </c>
      <c r="E13" s="7" t="inlineStr">
        <is>
          <t>A) Go quiet and mentally check out for the rest of the session.</t>
        </is>
      </c>
      <c r="F13" s="7" t="inlineStr">
        <is>
          <t>B) Argue back defensively to justify your choices.</t>
        </is>
      </c>
      <c r="G13" s="7" t="inlineStr">
        <is>
          <t>C) Accept the feedback calmly in the moment, and process any frustration privately before deciding what to revise.</t>
        </is>
      </c>
      <c r="H13" s="7" t="inlineStr">
        <is>
          <t>D) Vent visibly to classmates immediately after the session ends.</t>
        </is>
      </c>
      <c r="I13" s="12" t="n">
        <v>3</v>
      </c>
      <c r="J13" s="12" t="n">
        <v>2</v>
      </c>
      <c r="K13" s="12" t="n">
        <v>4</v>
      </c>
      <c r="L13" s="12" t="n">
        <v>3</v>
      </c>
      <c r="M13" s="10" t="n"/>
      <c r="N13">
        <f>IF(M13="",0,INDEX(I13:L13,1,MATCH(M13,{"A","B","C","D"},0)))</f>
        <v/>
      </c>
    </row>
    <row r="14" ht="40" customHeight="1">
      <c r="A14" s="11" t="inlineStr">
        <is>
          <t>Set 2</t>
        </is>
      </c>
      <c r="B14" s="11" t="inlineStr">
        <is>
          <t>Q3</t>
        </is>
      </c>
      <c r="C14" s="7" t="inlineStr">
        <is>
          <t>Motivation / Resilience</t>
        </is>
      </c>
      <c r="D14" s="7" t="inlineStr">
        <is>
          <t>You've sent out dozens of job applications with almost no responses after weeks of searching. What's your approach?</t>
        </is>
      </c>
      <c r="E14" s="7" t="inlineStr">
        <is>
          <t>A) Conclude that you're simply unemployable and stop applying.</t>
        </is>
      </c>
      <c r="F14" s="7" t="inlineStr">
        <is>
          <t>B) Keep sending the exact same application to more places without changes.</t>
        </is>
      </c>
      <c r="G14" s="7" t="inlineStr">
        <is>
          <t>C) Blame the job market entirely without examining your own approach.</t>
        </is>
      </c>
      <c r="H14" s="7" t="inlineStr">
        <is>
          <t>D) Review your resume/approach for patterns, seek feedback from a career counsellor or mentor, and adjust your strategy.</t>
        </is>
      </c>
      <c r="I14" s="12" t="n">
        <v>2</v>
      </c>
      <c r="J14" s="12" t="n">
        <v>3</v>
      </c>
      <c r="K14" s="12" t="n">
        <v>2</v>
      </c>
      <c r="L14" s="12" t="n">
        <v>4</v>
      </c>
      <c r="M14" s="10" t="n"/>
      <c r="N14">
        <f>IF(M14="",0,INDEX(I14:L14,1,MATCH(M14,{"A","B","C","D"},0)))</f>
        <v/>
      </c>
    </row>
    <row r="15" ht="40" customHeight="1">
      <c r="A15" s="11" t="inlineStr">
        <is>
          <t>Set 2</t>
        </is>
      </c>
      <c r="B15" s="11" t="inlineStr">
        <is>
          <t>Q4</t>
        </is>
      </c>
      <c r="C15" s="7" t="inlineStr">
        <is>
          <t>Empathy</t>
        </is>
      </c>
      <c r="D15" s="7" t="inlineStr">
        <is>
          <t>Your close friend gets a job offer at their dream company while you're still job hunting. What's your reaction?</t>
        </is>
      </c>
      <c r="E15" s="7" t="inlineStr">
        <is>
          <t>A) Feel the sting honestly, and still show up as genuinely happy for them.</t>
        </is>
      </c>
      <c r="F15" s="7" t="inlineStr">
        <is>
          <t>B) Downplay how good the offer actually is when discussing it with them.</t>
        </is>
      </c>
      <c r="G15" s="7" t="inlineStr">
        <is>
          <t>C) Distance yourself from them to avoid feeling worse by comparison.</t>
        </is>
      </c>
      <c r="H15" s="7" t="inlineStr">
        <is>
          <t>D) Avoid discussing your own job search around them out of discomfort.</t>
        </is>
      </c>
      <c r="I15" s="12" t="n">
        <v>4</v>
      </c>
      <c r="J15" s="12" t="n">
        <v>2</v>
      </c>
      <c r="K15" s="12" t="n">
        <v>3</v>
      </c>
      <c r="L15" s="12" t="n">
        <v>3</v>
      </c>
      <c r="M15" s="10" t="n"/>
      <c r="N15">
        <f>IF(M15="",0,INDEX(I15:L15,1,MATCH(M15,{"A","B","C","D"},0)))</f>
        <v/>
      </c>
    </row>
    <row r="16" ht="40" customHeight="1">
      <c r="A16" s="11" t="inlineStr">
        <is>
          <t>Set 2</t>
        </is>
      </c>
      <c r="B16" s="11" t="inlineStr">
        <is>
          <t>Q5</t>
        </is>
      </c>
      <c r="C16" s="7" t="inlineStr">
        <is>
          <t>Relationship Management</t>
        </is>
      </c>
      <c r="D16" s="7" t="inlineStr">
        <is>
          <t>You and your roommate have different standards for guests staying over, and it's starting to create tension. How do you address it?</t>
        </is>
      </c>
      <c r="E16" s="7" t="inlineStr">
        <is>
          <t>A) Complain about it to other friends instead of addressing it directly.</t>
        </is>
      </c>
      <c r="F16" s="7" t="inlineStr">
        <is>
          <t>B) Propose a specific, clear agreement (like advance notice for overnight guests) in a calm conversation.</t>
        </is>
      </c>
      <c r="G16" s="7" t="inlineStr">
        <is>
          <t>C) Say nothing and just quietly resent the situation.</t>
        </is>
      </c>
      <c r="H16" s="7" t="inlineStr">
        <is>
          <t>D) Start inviting your own guests over more often out of spite.</t>
        </is>
      </c>
      <c r="I16" s="12" t="n">
        <v>2</v>
      </c>
      <c r="J16" s="12" t="n">
        <v>4</v>
      </c>
      <c r="K16" s="12" t="n">
        <v>3</v>
      </c>
      <c r="L16" s="12" t="n">
        <v>2</v>
      </c>
      <c r="M16" s="10" t="n"/>
      <c r="N16">
        <f>IF(M16="",0,INDEX(I16:L16,1,MATCH(M16,{"A","B","C","D"},0)))</f>
        <v/>
      </c>
    </row>
    <row r="17" ht="40" customHeight="1">
      <c r="A17" s="11" t="inlineStr">
        <is>
          <t>Set 3</t>
        </is>
      </c>
      <c r="B17" s="11" t="inlineStr">
        <is>
          <t>Q1</t>
        </is>
      </c>
      <c r="C17" s="7" t="inlineStr">
        <is>
          <t>Self-Awareness</t>
        </is>
      </c>
      <c r="D17" s="7" t="inlineStr">
        <is>
          <t>You notice you feel a specific dread every Sunday evening thinking about the coming week. What's your read on this?</t>
        </is>
      </c>
      <c r="E17" s="7" t="inlineStr">
        <is>
          <t>A) Decide Sundays are just naturally a bad day and leave it at that.</t>
        </is>
      </c>
      <c r="F17" s="7" t="inlineStr">
        <is>
          <t>B) Distract yourself from the feeling every Sunday without examining it.</t>
        </is>
      </c>
      <c r="G17" s="7" t="inlineStr">
        <is>
          <t>C) Consider what specifically about the week ahead triggers the dread, and address that root cause directly.</t>
        </is>
      </c>
      <c r="H17" s="7" t="inlineStr">
        <is>
          <t>D) Assume this is just what adult life feels like and accept it passively.</t>
        </is>
      </c>
      <c r="I17" s="12" t="n">
        <v>2</v>
      </c>
      <c r="J17" s="12" t="n">
        <v>3</v>
      </c>
      <c r="K17" s="12" t="n">
        <v>4</v>
      </c>
      <c r="L17" s="12" t="n">
        <v>2</v>
      </c>
      <c r="M17" s="10" t="n"/>
      <c r="N17">
        <f>IF(M17="",0,INDEX(I17:L17,1,MATCH(M17,{"A","B","C","D"},0)))</f>
        <v/>
      </c>
    </row>
    <row r="18" ht="40" customHeight="1">
      <c r="A18" s="11" t="inlineStr">
        <is>
          <t>Set 3</t>
        </is>
      </c>
      <c r="B18" s="11" t="inlineStr">
        <is>
          <t>Q2</t>
        </is>
      </c>
      <c r="C18" s="7" t="inlineStr">
        <is>
          <t>Self-Regulation</t>
        </is>
      </c>
      <c r="D18" s="7" t="inlineStr">
        <is>
          <t>A group chat for your friend circle turns into an argument about money owed from a trip, and it's getting heated. What's your role?</t>
        </is>
      </c>
      <c r="E18" s="7" t="inlineStr">
        <is>
          <t>A) Stay silent in the chat but feel increasingly frustrated.</t>
        </is>
      </c>
      <c r="F18" s="7" t="inlineStr">
        <is>
          <t>B) Add your own grievance to the pile since it's already tense anyway.</t>
        </is>
      </c>
      <c r="G18" s="7" t="inlineStr">
        <is>
          <t>C) Leave the chat to avoid dealing with the conflict.</t>
        </is>
      </c>
      <c r="H18" s="7" t="inlineStr">
        <is>
          <t>D) Suggest moving the money discussion to a calmer, separate conversation away from the group chat.</t>
        </is>
      </c>
      <c r="I18" s="12" t="n">
        <v>3</v>
      </c>
      <c r="J18" s="12" t="n">
        <v>2</v>
      </c>
      <c r="K18" s="12" t="n">
        <v>3</v>
      </c>
      <c r="L18" s="12" t="n">
        <v>4</v>
      </c>
      <c r="M18" s="10" t="n"/>
      <c r="N18">
        <f>IF(M18="",0,INDEX(I18:L18,1,MATCH(M18,{"A","B","C","D"},0)))</f>
        <v/>
      </c>
    </row>
    <row r="19" ht="40" customHeight="1">
      <c r="A19" s="11" t="inlineStr">
        <is>
          <t>Set 3</t>
        </is>
      </c>
      <c r="B19" s="11" t="inlineStr">
        <is>
          <t>Q3</t>
        </is>
      </c>
      <c r="C19" s="7" t="inlineStr">
        <is>
          <t>Motivation / Resilience</t>
        </is>
      </c>
      <c r="D19" s="7" t="inlineStr">
        <is>
          <t>You fail a core course and need to retake it, delaying your graduation timeline. What's your approach?</t>
        </is>
      </c>
      <c r="E19" s="7" t="inlineStr">
        <is>
          <t>A) Accept the setback, understand exactly what went wrong, and build a concrete plan for the retake.</t>
        </is>
      </c>
      <c r="F19" s="7" t="inlineStr">
        <is>
          <t>B) Retake it with the same study approach as before, hoping for a different outcome.</t>
        </is>
      </c>
      <c r="G19" s="7" t="inlineStr">
        <is>
          <t>C) Spiral into feeling like your whole academic path is now ruined.</t>
        </is>
      </c>
      <c r="H19" s="7" t="inlineStr">
        <is>
          <t>D) Blame the course structure entirely without reflecting on your own preparation.</t>
        </is>
      </c>
      <c r="I19" s="12" t="n">
        <v>4</v>
      </c>
      <c r="J19" s="12" t="n">
        <v>3</v>
      </c>
      <c r="K19" s="12" t="n">
        <v>2</v>
      </c>
      <c r="L19" s="12" t="n">
        <v>2</v>
      </c>
      <c r="M19" s="10" t="n"/>
      <c r="N19">
        <f>IF(M19="",0,INDEX(I19:L19,1,MATCH(M19,{"A","B","C","D"},0)))</f>
        <v/>
      </c>
    </row>
    <row r="20" ht="40" customHeight="1">
      <c r="A20" s="11" t="inlineStr">
        <is>
          <t>Set 3</t>
        </is>
      </c>
      <c r="B20" s="11" t="inlineStr">
        <is>
          <t>Q4</t>
        </is>
      </c>
      <c r="C20" s="7" t="inlineStr">
        <is>
          <t>Empathy</t>
        </is>
      </c>
      <c r="D20" s="7" t="inlineStr">
        <is>
          <t>A coursemate confides they're struggling to afford tuition and might have to drop out. What's your response?</t>
        </is>
      </c>
      <c r="E20" s="7" t="inlineStr">
        <is>
          <t>A) Offer to lend them money immediately without asking what kind of support they actually want.</t>
        </is>
      </c>
      <c r="F20" s="7" t="inlineStr">
        <is>
          <t>B) Listen fully first, and ask what kind of help (if any) would actually be useful before offering anything specific.</t>
        </is>
      </c>
      <c r="G20" s="7" t="inlineStr">
        <is>
          <t>C) Feel uncomfortable and change the subject.</t>
        </is>
      </c>
      <c r="H20" s="7" t="inlineStr">
        <is>
          <t>D) Tell them things will work out without really engaging with the seriousness of it.</t>
        </is>
      </c>
      <c r="I20" s="12" t="n">
        <v>3</v>
      </c>
      <c r="J20" s="12" t="n">
        <v>4</v>
      </c>
      <c r="K20" s="12" t="n">
        <v>2</v>
      </c>
      <c r="L20" s="12" t="n">
        <v>2</v>
      </c>
      <c r="M20" s="10" t="n"/>
      <c r="N20">
        <f>IF(M20="",0,INDEX(I20:L20,1,MATCH(M20,{"A","B","C","D"},0)))</f>
        <v/>
      </c>
    </row>
    <row r="21" ht="40" customHeight="1">
      <c r="A21" s="11" t="inlineStr">
        <is>
          <t>Set 3</t>
        </is>
      </c>
      <c r="B21" s="11" t="inlineStr">
        <is>
          <t>Q5</t>
        </is>
      </c>
      <c r="C21" s="7" t="inlineStr">
        <is>
          <t>Relationship Management</t>
        </is>
      </c>
      <c r="D21" s="7" t="inlineStr">
        <is>
          <t>You're leading a student club and a founding member resists any changes you propose, even reasonable ones. How do you handle it?</t>
        </is>
      </c>
      <c r="E21" s="7" t="inlineStr">
        <is>
          <t>A) Avoid proposing further changes to prevent conflict.</t>
        </is>
      </c>
      <c r="F21" s="7" t="inlineStr">
        <is>
          <t>B) Rally other members against them to override their objections.</t>
        </is>
      </c>
      <c r="G21" s="7" t="inlineStr">
        <is>
          <t>C) Have a private conversation to understand their attachment to the old way, and find where you can incorporate their input.</t>
        </is>
      </c>
      <c r="H21" s="7" t="inlineStr">
        <is>
          <t>D) Push through changes regardless of their objections since you're technically in charge.</t>
        </is>
      </c>
      <c r="I21" s="12" t="n">
        <v>3</v>
      </c>
      <c r="J21" s="12" t="n">
        <v>2</v>
      </c>
      <c r="K21" s="12" t="n">
        <v>4</v>
      </c>
      <c r="L21" s="12" t="n">
        <v>2</v>
      </c>
      <c r="M21" s="10" t="n"/>
      <c r="N21">
        <f>IF(M21="",0,INDEX(I21:L21,1,MATCH(M21,{"A","B","C","D"},0)))</f>
        <v/>
      </c>
    </row>
    <row r="22" ht="40" customHeight="1">
      <c r="A22" s="11" t="inlineStr">
        <is>
          <t>Set 4</t>
        </is>
      </c>
      <c r="B22" s="11" t="inlineStr">
        <is>
          <t>Q1</t>
        </is>
      </c>
      <c r="C22" s="7" t="inlineStr">
        <is>
          <t>Self-Awareness</t>
        </is>
      </c>
      <c r="D22" s="7" t="inlineStr">
        <is>
          <t>You realise that your mood at college has become almost entirely dependent on how your latest assignment grade came back. What's the takeaway?</t>
        </is>
      </c>
      <c r="E22" s="7" t="inlineStr">
        <is>
          <t>A) Decide grades should determine your mood since that's what college is about.</t>
        </is>
      </c>
      <c r="F22" s="7" t="inlineStr">
        <is>
          <t>B) Try to check grades less often without addressing the underlying reliance.</t>
        </is>
      </c>
      <c r="G22" s="7" t="inlineStr">
        <is>
          <t>C) Feel bad about the pattern without changing anything.</t>
        </is>
      </c>
      <c r="H22" s="7" t="inlineStr">
        <is>
          <t>D) Recognise this dependency is unsustainable, and work on building a sense of self-worth outside of grades.</t>
        </is>
      </c>
      <c r="I22" s="12" t="n">
        <v>2</v>
      </c>
      <c r="J22" s="12" t="n">
        <v>3</v>
      </c>
      <c r="K22" s="12" t="n">
        <v>2</v>
      </c>
      <c r="L22" s="12" t="n">
        <v>4</v>
      </c>
      <c r="M22" s="10" t="n"/>
      <c r="N22">
        <f>IF(M22="",0,INDEX(I22:L22,1,MATCH(M22,{"A","B","C","D"},0)))</f>
        <v/>
      </c>
    </row>
    <row r="23" ht="40" customHeight="1">
      <c r="A23" s="11" t="inlineStr">
        <is>
          <t>Set 4</t>
        </is>
      </c>
      <c r="B23" s="11" t="inlineStr">
        <is>
          <t>Q2</t>
        </is>
      </c>
      <c r="C23" s="7" t="inlineStr">
        <is>
          <t>Self-Regulation</t>
        </is>
      </c>
      <c r="D23" s="7" t="inlineStr">
        <is>
          <t>You're interviewing for a job and the interviewer asks an unexpectedly aggressive, pointed question about a gap in your resume. What's your response?</t>
        </is>
      </c>
      <c r="E23" s="7" t="inlineStr">
        <is>
          <t>A) Pause briefly, then answer honestly and calmly with the context they're asking about.</t>
        </is>
      </c>
      <c r="F23" s="7" t="inlineStr">
        <is>
          <t>B) Get visibly flustered and give a rambling, defensive answer.</t>
        </is>
      </c>
      <c r="G23" s="7" t="inlineStr">
        <is>
          <t>C) Push back on the interviewer for asking an unfair question.</t>
        </is>
      </c>
      <c r="H23" s="7" t="inlineStr">
        <is>
          <t>D) Deflect the question entirely without really answering it.</t>
        </is>
      </c>
      <c r="I23" s="12" t="n">
        <v>4</v>
      </c>
      <c r="J23" s="12" t="n">
        <v>2</v>
      </c>
      <c r="K23" s="12" t="n">
        <v>2</v>
      </c>
      <c r="L23" s="12" t="n">
        <v>3</v>
      </c>
      <c r="M23" s="10" t="n"/>
      <c r="N23">
        <f>IF(M23="",0,INDEX(I23:L23,1,MATCH(M23,{"A","B","C","D"},0)))</f>
        <v/>
      </c>
    </row>
    <row r="24" ht="40" customHeight="1">
      <c r="A24" s="11" t="inlineStr">
        <is>
          <t>Set 4</t>
        </is>
      </c>
      <c r="B24" s="11" t="inlineStr">
        <is>
          <t>Q3</t>
        </is>
      </c>
      <c r="C24" s="7" t="inlineStr">
        <is>
          <t>Motivation / Resilience</t>
        </is>
      </c>
      <c r="D24" s="7" t="inlineStr">
        <is>
          <t>Your startup idea/side-project gets rejected by every investor or incubator you pitch to. What's your next move?</t>
        </is>
      </c>
      <c r="E24" s="7" t="inlineStr">
        <is>
          <t>A) Decide the idea (and you) simply aren't good enough and shelve it entirely.</t>
        </is>
      </c>
      <c r="F24" s="7" t="inlineStr">
        <is>
          <t>B) Gather specific feedback across pitches to identify a common thread, and revise the pitch or the idea itself.</t>
        </is>
      </c>
      <c r="G24" s="7" t="inlineStr">
        <is>
          <t>C) Conclude investors just don't understand your vision.</t>
        </is>
      </c>
      <c r="H24" s="7" t="inlineStr">
        <is>
          <t>D) Pitch the exact same deck to more people without changes.</t>
        </is>
      </c>
      <c r="I24" s="12" t="n">
        <v>2</v>
      </c>
      <c r="J24" s="12" t="n">
        <v>4</v>
      </c>
      <c r="K24" s="12" t="n">
        <v>2</v>
      </c>
      <c r="L24" s="12" t="n">
        <v>3</v>
      </c>
      <c r="M24" s="10" t="n"/>
      <c r="N24">
        <f>IF(M24="",0,INDEX(I24:L24,1,MATCH(M24,{"A","B","C","D"},0)))</f>
        <v/>
      </c>
    </row>
    <row r="25" ht="40" customHeight="1">
      <c r="A25" s="11" t="inlineStr">
        <is>
          <t>Set 4</t>
        </is>
      </c>
      <c r="B25" s="11" t="inlineStr">
        <is>
          <t>Q4</t>
        </is>
      </c>
      <c r="C25" s="7" t="inlineStr">
        <is>
          <t>Empathy</t>
        </is>
      </c>
      <c r="D25" s="7" t="inlineStr">
        <is>
          <t>A friend going through a breakup keeps bringing it up in every conversation, even weeks later. What's your approach?</t>
        </is>
      </c>
      <c r="E25" s="7" t="inlineStr">
        <is>
          <t>A) Tell them directly to get over it and move on.</t>
        </is>
      </c>
      <c r="F25" s="7" t="inlineStr">
        <is>
          <t>B) Start avoiding hanging out with them to escape the repetitive conversations.</t>
        </is>
      </c>
      <c r="G25" s="7" t="inlineStr">
        <is>
          <t>C) Continue being patient and present, while gently checking if they've considered additional support if it's not improving.</t>
        </is>
      </c>
      <c r="H25" s="7" t="inlineStr">
        <is>
          <t>D) Change the subject every time it comes up without acknowledging it.</t>
        </is>
      </c>
      <c r="I25" s="12" t="n">
        <v>1</v>
      </c>
      <c r="J25" s="12" t="n">
        <v>3</v>
      </c>
      <c r="K25" s="12" t="n">
        <v>4</v>
      </c>
      <c r="L25" s="12" t="n">
        <v>3</v>
      </c>
      <c r="M25" s="10" t="n"/>
      <c r="N25">
        <f>IF(M25="",0,INDEX(I25:L25,1,MATCH(M25,{"A","B","C","D"},0)))</f>
        <v/>
      </c>
    </row>
    <row r="26" ht="40" customHeight="1">
      <c r="A26" s="11" t="inlineStr">
        <is>
          <t>Set 4</t>
        </is>
      </c>
      <c r="B26" s="11" t="inlineStr">
        <is>
          <t>Q5</t>
        </is>
      </c>
      <c r="C26" s="7" t="inlineStr">
        <is>
          <t>Relationship Management</t>
        </is>
      </c>
      <c r="D26" s="7" t="inlineStr">
        <is>
          <t>Your project partner in a capstone course consistently does lower-quality work than you, risking your shared grade. How do you handle it?</t>
        </is>
      </c>
      <c r="E26" s="7" t="inlineStr">
        <is>
          <t>A) Report the imbalance to the professor without discussing it with your partner first.</t>
        </is>
      </c>
      <c r="F26" s="7" t="inlineStr">
        <is>
          <t>B) Redo their sections yourself without telling them, to protect your grade.</t>
        </is>
      </c>
      <c r="G26" s="7" t="inlineStr">
        <is>
          <t>C) Accept the lower quality and hope it doesn't affect your grade much.</t>
        </is>
      </c>
      <c r="H26" s="7" t="inlineStr">
        <is>
          <t>D) Have a direct conversation about the quality gap, and agree on a review process before final submission.</t>
        </is>
      </c>
      <c r="I26" s="12" t="n">
        <v>2</v>
      </c>
      <c r="J26" s="12" t="n">
        <v>3</v>
      </c>
      <c r="K26" s="12" t="n">
        <v>2</v>
      </c>
      <c r="L26" s="12" t="n">
        <v>4</v>
      </c>
      <c r="M26" s="10" t="n"/>
      <c r="N26">
        <f>IF(M26="",0,INDEX(I26:L26,1,MATCH(M26,{"A","B","C","D"},0)))</f>
        <v/>
      </c>
    </row>
    <row r="27" ht="40" customHeight="1">
      <c r="A27" s="11" t="inlineStr">
        <is>
          <t>Set 5</t>
        </is>
      </c>
      <c r="B27" s="11" t="inlineStr">
        <is>
          <t>Q1</t>
        </is>
      </c>
      <c r="C27" s="7" t="inlineStr">
        <is>
          <t>Self-Awareness</t>
        </is>
      </c>
      <c r="D27" s="7" t="inlineStr">
        <is>
          <t>You've started dreading checking your email because of the anxiety around job application responses. What's the honest pattern here?</t>
        </is>
      </c>
      <c r="E27" s="7" t="inlineStr">
        <is>
          <t>A) Recognise the anticipatory anxiety, and set specific times to check rather than checking constantly.</t>
        </is>
      </c>
      <c r="F27" s="7" t="inlineStr">
        <is>
          <t>B) Avoid checking email altogether, even for unrelated important things.</t>
        </is>
      </c>
      <c r="G27" s="7" t="inlineStr">
        <is>
          <t>C) Check obsessively anyway despite the anxiety it causes.</t>
        </is>
      </c>
      <c r="H27" s="7" t="inlineStr">
        <is>
          <t>D) Decide checking email is just inherently stressful for everyone.</t>
        </is>
      </c>
      <c r="I27" s="12" t="n">
        <v>4</v>
      </c>
      <c r="J27" s="12" t="n">
        <v>2</v>
      </c>
      <c r="K27" s="12" t="n">
        <v>2</v>
      </c>
      <c r="L27" s="12" t="n">
        <v>3</v>
      </c>
      <c r="M27" s="10" t="n"/>
      <c r="N27">
        <f>IF(M27="",0,INDEX(I27:L27,1,MATCH(M27,{"A","B","C","D"},0)))</f>
        <v/>
      </c>
    </row>
    <row r="28" ht="40" customHeight="1">
      <c r="A28" s="11" t="inlineStr">
        <is>
          <t>Set 5</t>
        </is>
      </c>
      <c r="B28" s="11" t="inlineStr">
        <is>
          <t>Q2</t>
        </is>
      </c>
      <c r="C28" s="7" t="inlineStr">
        <is>
          <t>Self-Regulation</t>
        </is>
      </c>
      <c r="D28" s="7" t="inlineStr">
        <is>
          <t>A friend makes a joke at your expense in front of a group you're trying to make a good impression on. What's your reaction?</t>
        </is>
      </c>
      <c r="E28" s="7" t="inlineStr">
        <is>
          <t>A) Go quiet and withdraw from the conversation for the rest of the evening.</t>
        </is>
      </c>
      <c r="F28" s="7" t="inlineStr">
        <is>
          <t>B) Laugh it off in the moment if it's minor, and mention privately later if it actually bothered you.</t>
        </is>
      </c>
      <c r="G28" s="7" t="inlineStr">
        <is>
          <t>C) Snap back with something equally cutting to save face.</t>
        </is>
      </c>
      <c r="H28" s="7" t="inlineStr">
        <is>
          <t>D) Confront them loudly in front of the group.</t>
        </is>
      </c>
      <c r="I28" s="12" t="n">
        <v>3</v>
      </c>
      <c r="J28" s="12" t="n">
        <v>4</v>
      </c>
      <c r="K28" s="12" t="n">
        <v>2</v>
      </c>
      <c r="L28" s="12" t="n">
        <v>2</v>
      </c>
      <c r="M28" s="10" t="n"/>
      <c r="N28">
        <f>IF(M28="",0,INDEX(I28:L28,1,MATCH(M28,{"A","B","C","D"},0)))</f>
        <v/>
      </c>
    </row>
    <row r="29" ht="40" customHeight="1">
      <c r="A29" s="11" t="inlineStr">
        <is>
          <t>Set 5</t>
        </is>
      </c>
      <c r="B29" s="11" t="inlineStr">
        <is>
          <t>Q3</t>
        </is>
      </c>
      <c r="C29" s="7" t="inlineStr">
        <is>
          <t>Motivation / Resilience</t>
        </is>
      </c>
      <c r="D29" s="7" t="inlineStr">
        <is>
          <t>You take on a demanding part-time job alongside coursework and your grades start slipping as a result. What's your approach?</t>
        </is>
      </c>
      <c r="E29" s="7" t="inlineStr">
        <is>
          <t>A) Push through exactly as-is, assuming things will sort themselves out.</t>
        </is>
      </c>
      <c r="F29" s="7" t="inlineStr">
        <is>
          <t>B) Blame the coursework for being unreasonably demanding.</t>
        </is>
      </c>
      <c r="G29" s="7" t="inlineStr">
        <is>
          <t>C) Honestly assess whether the current balance is sustainable, and adjust hours or study strategy accordingly.</t>
        </is>
      </c>
      <c r="H29" s="7" t="inlineStr">
        <is>
          <t>D) Quit the job abruptly without a backup financial plan.</t>
        </is>
      </c>
      <c r="I29" s="12" t="n">
        <v>3</v>
      </c>
      <c r="J29" s="12" t="n">
        <v>2</v>
      </c>
      <c r="K29" s="12" t="n">
        <v>4</v>
      </c>
      <c r="L29" s="12" t="n">
        <v>2</v>
      </c>
      <c r="M29" s="10" t="n"/>
      <c r="N29">
        <f>IF(M29="",0,INDEX(I29:L29,1,MATCH(M29,{"A","B","C","D"},0)))</f>
        <v/>
      </c>
    </row>
    <row r="30" ht="40" customHeight="1">
      <c r="A30" s="11" t="inlineStr">
        <is>
          <t>Set 5</t>
        </is>
      </c>
      <c r="B30" s="11" t="inlineStr">
        <is>
          <t>Q4</t>
        </is>
      </c>
      <c r="C30" s="7" t="inlineStr">
        <is>
          <t>Empathy</t>
        </is>
      </c>
      <c r="D30" s="7" t="inlineStr">
        <is>
          <t>A close friend seems to be making a financially risky decision (like an expensive impulsive purchase) during a hard time. What's your approach?</t>
        </is>
      </c>
      <c r="E30" s="7" t="inlineStr">
        <is>
          <t>A) Lecture them repeatedly about financial responsibility.</t>
        </is>
      </c>
      <c r="F30" s="7" t="inlineStr">
        <is>
          <t>B) Talk to mutual friends about your concern instead of them.</t>
        </is>
      </c>
      <c r="G30" s="7" t="inlineStr">
        <is>
          <t>C) Say nothing since it's their money and their choice.</t>
        </is>
      </c>
      <c r="H30" s="7" t="inlineStr">
        <is>
          <t>D) Express your concern honestly once, in a caring way, then respect their autonomy either way.</t>
        </is>
      </c>
      <c r="I30" s="12" t="n">
        <v>2</v>
      </c>
      <c r="J30" s="12" t="n">
        <v>2</v>
      </c>
      <c r="K30" s="12" t="n">
        <v>3</v>
      </c>
      <c r="L30" s="12" t="n">
        <v>4</v>
      </c>
      <c r="M30" s="10" t="n"/>
      <c r="N30">
        <f>IF(M30="",0,INDEX(I30:L30,1,MATCH(M30,{"A","B","C","D"},0)))</f>
        <v/>
      </c>
    </row>
    <row r="31" ht="40" customHeight="1">
      <c r="A31" s="11" t="inlineStr">
        <is>
          <t>Set 5</t>
        </is>
      </c>
      <c r="B31" s="11" t="inlineStr">
        <is>
          <t>Q5</t>
        </is>
      </c>
      <c r="C31" s="7" t="inlineStr">
        <is>
          <t>Relationship Management</t>
        </is>
      </c>
      <c r="D31" s="7" t="inlineStr">
        <is>
          <t>You need to tell your close college friend group that you're moving to a different city after graduation, which will change the dynamic. How do you approach it?</t>
        </is>
      </c>
      <c r="E31" s="7" t="inlineStr">
        <is>
          <t>A) Share the news openly and early, and talk through how you all want to stay connected.</t>
        </is>
      </c>
      <c r="F31" s="7" t="inlineStr">
        <is>
          <t>B) Downplay the significance of the move to avoid an emotional conversation.</t>
        </is>
      </c>
      <c r="G31" s="7" t="inlineStr">
        <is>
          <t>C) Avoid bringing it up until it becomes unavoidable.</t>
        </is>
      </c>
      <c r="H31" s="7" t="inlineStr">
        <is>
          <t>D) Let someone else break the news for you.</t>
        </is>
      </c>
      <c r="I31" s="12" t="n">
        <v>4</v>
      </c>
      <c r="J31" s="12" t="n">
        <v>2</v>
      </c>
      <c r="K31" s="12" t="n">
        <v>3</v>
      </c>
      <c r="L31" s="12" t="n">
        <v>2</v>
      </c>
      <c r="M31" s="10" t="n"/>
      <c r="N31">
        <f>IF(M31="",0,INDEX(I31:L31,1,MATCH(M31,{"A","B","C","D"},0)))</f>
        <v/>
      </c>
    </row>
    <row r="32" ht="40" customHeight="1">
      <c r="A32" s="11" t="inlineStr">
        <is>
          <t>Set 6</t>
        </is>
      </c>
      <c r="B32" s="11" t="inlineStr">
        <is>
          <t>Q1</t>
        </is>
      </c>
      <c r="C32" s="7" t="inlineStr">
        <is>
          <t>Self-Awareness</t>
        </is>
      </c>
      <c r="D32" s="7" t="inlineStr">
        <is>
          <t>You notice you get defensive almost instantly whenever anyone offers feedback on your work, even constructive feedback. What's the underlying pattern?</t>
        </is>
      </c>
      <c r="E32" s="7" t="inlineStr">
        <is>
          <t>A) Avoid sharing work with others to sidestep the discomfort of feedback.</t>
        </is>
      </c>
      <c r="F32" s="7" t="inlineStr">
        <is>
          <t>B) Recognise the defensiveness as a pattern worth examining, and practice pausing before responding to feedback.</t>
        </is>
      </c>
      <c r="G32" s="7" t="inlineStr">
        <is>
          <t>C) Accept the feedback outwardly but dismiss it internally without reflection.</t>
        </is>
      </c>
      <c r="H32" s="7" t="inlineStr">
        <is>
          <t>D) Decide your work is generally strong and people are just being overly critical.</t>
        </is>
      </c>
      <c r="I32" s="12" t="n">
        <v>3</v>
      </c>
      <c r="J32" s="12" t="n">
        <v>4</v>
      </c>
      <c r="K32" s="12" t="n">
        <v>3</v>
      </c>
      <c r="L32" s="12" t="n">
        <v>2</v>
      </c>
      <c r="M32" s="10" t="n"/>
      <c r="N32">
        <f>IF(M32="",0,INDEX(I32:L32,1,MATCH(M32,{"A","B","C","D"},0)))</f>
        <v/>
      </c>
    </row>
    <row r="33" ht="40" customHeight="1">
      <c r="A33" s="11" t="inlineStr">
        <is>
          <t>Set 6</t>
        </is>
      </c>
      <c r="B33" s="11" t="inlineStr">
        <is>
          <t>Q2</t>
        </is>
      </c>
      <c r="C33" s="7" t="inlineStr">
        <is>
          <t>Self-Regulation</t>
        </is>
      </c>
      <c r="D33" s="7" t="inlineStr">
        <is>
          <t>You're rejected from your top-choice grad school program while a peer with a similar profile gets in. What's your reaction?</t>
        </is>
      </c>
      <c r="E33" s="7" t="inlineStr">
        <is>
          <t>A) Publicly express frustration about the unfairness of admissions.</t>
        </is>
      </c>
      <c r="F33" s="7" t="inlineStr">
        <is>
          <t>B) Assume the process was unfair or based on favoritism.</t>
        </is>
      </c>
      <c r="G33" s="7" t="inlineStr">
        <is>
          <t>C) Feel the disappointment fully, then look for a constructive next step (reapplication, alternative program, feedback).</t>
        </is>
      </c>
      <c r="H33" s="7" t="inlineStr">
        <is>
          <t>D) Avoid the peer and any conversation about the topic entirely.</t>
        </is>
      </c>
      <c r="I33" s="12" t="n">
        <v>2</v>
      </c>
      <c r="J33" s="12" t="n">
        <v>2</v>
      </c>
      <c r="K33" s="12" t="n">
        <v>4</v>
      </c>
      <c r="L33" s="12" t="n">
        <v>3</v>
      </c>
      <c r="M33" s="10" t="n"/>
      <c r="N33">
        <f>IF(M33="",0,INDEX(I33:L33,1,MATCH(M33,{"A","B","C","D"},0)))</f>
        <v/>
      </c>
    </row>
    <row r="34" ht="40" customHeight="1">
      <c r="A34" s="11" t="inlineStr">
        <is>
          <t>Set 6</t>
        </is>
      </c>
      <c r="B34" s="11" t="inlineStr">
        <is>
          <t>Q3</t>
        </is>
      </c>
      <c r="C34" s="7" t="inlineStr">
        <is>
          <t>Motivation / Resilience</t>
        </is>
      </c>
      <c r="D34" s="7" t="inlineStr">
        <is>
          <t>Your thesis advisor suggests scrapping months of research direction for a different approach close to the deadline. What's your response?</t>
        </is>
      </c>
      <c r="E34" s="7" t="inlineStr">
        <is>
          <t>A) Refuse outright since you've already invested so much time.</t>
        </is>
      </c>
      <c r="F34" s="7" t="inlineStr">
        <is>
          <t>B) Agree immediately without pushing back, even if you have real concerns.</t>
        </is>
      </c>
      <c r="G34" s="7" t="inlineStr">
        <is>
          <t>C) Feel like all your prior work was wasted and lose motivation to continue.</t>
        </is>
      </c>
      <c r="H34" s="7" t="inlineStr">
        <is>
          <t>D) Take time to genuinely evaluate the suggestion, then decide on a path forward with a clear rationale.</t>
        </is>
      </c>
      <c r="I34" s="12" t="n">
        <v>2</v>
      </c>
      <c r="J34" s="12" t="n">
        <v>3</v>
      </c>
      <c r="K34" s="12" t="n">
        <v>2</v>
      </c>
      <c r="L34" s="12" t="n">
        <v>4</v>
      </c>
      <c r="M34" s="10" t="n"/>
      <c r="N34">
        <f>IF(M34="",0,INDEX(I34:L34,1,MATCH(M34,{"A","B","C","D"},0)))</f>
        <v/>
      </c>
    </row>
    <row r="35" ht="40" customHeight="1">
      <c r="A35" s="11" t="inlineStr">
        <is>
          <t>Set 6</t>
        </is>
      </c>
      <c r="B35" s="11" t="inlineStr">
        <is>
          <t>Q4</t>
        </is>
      </c>
      <c r="C35" s="7" t="inlineStr">
        <is>
          <t>Empathy</t>
        </is>
      </c>
      <c r="D35" s="7" t="inlineStr">
        <is>
          <t>A coursemate is visibly anxious before a group presentation and asks to go last, which shifts more prep pressure onto others. What's your response?</t>
        </is>
      </c>
      <c r="E35" s="7" t="inlineStr">
        <is>
          <t>A) Accommodate their request where possible, while checking in with the group about fair distribution of prep work.</t>
        </is>
      </c>
      <c r="F35" s="7" t="inlineStr">
        <is>
          <t>B) Push back and insist they take their originally assigned slot.</t>
        </is>
      </c>
      <c r="G35" s="7" t="inlineStr">
        <is>
          <t>C) Agree without discussing the impact on the rest of the group.</t>
        </is>
      </c>
      <c r="H35" s="7" t="inlineStr">
        <is>
          <t>D) Complain to the group about them being difficult.</t>
        </is>
      </c>
      <c r="I35" s="12" t="n">
        <v>4</v>
      </c>
      <c r="J35" s="12" t="n">
        <v>2</v>
      </c>
      <c r="K35" s="12" t="n">
        <v>3</v>
      </c>
      <c r="L35" s="12" t="n">
        <v>2</v>
      </c>
      <c r="M35" s="10" t="n"/>
      <c r="N35">
        <f>IF(M35="",0,INDEX(I35:L35,1,MATCH(M35,{"A","B","C","D"},0)))</f>
        <v/>
      </c>
    </row>
    <row r="36" ht="40" customHeight="1">
      <c r="A36" s="11" t="inlineStr">
        <is>
          <t>Set 6</t>
        </is>
      </c>
      <c r="B36" s="11" t="inlineStr">
        <is>
          <t>Q5</t>
        </is>
      </c>
      <c r="C36" s="7" t="inlineStr">
        <is>
          <t>Relationship Management</t>
        </is>
      </c>
      <c r="D36" s="7" t="inlineStr">
        <is>
          <t>You and your long-distance college friend are drifting apart as your lives diverge post-graduation. How do you handle it?</t>
        </is>
      </c>
      <c r="E36" s="7" t="inlineStr">
        <is>
          <t>A) Cut contact abruptly rather than deal with the gradual distance.</t>
        </is>
      </c>
      <c r="F36" s="7" t="inlineStr">
        <is>
          <t>B) Have an honest conversation about the changing dynamic and agree on a realistic way to stay in touch.</t>
        </is>
      </c>
      <c r="G36" s="7" t="inlineStr">
        <is>
          <t>C) Overcompensate with excessive messages to try to force the old closeness back.</t>
        </is>
      </c>
      <c r="H36" s="7" t="inlineStr">
        <is>
          <t>D) Let the friendship fade naturally without addressing it.</t>
        </is>
      </c>
      <c r="I36" s="12" t="n">
        <v>2</v>
      </c>
      <c r="J36" s="12" t="n">
        <v>4</v>
      </c>
      <c r="K36" s="12" t="n">
        <v>2</v>
      </c>
      <c r="L36" s="12" t="n">
        <v>3</v>
      </c>
      <c r="M36" s="10" t="n"/>
      <c r="N36">
        <f>IF(M36="",0,INDEX(I36:L36,1,MATCH(M36,{"A","B","C","D"},0)))</f>
        <v/>
      </c>
    </row>
    <row r="37" ht="40" customHeight="1">
      <c r="A37" s="11" t="inlineStr">
        <is>
          <t>Set 7</t>
        </is>
      </c>
      <c r="B37" s="11" t="inlineStr">
        <is>
          <t>Q1</t>
        </is>
      </c>
      <c r="C37" s="7" t="inlineStr">
        <is>
          <t>Self-Awareness</t>
        </is>
      </c>
      <c r="D37" s="7" t="inlineStr">
        <is>
          <t>You realise you feel disproportionately anxious about small mistakes at your internship compared to how your supervisor actually reacts to them. What's your read?</t>
        </is>
      </c>
      <c r="E37" s="7" t="inlineStr">
        <is>
          <t>A) Assume your supervisor is secretly more upset than they're letting on.</t>
        </is>
      </c>
      <c r="F37" s="7" t="inlineStr">
        <is>
          <t>B) Avoid taking on tasks where mistakes are possible.</t>
        </is>
      </c>
      <c r="G37" s="7" t="inlineStr">
        <is>
          <t>C) Notice the gap between your internal reaction and the actual stakes, and work on calibrating your response to feedback.</t>
        </is>
      </c>
      <c r="H37" s="7" t="inlineStr">
        <is>
          <t>D) Decide you're just naturally more anxious than other interns.</t>
        </is>
      </c>
      <c r="I37" s="12" t="n">
        <v>2</v>
      </c>
      <c r="J37" s="12" t="n">
        <v>3</v>
      </c>
      <c r="K37" s="12" t="n">
        <v>4</v>
      </c>
      <c r="L37" s="12" t="n">
        <v>2</v>
      </c>
      <c r="M37" s="10" t="n"/>
      <c r="N37">
        <f>IF(M37="",0,INDEX(I37:L37,1,MATCH(M37,{"A","B","C","D"},0)))</f>
        <v/>
      </c>
    </row>
    <row r="38" ht="40" customHeight="1">
      <c r="A38" s="11" t="inlineStr">
        <is>
          <t>Set 7</t>
        </is>
      </c>
      <c r="B38" s="11" t="inlineStr">
        <is>
          <t>Q2</t>
        </is>
      </c>
      <c r="C38" s="7" t="inlineStr">
        <is>
          <t>Self-Regulation</t>
        </is>
      </c>
      <c r="D38" s="7" t="inlineStr">
        <is>
          <t>You get a lowball job offer after a long, exhausting interview process and feel a surge of frustration. What's your next move?</t>
        </is>
      </c>
      <c r="E38" s="7" t="inlineStr">
        <is>
          <t>A) Accept it immediately just to end the exhausting process, despite your frustration.</t>
        </is>
      </c>
      <c r="F38" s="7" t="inlineStr">
        <is>
          <t>B) Reject it immediately and angrily without further discussion.</t>
        </is>
      </c>
      <c r="G38" s="7" t="inlineStr">
        <is>
          <t>C) Vent about the company publicly on social media.</t>
        </is>
      </c>
      <c r="H38" s="7" t="inlineStr">
        <is>
          <t>D) Take time to process the frustration, then respond professionally to negotiate or decline.</t>
        </is>
      </c>
      <c r="I38" s="12" t="n">
        <v>3</v>
      </c>
      <c r="J38" s="12" t="n">
        <v>2</v>
      </c>
      <c r="K38" s="12" t="n">
        <v>2</v>
      </c>
      <c r="L38" s="12" t="n">
        <v>4</v>
      </c>
      <c r="M38" s="10" t="n"/>
      <c r="N38">
        <f>IF(M38="",0,INDEX(I38:L38,1,MATCH(M38,{"A","B","C","D"},0)))</f>
        <v/>
      </c>
    </row>
    <row r="39" ht="40" customHeight="1">
      <c r="A39" s="11" t="inlineStr">
        <is>
          <t>Set 7</t>
        </is>
      </c>
      <c r="B39" s="11" t="inlineStr">
        <is>
          <t>Q3</t>
        </is>
      </c>
      <c r="C39" s="7" t="inlineStr">
        <is>
          <t>Motivation / Resilience</t>
        </is>
      </c>
      <c r="D39" s="7" t="inlineStr">
        <is>
          <t>You've been passed over for a promotion at your part-time job that you were hoping for. What's your approach?</t>
        </is>
      </c>
      <c r="E39" s="7" t="inlineStr">
        <is>
          <t>A) Ask your manager directly what would strengthen your case for next time.</t>
        </is>
      </c>
      <c r="F39" s="7" t="inlineStr">
        <is>
          <t>B) Decide the workplace doesn't value you and start disengaging.</t>
        </is>
      </c>
      <c r="G39" s="7" t="inlineStr">
        <is>
          <t>C) Keep doing exactly the same work, hoping it'll be noticed eventually.</t>
        </is>
      </c>
      <c r="H39" s="7" t="inlineStr">
        <is>
          <t>D) Assume it was purely political and stop putting in extra effort.</t>
        </is>
      </c>
      <c r="I39" s="12" t="n">
        <v>4</v>
      </c>
      <c r="J39" s="12" t="n">
        <v>2</v>
      </c>
      <c r="K39" s="12" t="n">
        <v>3</v>
      </c>
      <c r="L39" s="12" t="n">
        <v>2</v>
      </c>
      <c r="M39" s="10" t="n"/>
      <c r="N39">
        <f>IF(M39="",0,INDEX(I39:L39,1,MATCH(M39,{"A","B","C","D"},0)))</f>
        <v/>
      </c>
    </row>
    <row r="40" ht="40" customHeight="1">
      <c r="A40" s="11" t="inlineStr">
        <is>
          <t>Set 7</t>
        </is>
      </c>
      <c r="B40" s="11" t="inlineStr">
        <is>
          <t>Q4</t>
        </is>
      </c>
      <c r="C40" s="7" t="inlineStr">
        <is>
          <t>Empathy</t>
        </is>
      </c>
      <c r="D40" s="7" t="inlineStr">
        <is>
          <t>A new intern on your team is clearly overwhelmed and making small mistakes trying to keep up. What's your approach?</t>
        </is>
      </c>
      <c r="E40" s="7" t="inlineStr">
        <is>
          <t>A) Ignore it since it's not officially your responsibility to help them.</t>
        </is>
      </c>
      <c r="F40" s="7" t="inlineStr">
        <is>
          <t>B) Offer some practical guidance and reassurance, remembering what it felt like when you started.</t>
        </is>
      </c>
      <c r="G40" s="7" t="inlineStr">
        <is>
          <t>C) Report their mistakes to the supervisor to cover yourself.</t>
        </is>
      </c>
      <c r="H40" s="7" t="inlineStr">
        <is>
          <t>D) Make jokes about their mistakes to lighten the mood for yourself.</t>
        </is>
      </c>
      <c r="I40" s="12" t="n">
        <v>3</v>
      </c>
      <c r="J40" s="12" t="n">
        <v>4</v>
      </c>
      <c r="K40" s="12" t="n">
        <v>2</v>
      </c>
      <c r="L40" s="12" t="n">
        <v>1</v>
      </c>
      <c r="M40" s="10" t="n"/>
      <c r="N40">
        <f>IF(M40="",0,INDEX(I40:L40,1,MATCH(M40,{"A","B","C","D"},0)))</f>
        <v/>
      </c>
    </row>
    <row r="41" ht="40" customHeight="1">
      <c r="A41" s="11" t="inlineStr">
        <is>
          <t>Set 7</t>
        </is>
      </c>
      <c r="B41" s="11" t="inlineStr">
        <is>
          <t>Q5</t>
        </is>
      </c>
      <c r="C41" s="7" t="inlineStr">
        <is>
          <t>Relationship Management</t>
        </is>
      </c>
      <c r="D41" s="7" t="inlineStr">
        <is>
          <t>Your manager at your part-time job gives you credit for a team success that was actually mostly your colleague's work. How do you handle it?</t>
        </is>
      </c>
      <c r="E41" s="7" t="inlineStr">
        <is>
          <t>A) Mention it to your colleague privately but not correct it with the manager.</t>
        </is>
      </c>
      <c r="F41" s="7" t="inlineStr">
        <is>
          <t>B) Accept the credit quietly and say nothing.</t>
        </is>
      </c>
      <c r="G41" s="7" t="inlineStr">
        <is>
          <t>C) Clarify to your manager that the credit should go to your colleague, and make sure they know too.</t>
        </is>
      </c>
      <c r="H41" s="7" t="inlineStr">
        <is>
          <t>D) Let it go since correcting it might make you look less capable.</t>
        </is>
      </c>
      <c r="I41" s="12" t="n">
        <v>3</v>
      </c>
      <c r="J41" s="12" t="n">
        <v>2</v>
      </c>
      <c r="K41" s="12" t="n">
        <v>4</v>
      </c>
      <c r="L41" s="12" t="n">
        <v>3</v>
      </c>
      <c r="M41" s="10" t="n"/>
      <c r="N41">
        <f>IF(M41="",0,INDEX(I41:L41,1,MATCH(M41,{"A","B","C","D"},0)))</f>
        <v/>
      </c>
    </row>
    <row r="42" ht="40" customHeight="1">
      <c r="A42" s="11" t="inlineStr">
        <is>
          <t>Set 8</t>
        </is>
      </c>
      <c r="B42" s="11" t="inlineStr">
        <is>
          <t>Q1</t>
        </is>
      </c>
      <c r="C42" s="7" t="inlineStr">
        <is>
          <t>Self-Awareness</t>
        </is>
      </c>
      <c r="D42" s="7" t="inlineStr">
        <is>
          <t>You notice a pattern: you take on extra responsibilities you don't have time for whenever you're feeling insecure about your performance. What's the insight?</t>
        </is>
      </c>
      <c r="E42" s="7" t="inlineStr">
        <is>
          <t>A) Feel resentful about the overcommitting without changing the pattern.</t>
        </is>
      </c>
      <c r="F42" s="7" t="inlineStr">
        <is>
          <t>B) Decide you're just naturally a hard worker and leave it there.</t>
        </is>
      </c>
      <c r="G42" s="7" t="inlineStr">
        <is>
          <t>C) Keep taking on the extra work since saying no feels worse.</t>
        </is>
      </c>
      <c r="H42" s="7" t="inlineStr">
        <is>
          <t>D) Recognise the overcommitting is tied to insecurity, and practice evaluating requests based on actual capacity, not anxiety.</t>
        </is>
      </c>
      <c r="I42" s="12" t="n">
        <v>2</v>
      </c>
      <c r="J42" s="12" t="n">
        <v>3</v>
      </c>
      <c r="K42" s="12" t="n">
        <v>2</v>
      </c>
      <c r="L42" s="12" t="n">
        <v>4</v>
      </c>
      <c r="M42" s="10" t="n"/>
      <c r="N42">
        <f>IF(M42="",0,INDEX(I42:L42,1,MATCH(M42,{"A","B","C","D"},0)))</f>
        <v/>
      </c>
    </row>
    <row r="43" ht="40" customHeight="1">
      <c r="A43" s="11" t="inlineStr">
        <is>
          <t>Set 8</t>
        </is>
      </c>
      <c r="B43" s="11" t="inlineStr">
        <is>
          <t>Q2</t>
        </is>
      </c>
      <c r="C43" s="7" t="inlineStr">
        <is>
          <t>Self-Regulation</t>
        </is>
      </c>
      <c r="D43" s="7" t="inlineStr">
        <is>
          <t>During a heated debate in a seminar, a classmate directly and personally challenges your argument in a dismissive tone. What's your response?</t>
        </is>
      </c>
      <c r="E43" s="7" t="inlineStr">
        <is>
          <t>A) Address the substance of their challenge calmly, without matching the dismissive tone.</t>
        </is>
      </c>
      <c r="F43" s="7" t="inlineStr">
        <is>
          <t>B) Bring it up angrily with them after class instead of during the discussion.</t>
        </is>
      </c>
      <c r="G43" s="7" t="inlineStr">
        <is>
          <t>C) Match their tone and get personal in your rebuttal.</t>
        </is>
      </c>
      <c r="H43" s="7" t="inlineStr">
        <is>
          <t>D) Shut down and stop participating in the discussion.</t>
        </is>
      </c>
      <c r="I43" s="12" t="n">
        <v>4</v>
      </c>
      <c r="J43" s="12" t="n">
        <v>3</v>
      </c>
      <c r="K43" s="12" t="n">
        <v>2</v>
      </c>
      <c r="L43" s="12" t="n">
        <v>3</v>
      </c>
      <c r="M43" s="10" t="n"/>
      <c r="N43">
        <f>IF(M43="",0,INDEX(I43:L43,1,MATCH(M43,{"A","B","C","D"},0)))</f>
        <v/>
      </c>
    </row>
    <row r="44" ht="40" customHeight="1">
      <c r="A44" s="11" t="inlineStr">
        <is>
          <t>Set 8</t>
        </is>
      </c>
      <c r="B44" s="11" t="inlineStr">
        <is>
          <t>Q3</t>
        </is>
      </c>
      <c r="C44" s="7" t="inlineStr">
        <is>
          <t>Motivation / Resilience</t>
        </is>
      </c>
      <c r="D44" s="7" t="inlineStr">
        <is>
          <t>Your first post-graduation job search is taking far longer than you expected, and savings are running low. What's your approach?</t>
        </is>
      </c>
      <c r="E44" s="7" t="inlineStr">
        <is>
          <t>A) Blame yourself entirely for not having planned better financially.</t>
        </is>
      </c>
      <c r="F44" s="7" t="inlineStr">
        <is>
          <t>B) Widen your search strategically while considering a bridge option (freelance/part-time) to manage the timeline pressure.</t>
        </is>
      </c>
      <c r="G44" s="7" t="inlineStr">
        <is>
          <t>C) Give up actively searching and hope something comes through passively.</t>
        </is>
      </c>
      <c r="H44" s="7" t="inlineStr">
        <is>
          <t>D) Panic and accept the first offer regardless of fit, out of pure financial pressure.</t>
        </is>
      </c>
      <c r="I44" s="12" t="n">
        <v>2</v>
      </c>
      <c r="J44" s="12" t="n">
        <v>4</v>
      </c>
      <c r="K44" s="12" t="n">
        <v>2</v>
      </c>
      <c r="L44" s="12" t="n">
        <v>3</v>
      </c>
      <c r="M44" s="10" t="n"/>
      <c r="N44">
        <f>IF(M44="",0,INDEX(I44:L44,1,MATCH(M44,{"A","B","C","D"},0)))</f>
        <v/>
      </c>
    </row>
    <row r="45" ht="40" customHeight="1">
      <c r="A45" s="11" t="inlineStr">
        <is>
          <t>Set 8</t>
        </is>
      </c>
      <c r="B45" s="11" t="inlineStr">
        <is>
          <t>Q4</t>
        </is>
      </c>
      <c r="C45" s="7" t="inlineStr">
        <is>
          <t>Empathy</t>
        </is>
      </c>
      <c r="D45" s="7" t="inlineStr">
        <is>
          <t>A close friend from college is visibly struggling to adjust to their first full-time job and seems burnt out already. What's your approach?</t>
        </is>
      </c>
      <c r="E45" s="7" t="inlineStr">
        <is>
          <t>A) Tell them everyone struggles at first and it'll pass on its own.</t>
        </is>
      </c>
      <c r="F45" s="7" t="inlineStr">
        <is>
          <t>B) Avoid the topic since work stress conversations feel draining.</t>
        </is>
      </c>
      <c r="G45" s="7" t="inlineStr">
        <is>
          <t>C) Check in specifically about how they're doing, and share coping strategies without minimising their experience.</t>
        </is>
      </c>
      <c r="H45" s="7" t="inlineStr">
        <is>
          <t>D) Compare it to your own, potentially different, job experience at length.</t>
        </is>
      </c>
      <c r="I45" s="12" t="n">
        <v>3</v>
      </c>
      <c r="J45" s="12" t="n">
        <v>2</v>
      </c>
      <c r="K45" s="12" t="n">
        <v>4</v>
      </c>
      <c r="L45" s="12" t="n">
        <v>2</v>
      </c>
      <c r="M45" s="10" t="n"/>
      <c r="N45">
        <f>IF(M45="",0,INDEX(I45:L45,1,MATCH(M45,{"A","B","C","D"},0)))</f>
        <v/>
      </c>
    </row>
    <row r="46" ht="40" customHeight="1">
      <c r="A46" s="11" t="inlineStr">
        <is>
          <t>Set 8</t>
        </is>
      </c>
      <c r="B46" s="11" t="inlineStr">
        <is>
          <t>Q5</t>
        </is>
      </c>
      <c r="C46" s="7" t="inlineStr">
        <is>
          <t>Relationship Management</t>
        </is>
      </c>
      <c r="D46" s="7" t="inlineStr">
        <is>
          <t>You and a close friend both apply for the same competitive job opening at the same company. How do you navigate this?</t>
        </is>
      </c>
      <c r="E46" s="7" t="inlineStr">
        <is>
          <t>A) Withdraw your own application to avoid any tension in the friendship.</t>
        </is>
      </c>
      <c r="F46" s="7" t="inlineStr">
        <is>
          <t>B) Apply secretly without telling them to avoid an awkward conversation.</t>
        </is>
      </c>
      <c r="G46" s="7" t="inlineStr">
        <is>
          <t>C) Downplay your interest in the role to them while still pursuing it fully.</t>
        </is>
      </c>
      <c r="H46" s="7" t="inlineStr">
        <is>
          <t>D) Be upfront about applying, and agree on how you'll support each other regardless of outcome.</t>
        </is>
      </c>
      <c r="I46" s="12" t="n">
        <v>3</v>
      </c>
      <c r="J46" s="12" t="n">
        <v>2</v>
      </c>
      <c r="K46" s="12" t="n">
        <v>3</v>
      </c>
      <c r="L46" s="12" t="n">
        <v>4</v>
      </c>
      <c r="M46" s="10" t="n"/>
      <c r="N46">
        <f>IF(M46="",0,INDEX(I46:L46,1,MATCH(M46,{"A","B","C","D"},0)))</f>
        <v/>
      </c>
    </row>
    <row r="47" ht="40" customHeight="1">
      <c r="A47" s="11" t="inlineStr">
        <is>
          <t>Set 9</t>
        </is>
      </c>
      <c r="B47" s="11" t="inlineStr">
        <is>
          <t>Q1</t>
        </is>
      </c>
      <c r="C47" s="7" t="inlineStr">
        <is>
          <t>Self-Awareness</t>
        </is>
      </c>
      <c r="D47" s="7" t="inlineStr">
        <is>
          <t>You realise you feel most 'productive-shame' (guilt about not doing enough) on days when you actually rested. What's the underlying issue?</t>
        </is>
      </c>
      <c r="E47" s="7" t="inlineStr">
        <is>
          <t>A) Recognise an unhealthy relationship with rest and productivity, and work on separating your worth from constant output.</t>
        </is>
      </c>
      <c r="F47" s="7" t="inlineStr">
        <is>
          <t>B) Avoid resting altogether to sidestep the guilt.</t>
        </is>
      </c>
      <c r="G47" s="7" t="inlineStr">
        <is>
          <t>C) Feel guilty about resting but keep doing it anyway without examining why.</t>
        </is>
      </c>
      <c r="H47" s="7" t="inlineStr">
        <is>
          <t>D) Decide rest is simply unproductive and should be minimised.</t>
        </is>
      </c>
      <c r="I47" s="12" t="n">
        <v>4</v>
      </c>
      <c r="J47" s="12" t="n">
        <v>2</v>
      </c>
      <c r="K47" s="12" t="n">
        <v>3</v>
      </c>
      <c r="L47" s="12" t="n">
        <v>2</v>
      </c>
      <c r="M47" s="10" t="n"/>
      <c r="N47">
        <f>IF(M47="",0,INDEX(I47:L47,1,MATCH(M47,{"A","B","C","D"},0)))</f>
        <v/>
      </c>
    </row>
    <row r="48" ht="40" customHeight="1">
      <c r="A48" s="11" t="inlineStr">
        <is>
          <t>Set 9</t>
        </is>
      </c>
      <c r="B48" s="11" t="inlineStr">
        <is>
          <t>Q2</t>
        </is>
      </c>
      <c r="C48" s="7" t="inlineStr">
        <is>
          <t>Self-Regulation</t>
        </is>
      </c>
      <c r="D48" s="7" t="inlineStr">
        <is>
          <t>You're blindsided by a sudden change in your thesis submission deadline, moved up by two weeks. What's your immediate response?</t>
        </is>
      </c>
      <c r="E48" s="7" t="inlineStr">
        <is>
          <t>A) Panic and immediately email the department demanding it be reversed.</t>
        </is>
      </c>
      <c r="F48" s="7" t="inlineStr">
        <is>
          <t>B) Take a moment to reassess, then build a realistic revised plan given the new timeline.</t>
        </is>
      </c>
      <c r="G48" s="7" t="inlineStr">
        <is>
          <t>C) Complain extensively to classmates without adjusting your plan.</t>
        </is>
      </c>
      <c r="H48" s="7" t="inlineStr">
        <is>
          <t>D) Freeze and avoid working on it entirely out of overwhelm.</t>
        </is>
      </c>
      <c r="I48" s="12" t="n">
        <v>2</v>
      </c>
      <c r="J48" s="12" t="n">
        <v>4</v>
      </c>
      <c r="K48" s="12" t="n">
        <v>3</v>
      </c>
      <c r="L48" s="12" t="n">
        <v>3</v>
      </c>
      <c r="M48" s="10" t="n"/>
      <c r="N48">
        <f>IF(M48="",0,INDEX(I48:L48,1,MATCH(M48,{"A","B","C","D"},0)))</f>
        <v/>
      </c>
    </row>
    <row r="49" ht="40" customHeight="1">
      <c r="A49" s="11" t="inlineStr">
        <is>
          <t>Set 9</t>
        </is>
      </c>
      <c r="B49" s="11" t="inlineStr">
        <is>
          <t>Q3</t>
        </is>
      </c>
      <c r="C49" s="7" t="inlineStr">
        <is>
          <t>Motivation / Resilience</t>
        </is>
      </c>
      <c r="D49" s="7" t="inlineStr">
        <is>
          <t>Your carefully planned career path gets disrupted by an unexpected life event (family, health, financial). What's your approach?</t>
        </is>
      </c>
      <c r="E49" s="7" t="inlineStr">
        <is>
          <t>A) Refuse to adjust the original plan despite the changed circumstances.</t>
        </is>
      </c>
      <c r="F49" s="7" t="inlineStr">
        <is>
          <t>B) Blame external circumstances entirely without considering what's still in your control.</t>
        </is>
      </c>
      <c r="G49" s="7" t="inlineStr">
        <is>
          <t>C) Grieve the disruption, then honestly reassess and adapt your plan to the new reality.</t>
        </is>
      </c>
      <c r="H49" s="7" t="inlineStr">
        <is>
          <t>D) Feel like your entire future plan is now permanently ruined.</t>
        </is>
      </c>
      <c r="I49" s="12" t="n">
        <v>3</v>
      </c>
      <c r="J49" s="12" t="n">
        <v>2</v>
      </c>
      <c r="K49" s="12" t="n">
        <v>4</v>
      </c>
      <c r="L49" s="12" t="n">
        <v>2</v>
      </c>
      <c r="M49" s="10" t="n"/>
      <c r="N49">
        <f>IF(M49="",0,INDEX(I49:L49,1,MATCH(M49,{"A","B","C","D"},0)))</f>
        <v/>
      </c>
    </row>
    <row r="50" ht="40" customHeight="1">
      <c r="A50" s="11" t="inlineStr">
        <is>
          <t>Set 9</t>
        </is>
      </c>
      <c r="B50" s="11" t="inlineStr">
        <is>
          <t>Q4</t>
        </is>
      </c>
      <c r="C50" s="7" t="inlineStr">
        <is>
          <t>Empathy</t>
        </is>
      </c>
      <c r="D50" s="7" t="inlineStr">
        <is>
          <t>A coursemate who's usually reliable suddenly misses a shared deadline without explanation. What's your first assumption?</t>
        </is>
      </c>
      <c r="E50" s="7" t="inlineStr">
        <is>
          <t>A) Assume they're being lazy or irresponsible.</t>
        </is>
      </c>
      <c r="F50" s="7" t="inlineStr">
        <is>
          <t>B) Do their part yourself without asking what happened.</t>
        </is>
      </c>
      <c r="G50" s="7" t="inlineStr">
        <is>
          <t>C) Report the missed deadline to the professor without checking in first.</t>
        </is>
      </c>
      <c r="H50" s="7" t="inlineStr">
        <is>
          <t>D) Reach out to check in before assuming anything, since it's out of character for them.</t>
        </is>
      </c>
      <c r="I50" s="12" t="n">
        <v>2</v>
      </c>
      <c r="J50" s="12" t="n">
        <v>3</v>
      </c>
      <c r="K50" s="12" t="n">
        <v>3</v>
      </c>
      <c r="L50" s="12" t="n">
        <v>4</v>
      </c>
      <c r="M50" s="10" t="n"/>
      <c r="N50">
        <f>IF(M50="",0,INDEX(I50:L50,1,MATCH(M50,{"A","B","C","D"},0)))</f>
        <v/>
      </c>
    </row>
    <row r="51" ht="40" customHeight="1">
      <c r="A51" s="11" t="inlineStr">
        <is>
          <t>Set 9</t>
        </is>
      </c>
      <c r="B51" s="11" t="inlineStr">
        <is>
          <t>Q5</t>
        </is>
      </c>
      <c r="C51" s="7" t="inlineStr">
        <is>
          <t>Relationship Management</t>
        </is>
      </c>
      <c r="D51" s="7" t="inlineStr">
        <is>
          <t>You need to end a working relationship with a freelance collaborator whose work quality has consistently dropped. How do you handle it?</t>
        </is>
      </c>
      <c r="E51" s="7" t="inlineStr">
        <is>
          <t>A) Have a direct, respectful conversation explaining the decision and the specific reasons behind it.</t>
        </is>
      </c>
      <c r="F51" s="7" t="inlineStr">
        <is>
          <t>B) Stop responding to their messages without any explanation.</t>
        </is>
      </c>
      <c r="G51" s="7" t="inlineStr">
        <is>
          <t>C) Complain about them to others in the industry instead of addressing it with them.</t>
        </is>
      </c>
      <c r="H51" s="7" t="inlineStr">
        <is>
          <t>D) Give vague, non-committal reasons to avoid an uncomfortable conversation.</t>
        </is>
      </c>
      <c r="I51" s="12" t="n">
        <v>4</v>
      </c>
      <c r="J51" s="12" t="n">
        <v>2</v>
      </c>
      <c r="K51" s="12" t="n">
        <v>2</v>
      </c>
      <c r="L51" s="12" t="n">
        <v>3</v>
      </c>
      <c r="M51" s="10" t="n"/>
      <c r="N51">
        <f>IF(M51="",0,INDEX(I51:L51,1,MATCH(M51,{"A","B","C","D"},0)))</f>
        <v/>
      </c>
    </row>
    <row r="52" ht="40" customHeight="1">
      <c r="A52" s="11" t="inlineStr">
        <is>
          <t>Set 10</t>
        </is>
      </c>
      <c r="B52" s="11" t="inlineStr">
        <is>
          <t>Q1</t>
        </is>
      </c>
      <c r="C52" s="7" t="inlineStr">
        <is>
          <t>Self-Awareness</t>
        </is>
      </c>
      <c r="D52" s="7" t="inlineStr">
        <is>
          <t>As graduation approaches, you notice you're more anxious about disappointing your family than about your own actual career goals. What's the insight?</t>
        </is>
      </c>
      <c r="E52" s="7" t="inlineStr">
        <is>
          <t>A) Avoid thinking about your own goals to sidestep the internal conflict.</t>
        </is>
      </c>
      <c r="F52" s="7" t="inlineStr">
        <is>
          <t>B) Recognise the gap between your goals and their expectations, and think honestly about what you actually want.</t>
        </is>
      </c>
      <c r="G52" s="7" t="inlineStr">
        <is>
          <t>C) Decide their expectations should just be your priority since they've supported you.</t>
        </is>
      </c>
      <c r="H52" s="7" t="inlineStr">
        <is>
          <t>D) Assume you'll disappoint them no matter what you choose, so it doesn't matter.</t>
        </is>
      </c>
      <c r="I52" s="12" t="n">
        <v>2</v>
      </c>
      <c r="J52" s="12" t="n">
        <v>4</v>
      </c>
      <c r="K52" s="12" t="n">
        <v>3</v>
      </c>
      <c r="L52" s="12" t="n">
        <v>2</v>
      </c>
      <c r="M52" s="10" t="n"/>
      <c r="N52">
        <f>IF(M52="",0,INDEX(I52:L52,1,MATCH(M52,{"A","B","C","D"},0)))</f>
        <v/>
      </c>
    </row>
    <row r="53" ht="40" customHeight="1">
      <c r="A53" s="11" t="inlineStr">
        <is>
          <t>Set 10</t>
        </is>
      </c>
      <c r="B53" s="11" t="inlineStr">
        <is>
          <t>Q2</t>
        </is>
      </c>
      <c r="C53" s="7" t="inlineStr">
        <is>
          <t>Self-Regulation</t>
        </is>
      </c>
      <c r="D53" s="7" t="inlineStr">
        <is>
          <t>You get into a disagreement with a family member about your post-graduation plans during a stressful week. What's your approach?</t>
        </is>
      </c>
      <c r="E53" s="7" t="inlineStr">
        <is>
          <t>A) Agree to whatever they want just to end the argument quickly.</t>
        </is>
      </c>
      <c r="F53" s="7" t="inlineStr">
        <is>
          <t>B) Say something you'll likely regret in the heat of the moment.</t>
        </is>
      </c>
      <c r="G53" s="7" t="inlineStr">
        <is>
          <t>C) Suggest continuing the conversation later when you're both calmer, rather than pushing through while heated.</t>
        </is>
      </c>
      <c r="H53" s="7" t="inlineStr">
        <is>
          <t>D) Shut down completely and refuse to discuss it further at all.</t>
        </is>
      </c>
      <c r="I53" s="12" t="n">
        <v>3</v>
      </c>
      <c r="J53" s="12" t="n">
        <v>2</v>
      </c>
      <c r="K53" s="12" t="n">
        <v>4</v>
      </c>
      <c r="L53" s="12" t="n">
        <v>3</v>
      </c>
      <c r="M53" s="10" t="n"/>
      <c r="N53">
        <f>IF(M53="",0,INDEX(I53:L53,1,MATCH(M53,{"A","B","C","D"},0)))</f>
        <v/>
      </c>
    </row>
    <row r="54" ht="40" customHeight="1">
      <c r="A54" s="11" t="inlineStr">
        <is>
          <t>Set 10</t>
        </is>
      </c>
      <c r="B54" s="11" t="inlineStr">
        <is>
          <t>Q3</t>
        </is>
      </c>
      <c r="C54" s="7" t="inlineStr">
        <is>
          <t>Motivation / Resilience</t>
        </is>
      </c>
      <c r="D54" s="7" t="inlineStr">
        <is>
          <t>Your first job out of college turns out to be very different from what you expected, and you're considering whether to stay or leave early. What's your approach?</t>
        </is>
      </c>
      <c r="E54" s="7" t="inlineStr">
        <is>
          <t>A) Stay indefinitely out of fear of looking unstable on your resume, despite being unhappy.</t>
        </is>
      </c>
      <c r="F54" s="7" t="inlineStr">
        <is>
          <t>B) Quit immediately out of frustration without a clear next step.</t>
        </is>
      </c>
      <c r="G54" s="7" t="inlineStr">
        <is>
          <t>C) Blame the company entirely without considering what you might need to adjust in your own approach.</t>
        </is>
      </c>
      <c r="H54" s="7" t="inlineStr">
        <is>
          <t>D) Give it a fair, defined trial period while actively exploring what changes (role, team, or company) might help.</t>
        </is>
      </c>
      <c r="I54" s="12" t="n">
        <v>3</v>
      </c>
      <c r="J54" s="12" t="n">
        <v>2</v>
      </c>
      <c r="K54" s="12" t="n">
        <v>2</v>
      </c>
      <c r="L54" s="12" t="n">
        <v>4</v>
      </c>
      <c r="M54" s="10" t="n"/>
      <c r="N54">
        <f>IF(M54="",0,INDEX(I54:L54,1,MATCH(M54,{"A","B","C","D"},0)))</f>
        <v/>
      </c>
    </row>
    <row r="55" ht="40" customHeight="1">
      <c r="A55" s="11" t="inlineStr">
        <is>
          <t>Set 10</t>
        </is>
      </c>
      <c r="B55" s="11" t="inlineStr">
        <is>
          <t>Q4</t>
        </is>
      </c>
      <c r="C55" s="7" t="inlineStr">
        <is>
          <t>Empathy</t>
        </is>
      </c>
      <c r="D55" s="7" t="inlineStr">
        <is>
          <t>A friend from your graduating cohort is struggling to find any job while most of your friend group already has offers. What's your approach in group settings?</t>
        </is>
      </c>
      <c r="E55" s="7" t="inlineStr">
        <is>
          <t>A) Check in with them privately about how they'd like the topic handled in group settings, and follow their lead.</t>
        </is>
      </c>
      <c r="F55" s="7" t="inlineStr">
        <is>
          <t>B) Avoid discussing job offers at all around the whole group, without checking what your friend actually prefers.</t>
        </is>
      </c>
      <c r="G55" s="7" t="inlineStr">
        <is>
          <t>C) Discuss offers openly since it's relevant news for most of the group.</t>
        </is>
      </c>
      <c r="H55" s="7" t="inlineStr">
        <is>
          <t>D) Offer to help them job hunt without asking if they want that kind of help.</t>
        </is>
      </c>
      <c r="I55" s="12" t="n">
        <v>4</v>
      </c>
      <c r="J55" s="12" t="n">
        <v>3</v>
      </c>
      <c r="K55" s="12" t="n">
        <v>2</v>
      </c>
      <c r="L55" s="12" t="n">
        <v>3</v>
      </c>
      <c r="M55" s="10" t="n"/>
      <c r="N55">
        <f>IF(M55="",0,INDEX(I55:L55,1,MATCH(M55,{"A","B","C","D"},0)))</f>
        <v/>
      </c>
    </row>
    <row r="56" ht="40" customHeight="1">
      <c r="A56" s="11" t="inlineStr">
        <is>
          <t>Set 10</t>
        </is>
      </c>
      <c r="B56" s="11" t="inlineStr">
        <is>
          <t>Q5</t>
        </is>
      </c>
      <c r="C56" s="7" t="inlineStr">
        <is>
          <t>Relationship Management</t>
        </is>
      </c>
      <c r="D56" s="7" t="inlineStr">
        <is>
          <t>You're negotiating your first full-time job offer and the recruiter pushes back firmly on your requested salary. How do you handle it?</t>
        </is>
      </c>
      <c r="E56" s="7" t="inlineStr">
        <is>
          <t>A) Get visibly frustrated and imply you'll walk away entirely.</t>
        </is>
      </c>
      <c r="F56" s="7" t="inlineStr">
        <is>
          <t>B) Stay calm, restate your reasoning with specifics, and look for a version of the offer that works for both sides.</t>
        </is>
      </c>
      <c r="G56" s="7" t="inlineStr">
        <is>
          <t>C) Accept the original offer without further discussion, even though you're unhappy with it.</t>
        </is>
      </c>
      <c r="H56" s="7" t="inlineStr">
        <is>
          <t>D) Back down immediately to avoid seeming difficult.</t>
        </is>
      </c>
      <c r="I56" s="12" t="n">
        <v>2</v>
      </c>
      <c r="J56" s="12" t="n">
        <v>4</v>
      </c>
      <c r="K56" s="12" t="n">
        <v>3</v>
      </c>
      <c r="L56" s="12" t="n">
        <v>2</v>
      </c>
      <c r="M56" s="10" t="n"/>
      <c r="N56">
        <f>IF(M56="",0,INDEX(I56:L56,1,MATCH(M56,{"A","B","C","D"},0)))</f>
        <v/>
      </c>
    </row>
    <row r="58" ht="20" customHeight="1">
      <c r="A58" s="13" t="inlineStr">
        <is>
          <t>YOUR EI PROFILE FOR THE SELECTED SET</t>
        </is>
      </c>
    </row>
    <row r="59">
      <c r="A59" s="14" t="inlineStr">
        <is>
          <t>EI Domain</t>
        </is>
      </c>
      <c r="B59" s="14" t="inlineStr">
        <is>
          <t>Your Response Quality</t>
        </is>
      </c>
      <c r="C59" s="14" t="inlineStr">
        <is>
          <t>Score</t>
        </is>
      </c>
    </row>
    <row r="60">
      <c r="A60" s="5" t="inlineStr">
        <is>
          <t>Self-Awareness</t>
        </is>
      </c>
      <c r="B60" s="15">
        <f>IF($C$60=0,"Not answered yet",IF($C$60=4,"High",IF($C$60=3,"Moderate",IF($C$60=2,"Low","Negative"))))</f>
        <v/>
      </c>
      <c r="C60" s="15">
        <f>SUMPRODUCT(($A$7:$A$56=$B$4)*($C$7:$C$56="Self-Awareness")*$N$7:$N$56)</f>
        <v/>
      </c>
    </row>
    <row r="61">
      <c r="A61" s="5" t="inlineStr">
        <is>
          <t>Self-Regulation</t>
        </is>
      </c>
      <c r="B61" s="15">
        <f>IF($C$61=0,"Not answered yet",IF($C$61=4,"High",IF($C$61=3,"Moderate",IF($C$61=2,"Low","Negative"))))</f>
        <v/>
      </c>
      <c r="C61" s="15">
        <f>SUMPRODUCT(($A$7:$A$56=$B$4)*($C$7:$C$56="Self-Regulation")*$N$7:$N$56)</f>
        <v/>
      </c>
    </row>
    <row r="62">
      <c r="A62" s="5" t="inlineStr">
        <is>
          <t>Motivation / Resilience</t>
        </is>
      </c>
      <c r="B62" s="15">
        <f>IF($C$62=0,"Not answered yet",IF($C$62=4,"High",IF($C$62=3,"Moderate",IF($C$62=2,"Low","Negative"))))</f>
        <v/>
      </c>
      <c r="C62" s="15">
        <f>SUMPRODUCT(($A$7:$A$56=$B$4)*($C$7:$C$56="Motivation / Resilience")*$N$7:$N$56)</f>
        <v/>
      </c>
    </row>
    <row r="63">
      <c r="A63" s="5" t="inlineStr">
        <is>
          <t>Empathy</t>
        </is>
      </c>
      <c r="B63" s="15">
        <f>IF($C$63=0,"Not answered yet",IF($C$63=4,"High",IF($C$63=3,"Moderate",IF($C$63=2,"Low","Negative"))))</f>
        <v/>
      </c>
      <c r="C63" s="15">
        <f>SUMPRODUCT(($A$7:$A$56=$B$4)*($C$7:$C$56="Empathy")*$N$7:$N$56)</f>
        <v/>
      </c>
    </row>
    <row r="64">
      <c r="A64" s="5" t="inlineStr">
        <is>
          <t>Relationship Management</t>
        </is>
      </c>
      <c r="B64" s="15">
        <f>IF($C$64=0,"Not answered yet",IF($C$64=4,"High",IF($C$64=3,"Moderate",IF($C$64=2,"Low","Negative"))))</f>
        <v/>
      </c>
      <c r="C64" s="15">
        <f>SUMPRODUCT(($A$7:$A$56=$B$4)*($C$7:$C$56="Relationship Management")*$N$7:$N$56)</f>
        <v/>
      </c>
    </row>
    <row r="66" ht="20" customHeight="1">
      <c r="A66" s="16" t="inlineStr">
        <is>
          <t>QUICK SUMMARY</t>
        </is>
      </c>
    </row>
    <row r="67">
      <c r="A67" s="9" t="inlineStr">
        <is>
          <t>Strongest domain (this set):</t>
        </is>
      </c>
      <c r="B67" s="17">
        <f>IFERROR(INDEX($A$60:$A$64,MATCH(MAX($C$60:$C$64),$C$60:$C$64,0)),"Answer all 5 first")</f>
        <v/>
      </c>
    </row>
    <row r="68">
      <c r="A68" s="9" t="inlineStr">
        <is>
          <t>Growth area (this set):</t>
        </is>
      </c>
      <c r="B68" s="18">
        <f>IFERROR(INDEX($A$60:$A$64,MATCH(MIN($C$60:$C$64),$C$60:$C$64,0)),"Answer all 5 first")</f>
        <v/>
      </c>
    </row>
    <row r="70">
      <c r="A70" s="19" t="inlineStr">
        <is>
          <t>Note: this reflects ONE set (5 questions = 1 per domain), so treat it as a first read, not a verdict. Try another set on a different day and see what stays consistent.</t>
        </is>
      </c>
    </row>
  </sheetData>
  <mergeCells count="8">
    <mergeCell ref="B68:C68"/>
    <mergeCell ref="A66:C66"/>
    <mergeCell ref="A1:M1"/>
    <mergeCell ref="B67:C67"/>
    <mergeCell ref="A70:F70"/>
    <mergeCell ref="C4:H4"/>
    <mergeCell ref="A58:E58"/>
    <mergeCell ref="A2:M2"/>
  </mergeCells>
  <dataValidations count="2">
    <dataValidation sqref="B4" showDropDown="0" showInputMessage="0" showErrorMessage="1" allowBlank="0" type="list">
      <formula1>"Set 1,Set 2,Set 3,Set 4,Set 5,Set 6,Set 7,Set 8,Set 9,Set 10"</formula1>
    </dataValidation>
    <dataValidation sqref="M7 M8 M9 M10 M11 M12 M13 M14 M15 M16 M17 M18 M19 M20 M21 M22 M23 M24 M25 M26 M27 M28 M29 M30 M31 M32 M33 M34 M35 M36 M37 M38 M39 M40 M41 M42 M43 M44 M45 M46 M47 M48 M49 M50 M51 M52 M53 M54 M55 M56" showDropDown="0" showInputMessage="0" showErrorMessage="1" allowBlank="1" errorTitle="Invalid entry" error="Please enter A, B, C, or D." type="list">
      <formula1>"A,B,C,D"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6" customWidth="1" min="3" max="3"/>
    <col width="34" customWidth="1" min="4" max="4"/>
    <col width="30" customWidth="1" min="5" max="5"/>
    <col width="30" customWidth="1" min="6" max="6"/>
    <col width="30" customWidth="1" min="7" max="7"/>
    <col width="30" customWidth="1" min="8" max="8"/>
    <col hidden="1" width="13" customWidth="1" min="9" max="9"/>
    <col hidden="1" width="13" customWidth="1" min="10" max="10"/>
    <col hidden="1" width="13" customWidth="1" min="11" max="11"/>
    <col hidden="1" width="13" customWidth="1" min="12" max="12"/>
    <col width="15" customWidth="1" min="13" max="13"/>
    <col hidden="1" width="13" customWidth="1" min="14" max="14"/>
  </cols>
  <sheetData>
    <row r="1" ht="26" customHeight="1">
      <c r="A1" s="1" t="inlineStr">
        <is>
          <t>Early Career (Ages 21-25) — Emotional Intelligence Assessment (10 Sets x 5 Questions)</t>
        </is>
      </c>
    </row>
    <row r="2">
      <c r="A2" s="8" t="inlineStr">
        <is>
          <t>Framework basis: Goleman / EQ-i 2.0 (Workplace EI)</t>
        </is>
      </c>
    </row>
    <row r="4">
      <c r="A4" s="9" t="inlineStr">
        <is>
          <t>Which set are you taking?</t>
        </is>
      </c>
      <c r="B4" s="10" t="inlineStr">
        <is>
          <t>Set 1</t>
        </is>
      </c>
      <c r="C4" s="8" t="inlineStr">
        <is>
          <t>(pick one set, then answer only that set's 5 rows below with A/B/C/D)</t>
        </is>
      </c>
    </row>
    <row r="6">
      <c r="A6" s="4" t="inlineStr">
        <is>
          <t>Set</t>
        </is>
      </c>
      <c r="B6" s="4" t="inlineStr">
        <is>
          <t>Q#</t>
        </is>
      </c>
      <c r="C6" s="4" t="inlineStr">
        <is>
          <t>Domain</t>
        </is>
      </c>
      <c r="D6" s="4" t="inlineStr">
        <is>
          <t>Scenario</t>
        </is>
      </c>
      <c r="E6" s="4" t="inlineStr">
        <is>
          <t>Option A</t>
        </is>
      </c>
      <c r="F6" s="4" t="inlineStr">
        <is>
          <t>Option B</t>
        </is>
      </c>
      <c r="G6" s="4" t="inlineStr">
        <is>
          <t>Option C</t>
        </is>
      </c>
      <c r="H6" s="4" t="inlineStr">
        <is>
          <t>Option D</t>
        </is>
      </c>
      <c r="I6" s="4" t="inlineStr">
        <is>
          <t>qA</t>
        </is>
      </c>
      <c r="J6" s="4" t="inlineStr">
        <is>
          <t>qB</t>
        </is>
      </c>
      <c r="K6" s="4" t="inlineStr">
        <is>
          <t>qC</t>
        </is>
      </c>
      <c r="L6" s="4" t="inlineStr">
        <is>
          <t>qD</t>
        </is>
      </c>
      <c r="M6" s="4" t="inlineStr">
        <is>
          <t>Your Answer (A-D)</t>
        </is>
      </c>
      <c r="N6" t="inlineStr">
        <is>
          <t>score</t>
        </is>
      </c>
    </row>
    <row r="7" ht="40" customHeight="1">
      <c r="A7" s="11" t="inlineStr">
        <is>
          <t>Set 1</t>
        </is>
      </c>
      <c r="B7" s="11" t="inlineStr">
        <is>
          <t>Q1</t>
        </is>
      </c>
      <c r="C7" s="7" t="inlineStr">
        <is>
          <t>Self-Awareness</t>
        </is>
      </c>
      <c r="D7" s="7" t="inlineStr">
        <is>
          <t>You notice you've been unusually irritable with colleagues this week, snapping in Slack messages you'd normally phrase more kindly. What's your read?</t>
        </is>
      </c>
      <c r="E7" s="7" t="inlineStr">
        <is>
          <t>A) Recognise the pattern, consider what's driving it (workload, sleep, stress), and address the root cause.</t>
        </is>
      </c>
      <c r="F7" s="7" t="inlineStr">
        <is>
          <t>B) Ignore it since everyone gets short with people sometimes.</t>
        </is>
      </c>
      <c r="G7" s="7" t="inlineStr">
        <is>
          <t>C) Feel guilty about it but keep sending the same tone of messages.</t>
        </is>
      </c>
      <c r="H7" s="7" t="inlineStr">
        <is>
          <t>D) Decide your colleagues have just been more annoying than usual.</t>
        </is>
      </c>
      <c r="I7" s="12" t="n">
        <v>4</v>
      </c>
      <c r="J7" s="12" t="n">
        <v>2</v>
      </c>
      <c r="K7" s="12" t="n">
        <v>3</v>
      </c>
      <c r="L7" s="12" t="n">
        <v>2</v>
      </c>
      <c r="M7" s="10" t="n"/>
      <c r="N7">
        <f>IF(M7="",0,INDEX(I7:L7,1,MATCH(M7,{"A","B","C","D"},0)))</f>
        <v/>
      </c>
    </row>
    <row r="8" ht="40" customHeight="1">
      <c r="A8" s="11" t="inlineStr">
        <is>
          <t>Set 1</t>
        </is>
      </c>
      <c r="B8" s="11" t="inlineStr">
        <is>
          <t>Q2</t>
        </is>
      </c>
      <c r="C8" s="7" t="inlineStr">
        <is>
          <t>Self-Regulation</t>
        </is>
      </c>
      <c r="D8" s="7" t="inlineStr">
        <is>
          <t>Your manager publicly questions your work in a team meeting in a tone that feels unnecessarily harsh. What's your response in the moment?</t>
        </is>
      </c>
      <c r="E8" s="7" t="inlineStr">
        <is>
          <t>A) Vent to a colleague immediately via private message during the meeting.</t>
        </is>
      </c>
      <c r="F8" s="7" t="inlineStr">
        <is>
          <t>B) Respond professionally in the moment, and request a private conversation afterward if it still feels unresolved.</t>
        </is>
      </c>
      <c r="G8" s="7" t="inlineStr">
        <is>
          <t>C) Push back defensively in front of the whole team.</t>
        </is>
      </c>
      <c r="H8" s="7" t="inlineStr">
        <is>
          <t>D) Go quiet and disengage from the rest of the meeting.</t>
        </is>
      </c>
      <c r="I8" s="12" t="n">
        <v>3</v>
      </c>
      <c r="J8" s="12" t="n">
        <v>4</v>
      </c>
      <c r="K8" s="12" t="n">
        <v>2</v>
      </c>
      <c r="L8" s="12" t="n">
        <v>3</v>
      </c>
      <c r="M8" s="10" t="n"/>
      <c r="N8">
        <f>IF(M8="",0,INDEX(I8:L8,1,MATCH(M8,{"A","B","C","D"},0)))</f>
        <v/>
      </c>
    </row>
    <row r="9" ht="40" customHeight="1">
      <c r="A9" s="11" t="inlineStr">
        <is>
          <t>Set 1</t>
        </is>
      </c>
      <c r="B9" s="11" t="inlineStr">
        <is>
          <t>Q3</t>
        </is>
      </c>
      <c r="C9" s="7" t="inlineStr">
        <is>
          <t>Motivation / Resilience</t>
        </is>
      </c>
      <c r="D9" s="7" t="inlineStr">
        <is>
          <t>Your project proposal gets rejected by leadership after weeks of work. What's your next move?</t>
        </is>
      </c>
      <c r="E9" s="7" t="inlineStr">
        <is>
          <t>A) Resubmit the same proposal later, hoping the outcome changes.</t>
        </is>
      </c>
      <c r="F9" s="7" t="inlineStr">
        <is>
          <t>B) Assume it was rejected due to office politics rather than substance.</t>
        </is>
      </c>
      <c r="G9" s="7" t="inlineStr">
        <is>
          <t>C) Ask for specific reasons behind the rejection, and use that to refine either this idea or your next one.</t>
        </is>
      </c>
      <c r="H9" s="7" t="inlineStr">
        <is>
          <t>D) Decide leadership doesn't value your ideas and stop proposing new things.</t>
        </is>
      </c>
      <c r="I9" s="12" t="n">
        <v>3</v>
      </c>
      <c r="J9" s="12" t="n">
        <v>2</v>
      </c>
      <c r="K9" s="12" t="n">
        <v>4</v>
      </c>
      <c r="L9" s="12" t="n">
        <v>2</v>
      </c>
      <c r="M9" s="10" t="n"/>
      <c r="N9">
        <f>IF(M9="",0,INDEX(I9:L9,1,MATCH(M9,{"A","B","C","D"},0)))</f>
        <v/>
      </c>
    </row>
    <row r="10" ht="40" customHeight="1">
      <c r="A10" s="11" t="inlineStr">
        <is>
          <t>Set 1</t>
        </is>
      </c>
      <c r="B10" s="11" t="inlineStr">
        <is>
          <t>Q4</t>
        </is>
      </c>
      <c r="C10" s="7" t="inlineStr">
        <is>
          <t>Empathy</t>
        </is>
      </c>
      <c r="D10" s="7" t="inlineStr">
        <is>
          <t>A new team member is visibly struggling to keep up during their first sprint but hasn't asked for help. What's your approach?</t>
        </is>
      </c>
      <c r="E10" s="7" t="inlineStr">
        <is>
          <t>A) Mention it to your manager instead of talking to them directly.</t>
        </is>
      </c>
      <c r="F10" s="7" t="inlineStr">
        <is>
          <t>B) Let them figure it out on their own since that's how you learned.</t>
        </is>
      </c>
      <c r="G10" s="7" t="inlineStr">
        <is>
          <t>C) Assume they'll ask if they actually need help.</t>
        </is>
      </c>
      <c r="H10" s="7" t="inlineStr">
        <is>
          <t>D) Check in privately, offer specific help, and normalise asking questions early on.</t>
        </is>
      </c>
      <c r="I10" s="12" t="n">
        <v>3</v>
      </c>
      <c r="J10" s="12" t="n">
        <v>2</v>
      </c>
      <c r="K10" s="12" t="n">
        <v>3</v>
      </c>
      <c r="L10" s="12" t="n">
        <v>4</v>
      </c>
      <c r="M10" s="10" t="n"/>
      <c r="N10">
        <f>IF(M10="",0,INDEX(I10:L10,1,MATCH(M10,{"A","B","C","D"},0)))</f>
        <v/>
      </c>
    </row>
    <row r="11" ht="40" customHeight="1">
      <c r="A11" s="11" t="inlineStr">
        <is>
          <t>Set 1</t>
        </is>
      </c>
      <c r="B11" s="11" t="inlineStr">
        <is>
          <t>Q5</t>
        </is>
      </c>
      <c r="C11" s="7" t="inlineStr">
        <is>
          <t>Relationship Management</t>
        </is>
      </c>
      <c r="D11" s="7" t="inlineStr">
        <is>
          <t>You disagree with your manager's technical decision on a project you're closely involved in. How do you raise it?</t>
        </is>
      </c>
      <c r="E11" s="7" t="inlineStr">
        <is>
          <t>A) Request a focused conversation, present your reasoning with data, and remain open to their perspective.</t>
        </is>
      </c>
      <c r="F11" s="7" t="inlineStr">
        <is>
          <t>B) Comply silently even though you have real concerns.</t>
        </is>
      </c>
      <c r="G11" s="7" t="inlineStr">
        <is>
          <t>C) Voice your disagreement to teammates instead of your manager directly.</t>
        </is>
      </c>
      <c r="H11" s="7" t="inlineStr">
        <is>
          <t>D) Raise your objection publicly in a team meeting to get more support.</t>
        </is>
      </c>
      <c r="I11" s="12" t="n">
        <v>4</v>
      </c>
      <c r="J11" s="12" t="n">
        <v>3</v>
      </c>
      <c r="K11" s="12" t="n">
        <v>2</v>
      </c>
      <c r="L11" s="12" t="n">
        <v>2</v>
      </c>
      <c r="M11" s="10" t="n"/>
      <c r="N11">
        <f>IF(M11="",0,INDEX(I11:L11,1,MATCH(M11,{"A","B","C","D"},0)))</f>
        <v/>
      </c>
    </row>
    <row r="12" ht="40" customHeight="1">
      <c r="A12" s="11" t="inlineStr">
        <is>
          <t>Set 2</t>
        </is>
      </c>
      <c r="B12" s="11" t="inlineStr">
        <is>
          <t>Q1</t>
        </is>
      </c>
      <c r="C12" s="7" t="inlineStr">
        <is>
          <t>Self-Awareness</t>
        </is>
      </c>
      <c r="D12" s="7" t="inlineStr">
        <is>
          <t>You realise you feel disproportionate anxiety before every 1:1 with your manager, even when there's no reason to expect bad news. What's the pattern?</t>
        </is>
      </c>
      <c r="E12" s="7" t="inlineStr">
        <is>
          <t>A) Decide 1:1s are just inherently stressful and there's nothing to examine.</t>
        </is>
      </c>
      <c r="F12" s="7" t="inlineStr">
        <is>
          <t>B) Recognise this as anticipatory anxiety, and consider whether past experiences are colouring your current expectations unfairly.</t>
        </is>
      </c>
      <c r="G12" s="7" t="inlineStr">
        <is>
          <t>C) Avoid preparing for 1:1s to reduce the anxiety in the moment.</t>
        </is>
      </c>
      <c r="H12" s="7" t="inlineStr">
        <is>
          <t>D) Assume your manager is always secretly unhappy with your work.</t>
        </is>
      </c>
      <c r="I12" s="12" t="n">
        <v>2</v>
      </c>
      <c r="J12" s="12" t="n">
        <v>4</v>
      </c>
      <c r="K12" s="12" t="n">
        <v>3</v>
      </c>
      <c r="L12" s="12" t="n">
        <v>2</v>
      </c>
      <c r="M12" s="10" t="n"/>
      <c r="N12">
        <f>IF(M12="",0,INDEX(I12:L12,1,MATCH(M12,{"A","B","C","D"},0)))</f>
        <v/>
      </c>
    </row>
    <row r="13" ht="40" customHeight="1">
      <c r="A13" s="11" t="inlineStr">
        <is>
          <t>Set 2</t>
        </is>
      </c>
      <c r="B13" s="11" t="inlineStr">
        <is>
          <t>Q2</t>
        </is>
      </c>
      <c r="C13" s="7" t="inlineStr">
        <is>
          <t>Self-Regulation</t>
        </is>
      </c>
      <c r="D13" s="7" t="inlineStr">
        <is>
          <t>A colleague takes credit for your idea in a client-facing meeting. What's your immediate reaction?</t>
        </is>
      </c>
      <c r="E13" s="7" t="inlineStr">
        <is>
          <t>A) Bring it up passive-aggressively in a later meeting.</t>
        </is>
      </c>
      <c r="F13" s="7" t="inlineStr">
        <is>
          <t>B) Say nothing at all, even in private, to avoid conflict.</t>
        </is>
      </c>
      <c r="G13" s="7" t="inlineStr">
        <is>
          <t>C) Let the meeting continue smoothly, then address it privately with the colleague and your manager afterward.</t>
        </is>
      </c>
      <c r="H13" s="7" t="inlineStr">
        <is>
          <t>D) Interrupt to correct them in front of the client.</t>
        </is>
      </c>
      <c r="I13" s="12" t="n">
        <v>2</v>
      </c>
      <c r="J13" s="12" t="n">
        <v>3</v>
      </c>
      <c r="K13" s="12" t="n">
        <v>4</v>
      </c>
      <c r="L13" s="12" t="n">
        <v>2</v>
      </c>
      <c r="M13" s="10" t="n"/>
      <c r="N13">
        <f>IF(M13="",0,INDEX(I13:L13,1,MATCH(M13,{"A","B","C","D"},0)))</f>
        <v/>
      </c>
    </row>
    <row r="14" ht="40" customHeight="1">
      <c r="A14" s="11" t="inlineStr">
        <is>
          <t>Set 2</t>
        </is>
      </c>
      <c r="B14" s="11" t="inlineStr">
        <is>
          <t>Q3</t>
        </is>
      </c>
      <c r="C14" s="7" t="inlineStr">
        <is>
          <t>Motivation / Resilience</t>
        </is>
      </c>
      <c r="D14" s="7" t="inlineStr">
        <is>
          <t>You're passed over for a promotion you were confident about, with limited explanation given. What's your approach?</t>
        </is>
      </c>
      <c r="E14" s="7" t="inlineStr">
        <is>
          <t>A) Keep doing exactly the same work, hoping it's noticed next cycle.</t>
        </is>
      </c>
      <c r="F14" s="7" t="inlineStr">
        <is>
          <t>B) Assume it was purely political and disengage from extra effort.</t>
        </is>
      </c>
      <c r="G14" s="7" t="inlineStr">
        <is>
          <t>C) Start job-hunting immediately out of anger, without further conversation.</t>
        </is>
      </c>
      <c r="H14" s="7" t="inlineStr">
        <is>
          <t>D) Request specific feedback on what would strengthen your case, and build a concrete development plan.</t>
        </is>
      </c>
      <c r="I14" s="12" t="n">
        <v>3</v>
      </c>
      <c r="J14" s="12" t="n">
        <v>2</v>
      </c>
      <c r="K14" s="12" t="n">
        <v>2</v>
      </c>
      <c r="L14" s="12" t="n">
        <v>4</v>
      </c>
      <c r="M14" s="10" t="n"/>
      <c r="N14">
        <f>IF(M14="",0,INDEX(I14:L14,1,MATCH(M14,{"A","B","C","D"},0)))</f>
        <v/>
      </c>
    </row>
    <row r="15" ht="40" customHeight="1">
      <c r="A15" s="11" t="inlineStr">
        <is>
          <t>Set 2</t>
        </is>
      </c>
      <c r="B15" s="11" t="inlineStr">
        <is>
          <t>Q4</t>
        </is>
      </c>
      <c r="C15" s="7" t="inlineStr">
        <is>
          <t>Empathy</t>
        </is>
      </c>
      <c r="D15" s="7" t="inlineStr">
        <is>
          <t>A teammate seems distracted and is missing details in their work lately, which is unlike them. What's your approach?</t>
        </is>
      </c>
      <c r="E15" s="7" t="inlineStr">
        <is>
          <t>A) Check in privately and non-judgmentally before assuming it's a performance issue.</t>
        </is>
      </c>
      <c r="F15" s="7" t="inlineStr">
        <is>
          <t>B) Assume they're just being careless and let it go.</t>
        </is>
      </c>
      <c r="G15" s="7" t="inlineStr">
        <is>
          <t>C) Flag their mistakes to the manager to protect the project.</t>
        </is>
      </c>
      <c r="H15" s="7" t="inlineStr">
        <is>
          <t>D) Pick up the slack quietly without saying anything to them.</t>
        </is>
      </c>
      <c r="I15" s="12" t="n">
        <v>4</v>
      </c>
      <c r="J15" s="12" t="n">
        <v>3</v>
      </c>
      <c r="K15" s="12" t="n">
        <v>2</v>
      </c>
      <c r="L15" s="12" t="n">
        <v>3</v>
      </c>
      <c r="M15" s="10" t="n"/>
      <c r="N15">
        <f>IF(M15="",0,INDEX(I15:L15,1,MATCH(M15,{"A","B","C","D"},0)))</f>
        <v/>
      </c>
    </row>
    <row r="16" ht="40" customHeight="1">
      <c r="A16" s="11" t="inlineStr">
        <is>
          <t>Set 2</t>
        </is>
      </c>
      <c r="B16" s="11" t="inlineStr">
        <is>
          <t>Q5</t>
        </is>
      </c>
      <c r="C16" s="7" t="inlineStr">
        <is>
          <t>Relationship Management</t>
        </is>
      </c>
      <c r="D16" s="7" t="inlineStr">
        <is>
          <t>You need to give critical feedback to a peer whose work is affecting your shared deliverable. How do you approach it?</t>
        </is>
      </c>
      <c r="E16" s="7" t="inlineStr">
        <is>
          <t>A) Mention it vaguely in a group setting hoping they pick up on it.</t>
        </is>
      </c>
      <c r="F16" s="7" t="inlineStr">
        <is>
          <t>B) Have a direct, specific, and respectful conversation focused on the work, not the person.</t>
        </is>
      </c>
      <c r="G16" s="7" t="inlineStr">
        <is>
          <t>C) Raise it with your manager first instead of talking to the peer directly.</t>
        </is>
      </c>
      <c r="H16" s="7" t="inlineStr">
        <is>
          <t>D) Avoid the conversation and just redo their work yourself.</t>
        </is>
      </c>
      <c r="I16" s="12" t="n">
        <v>2</v>
      </c>
      <c r="J16" s="12" t="n">
        <v>4</v>
      </c>
      <c r="K16" s="12" t="n">
        <v>2</v>
      </c>
      <c r="L16" s="12" t="n">
        <v>3</v>
      </c>
      <c r="M16" s="10" t="n"/>
      <c r="N16">
        <f>IF(M16="",0,INDEX(I16:L16,1,MATCH(M16,{"A","B","C","D"},0)))</f>
        <v/>
      </c>
    </row>
    <row r="17" ht="40" customHeight="1">
      <c r="A17" s="11" t="inlineStr">
        <is>
          <t>Set 3</t>
        </is>
      </c>
      <c r="B17" s="11" t="inlineStr">
        <is>
          <t>Q1</t>
        </is>
      </c>
      <c r="C17" s="7" t="inlineStr">
        <is>
          <t>Self-Awareness</t>
        </is>
      </c>
      <c r="D17" s="7" t="inlineStr">
        <is>
          <t>You notice your confidence at work fluctuates heavily based on your manager's mood that day. What's the underlying issue?</t>
        </is>
      </c>
      <c r="E17" s="7" t="inlineStr">
        <is>
          <t>A) Decide this is just normal and there's nothing to address.</t>
        </is>
      </c>
      <c r="F17" s="7" t="inlineStr">
        <is>
          <t>B) Blame your manager for being inconsistent.</t>
        </is>
      </c>
      <c r="G17" s="7" t="inlineStr">
        <is>
          <t>C) Recognise you're overly reliant on external validation, and work on building a steadier internal sense of your own competence.</t>
        </is>
      </c>
      <c r="H17" s="7" t="inlineStr">
        <is>
          <t>D) Try to read your manager's mood obsessively every morning to prepare yourself.</t>
        </is>
      </c>
      <c r="I17" s="12" t="n">
        <v>3</v>
      </c>
      <c r="J17" s="12" t="n">
        <v>2</v>
      </c>
      <c r="K17" s="12" t="n">
        <v>4</v>
      </c>
      <c r="L17" s="12" t="n">
        <v>2</v>
      </c>
      <c r="M17" s="10" t="n"/>
      <c r="N17">
        <f>IF(M17="",0,INDEX(I17:L17,1,MATCH(M17,{"A","B","C","D"},0)))</f>
        <v/>
      </c>
    </row>
    <row r="18" ht="40" customHeight="1">
      <c r="A18" s="11" t="inlineStr">
        <is>
          <t>Set 3</t>
        </is>
      </c>
      <c r="B18" s="11" t="inlineStr">
        <is>
          <t>Q2</t>
        </is>
      </c>
      <c r="C18" s="7" t="inlineStr">
        <is>
          <t>Self-Regulation</t>
        </is>
      </c>
      <c r="D18" s="7" t="inlineStr">
        <is>
          <t>You're blindsided by a scope change on a project close to deadline, communicated abruptly by a stakeholder. What's your reaction?</t>
        </is>
      </c>
      <c r="E18" s="7" t="inlineStr">
        <is>
          <t>A) Vent extensively to your team instead of addressing it with the stakeholder.</t>
        </is>
      </c>
      <c r="F18" s="7" t="inlineStr">
        <is>
          <t>B) Push back angrily in the moment about the unfairness of the timing.</t>
        </is>
      </c>
      <c r="G18" s="7" t="inlineStr">
        <is>
          <t>C) Agree to everything immediately without pushing back at all, even when it's unrealistic.</t>
        </is>
      </c>
      <c r="H18" s="7" t="inlineStr">
        <is>
          <t>D) Acknowledge the frustration internally, then calmly assess what's realistically achievable and communicate that clearly.</t>
        </is>
      </c>
      <c r="I18" s="12" t="n">
        <v>3</v>
      </c>
      <c r="J18" s="12" t="n">
        <v>2</v>
      </c>
      <c r="K18" s="12" t="n">
        <v>3</v>
      </c>
      <c r="L18" s="12" t="n">
        <v>4</v>
      </c>
      <c r="M18" s="10" t="n"/>
      <c r="N18">
        <f>IF(M18="",0,INDEX(I18:L18,1,MATCH(M18,{"A","B","C","D"},0)))</f>
        <v/>
      </c>
    </row>
    <row r="19" ht="40" customHeight="1">
      <c r="A19" s="11" t="inlineStr">
        <is>
          <t>Set 3</t>
        </is>
      </c>
      <c r="B19" s="11" t="inlineStr">
        <is>
          <t>Q3</t>
        </is>
      </c>
      <c r="C19" s="7" t="inlineStr">
        <is>
          <t>Motivation / Resilience</t>
        </is>
      </c>
      <c r="D19" s="7" t="inlineStr">
        <is>
          <t>A product launch you worked hard on underperforms significantly after release. What's your approach?</t>
        </is>
      </c>
      <c r="E19" s="7" t="inlineStr">
        <is>
          <t>A) Analyse the data objectively to understand what happened, separate from your own self-worth.</t>
        </is>
      </c>
      <c r="F19" s="7" t="inlineStr">
        <is>
          <t>B) Blame the marketing team or external factors entirely.</t>
        </is>
      </c>
      <c r="G19" s="7" t="inlineStr">
        <is>
          <t>C) Avoid looking at the results too closely to sidestep the disappointment.</t>
        </is>
      </c>
      <c r="H19" s="7" t="inlineStr">
        <is>
          <t>D) Take it as proof you're not good at your job.</t>
        </is>
      </c>
      <c r="I19" s="12" t="n">
        <v>4</v>
      </c>
      <c r="J19" s="12" t="n">
        <v>2</v>
      </c>
      <c r="K19" s="12" t="n">
        <v>3</v>
      </c>
      <c r="L19" s="12" t="n">
        <v>2</v>
      </c>
      <c r="M19" s="10" t="n"/>
      <c r="N19">
        <f>IF(M19="",0,INDEX(I19:L19,1,MATCH(M19,{"A","B","C","D"},0)))</f>
        <v/>
      </c>
    </row>
    <row r="20" ht="40" customHeight="1">
      <c r="A20" s="11" t="inlineStr">
        <is>
          <t>Set 3</t>
        </is>
      </c>
      <c r="B20" s="11" t="inlineStr">
        <is>
          <t>Q4</t>
        </is>
      </c>
      <c r="C20" s="7" t="inlineStr">
        <is>
          <t>Empathy</t>
        </is>
      </c>
      <c r="D20" s="7" t="inlineStr">
        <is>
          <t>A colleague on your team is going through a divorce and their performance has noticeably dipped. What's your approach as a peer?</t>
        </is>
      </c>
      <c r="E20" s="7" t="inlineStr">
        <is>
          <t>A) Ask them for details about what's going on out of concern.</t>
        </is>
      </c>
      <c r="F20" s="7" t="inlineStr">
        <is>
          <t>B) Offer quiet, practical support where you can, and give them some grace without making it awkward.</t>
        </is>
      </c>
      <c r="G20" s="7" t="inlineStr">
        <is>
          <t>C) Avoid the topic and treat them exactly as before, without checking in at all.</t>
        </is>
      </c>
      <c r="H20" s="7" t="inlineStr">
        <is>
          <t>D) Report the performance dip to your manager to be safe.</t>
        </is>
      </c>
      <c r="I20" s="12" t="n">
        <v>3</v>
      </c>
      <c r="J20" s="12" t="n">
        <v>4</v>
      </c>
      <c r="K20" s="12" t="n">
        <v>3</v>
      </c>
      <c r="L20" s="12" t="n">
        <v>2</v>
      </c>
      <c r="M20" s="10" t="n"/>
      <c r="N20">
        <f>IF(M20="",0,INDEX(I20:L20,1,MATCH(M20,{"A","B","C","D"},0)))</f>
        <v/>
      </c>
    </row>
    <row r="21" ht="40" customHeight="1">
      <c r="A21" s="11" t="inlineStr">
        <is>
          <t>Set 3</t>
        </is>
      </c>
      <c r="B21" s="11" t="inlineStr">
        <is>
          <t>Q5</t>
        </is>
      </c>
      <c r="C21" s="7" t="inlineStr">
        <is>
          <t>Relationship Management</t>
        </is>
      </c>
      <c r="D21" s="7" t="inlineStr">
        <is>
          <t>Two people on your team have an ongoing personality clash that's affecting group dynamics. As a peer (not their manager), what do you do?</t>
        </is>
      </c>
      <c r="E21" s="7" t="inlineStr">
        <is>
          <t>A) Try to informally mediate between them yourself without involving anyone else.</t>
        </is>
      </c>
      <c r="F21" s="7" t="inlineStr">
        <is>
          <t>B) Pick a side based on who you get along with better.</t>
        </is>
      </c>
      <c r="G21" s="7" t="inlineStr">
        <is>
          <t>C) Model calm, respectful collaboration yourself, and gently flag the pattern to your manager if it's affecting team output.</t>
        </is>
      </c>
      <c r="H21" s="7" t="inlineStr">
        <is>
          <t>D) Stay completely out of it since it's not your responsibility.</t>
        </is>
      </c>
      <c r="I21" s="12" t="n">
        <v>3</v>
      </c>
      <c r="J21" s="12" t="n">
        <v>2</v>
      </c>
      <c r="K21" s="12" t="n">
        <v>4</v>
      </c>
      <c r="L21" s="12" t="n">
        <v>3</v>
      </c>
      <c r="M21" s="10" t="n"/>
      <c r="N21">
        <f>IF(M21="",0,INDEX(I21:L21,1,MATCH(M21,{"A","B","C","D"},0)))</f>
        <v/>
      </c>
    </row>
    <row r="22" ht="40" customHeight="1">
      <c r="A22" s="11" t="inlineStr">
        <is>
          <t>Set 4</t>
        </is>
      </c>
      <c r="B22" s="11" t="inlineStr">
        <is>
          <t>Q1</t>
        </is>
      </c>
      <c r="C22" s="7" t="inlineStr">
        <is>
          <t>Self-Awareness</t>
        </is>
      </c>
      <c r="D22" s="7" t="inlineStr">
        <is>
          <t>You realise you've been saying yes to every extra task your manager asks of you, and you're now consistently working late. What's the pattern?</t>
        </is>
      </c>
      <c r="E22" s="7" t="inlineStr">
        <is>
          <t>A) Decide this is just what being a good employee looks like.</t>
        </is>
      </c>
      <c r="F22" s="7" t="inlineStr">
        <is>
          <t>B) Keep saying yes but feel increasingly resentful about it.</t>
        </is>
      </c>
      <c r="G22" s="7" t="inlineStr">
        <is>
          <t>C) Blame your manager for asking too much without examining your own responses.</t>
        </is>
      </c>
      <c r="H22" s="7" t="inlineStr">
        <is>
          <t>D) Recognise you're avoiding the discomfort of pushing back, and start being more deliberate about what you take on.</t>
        </is>
      </c>
      <c r="I22" s="12" t="n">
        <v>2</v>
      </c>
      <c r="J22" s="12" t="n">
        <v>3</v>
      </c>
      <c r="K22" s="12" t="n">
        <v>2</v>
      </c>
      <c r="L22" s="12" t="n">
        <v>4</v>
      </c>
      <c r="M22" s="10" t="n"/>
      <c r="N22">
        <f>IF(M22="",0,INDEX(I22:L22,1,MATCH(M22,{"A","B","C","D"},0)))</f>
        <v/>
      </c>
    </row>
    <row r="23" ht="40" customHeight="1">
      <c r="A23" s="11" t="inlineStr">
        <is>
          <t>Set 4</t>
        </is>
      </c>
      <c r="B23" s="11" t="inlineStr">
        <is>
          <t>Q2</t>
        </is>
      </c>
      <c r="C23" s="7" t="inlineStr">
        <is>
          <t>Self-Regulation</t>
        </is>
      </c>
      <c r="D23" s="7" t="inlineStr">
        <is>
          <t>During a tense client call, the client raises their voice and speaks to you dismissively. What's your in-the-moment response?</t>
        </is>
      </c>
      <c r="E23" s="7" t="inlineStr">
        <is>
          <t>A) Stay calm and professional, address their concern directly, and follow up separately if needed.</t>
        </is>
      </c>
      <c r="F23" s="7" t="inlineStr">
        <is>
          <t>B) End the call abruptly to avoid the confrontation.</t>
        </is>
      </c>
      <c r="G23" s="7" t="inlineStr">
        <is>
          <t>C) Go quiet and let a colleague take over without explanation.</t>
        </is>
      </c>
      <c r="H23" s="7" t="inlineStr">
        <is>
          <t>D) Match their tone to assert yourself.</t>
        </is>
      </c>
      <c r="I23" s="12" t="n">
        <v>4</v>
      </c>
      <c r="J23" s="12" t="n">
        <v>2</v>
      </c>
      <c r="K23" s="12" t="n">
        <v>3</v>
      </c>
      <c r="L23" s="12" t="n">
        <v>2</v>
      </c>
      <c r="M23" s="10" t="n"/>
      <c r="N23">
        <f>IF(M23="",0,INDEX(I23:L23,1,MATCH(M23,{"A","B","C","D"},0)))</f>
        <v/>
      </c>
    </row>
    <row r="24" ht="40" customHeight="1">
      <c r="A24" s="11" t="inlineStr">
        <is>
          <t>Set 4</t>
        </is>
      </c>
      <c r="B24" s="11" t="inlineStr">
        <is>
          <t>Q3</t>
        </is>
      </c>
      <c r="C24" s="7" t="inlineStr">
        <is>
          <t>Motivation / Resilience</t>
        </is>
      </c>
      <c r="D24" s="7" t="inlineStr">
        <is>
          <t>You're six months into a role and still don't feel as competent as you expected to by now. What's your approach?</t>
        </is>
      </c>
      <c r="E24" s="7" t="inlineStr">
        <is>
          <t>A) Assume you're simply not suited for this kind of work.</t>
        </is>
      </c>
      <c r="F24" s="7" t="inlineStr">
        <is>
          <t>B) Talk to your manager about specific areas to develop, and set realistic milestones for growth.</t>
        </is>
      </c>
      <c r="G24" s="7" t="inlineStr">
        <is>
          <t>C) Avoid asking questions to prevent seeming incompetent, even when you need help.</t>
        </is>
      </c>
      <c r="H24" s="7" t="inlineStr">
        <is>
          <t>D) Compare yourself constantly to more experienced colleagues and feel discouraged.</t>
        </is>
      </c>
      <c r="I24" s="12" t="n">
        <v>2</v>
      </c>
      <c r="J24" s="12" t="n">
        <v>4</v>
      </c>
      <c r="K24" s="12" t="n">
        <v>2</v>
      </c>
      <c r="L24" s="12" t="n">
        <v>3</v>
      </c>
      <c r="M24" s="10" t="n"/>
      <c r="N24">
        <f>IF(M24="",0,INDEX(I24:L24,1,MATCH(M24,{"A","B","C","D"},0)))</f>
        <v/>
      </c>
    </row>
    <row r="25" ht="40" customHeight="1">
      <c r="A25" s="11" t="inlineStr">
        <is>
          <t>Set 4</t>
        </is>
      </c>
      <c r="B25" s="11" t="inlineStr">
        <is>
          <t>Q4</t>
        </is>
      </c>
      <c r="C25" s="7" t="inlineStr">
        <is>
          <t>Empathy</t>
        </is>
      </c>
      <c r="D25" s="7" t="inlineStr">
        <is>
          <t>A junior colleague you're mentoring keeps making the same mistake despite your feedback. What's your approach?</t>
        </is>
      </c>
      <c r="E25" s="7" t="inlineStr">
        <is>
          <t>A) Get visibly frustrated and point out that you've already told them this.</t>
        </is>
      </c>
      <c r="F25" s="7" t="inlineStr">
        <is>
          <t>B) Escalate it to their manager instead of continuing to mentor them yourself.</t>
        </is>
      </c>
      <c r="G25" s="7" t="inlineStr">
        <is>
          <t>C) Consider whether your explanation style is actually landing, and try a different approach to the feedback.</t>
        </is>
      </c>
      <c r="H25" s="7" t="inlineStr">
        <is>
          <t>D) Stop giving feedback and just fix the mistakes yourself going forward.</t>
        </is>
      </c>
      <c r="I25" s="12" t="n">
        <v>2</v>
      </c>
      <c r="J25" s="12" t="n">
        <v>3</v>
      </c>
      <c r="K25" s="12" t="n">
        <v>4</v>
      </c>
      <c r="L25" s="12" t="n">
        <v>3</v>
      </c>
      <c r="M25" s="10" t="n"/>
      <c r="N25">
        <f>IF(M25="",0,INDEX(I25:L25,1,MATCH(M25,{"A","B","C","D"},0)))</f>
        <v/>
      </c>
    </row>
    <row r="26" ht="40" customHeight="1">
      <c r="A26" s="11" t="inlineStr">
        <is>
          <t>Set 4</t>
        </is>
      </c>
      <c r="B26" s="11" t="inlineStr">
        <is>
          <t>Q5</t>
        </is>
      </c>
      <c r="C26" s="7" t="inlineStr">
        <is>
          <t>Relationship Management</t>
        </is>
      </c>
      <c r="D26" s="7" t="inlineStr">
        <is>
          <t>You want to push back on an unrealistic deadline set by a senior stakeholder outside your team. How do you approach it?</t>
        </is>
      </c>
      <c r="E26" s="7" t="inlineStr">
        <is>
          <t>A) Push back aggressively without offering an alternative.</t>
        </is>
      </c>
      <c r="F26" s="7" t="inlineStr">
        <is>
          <t>B) Agree to the deadline outwardly, then miss it without warning.</t>
        </is>
      </c>
      <c r="G26" s="7" t="inlineStr">
        <is>
          <t>C) Complain about the unrealistic deadline to your own team instead of addressing the stakeholder.</t>
        </is>
      </c>
      <c r="H26" s="7" t="inlineStr">
        <is>
          <t>D) Present a clear breakdown of what's achievable in the timeframe, and propose a realistic alternative.</t>
        </is>
      </c>
      <c r="I26" s="12" t="n">
        <v>2</v>
      </c>
      <c r="J26" s="12" t="n">
        <v>2</v>
      </c>
      <c r="K26" s="12" t="n">
        <v>3</v>
      </c>
      <c r="L26" s="12" t="n">
        <v>4</v>
      </c>
      <c r="M26" s="10" t="n"/>
      <c r="N26">
        <f>IF(M26="",0,INDEX(I26:L26,1,MATCH(M26,{"A","B","C","D"},0)))</f>
        <v/>
      </c>
    </row>
    <row r="27" ht="40" customHeight="1">
      <c r="A27" s="11" t="inlineStr">
        <is>
          <t>Set 5</t>
        </is>
      </c>
      <c r="B27" s="11" t="inlineStr">
        <is>
          <t>Q1</t>
        </is>
      </c>
      <c r="C27" s="7" t="inlineStr">
        <is>
          <t>Self-Awareness</t>
        </is>
      </c>
      <c r="D27" s="7" t="inlineStr">
        <is>
          <t>You notice you feel a strong urge to check work messages even during your time off, and it's affecting your ability to relax. What's the honest pattern?</t>
        </is>
      </c>
      <c r="E27" s="7" t="inlineStr">
        <is>
          <t>A) Recognise this as a boundary issue, and experiment with specific times you genuinely disconnect.</t>
        </is>
      </c>
      <c r="F27" s="7" t="inlineStr">
        <is>
          <t>B) Decide this is just what being dedicated to your job looks like.</t>
        </is>
      </c>
      <c r="G27" s="7" t="inlineStr">
        <is>
          <t>C) Blame your workload for making disconnection impossible.</t>
        </is>
      </c>
      <c r="H27" s="7" t="inlineStr">
        <is>
          <t>D) Keep checking anyway, since the anxiety of not checking feels worse.</t>
        </is>
      </c>
      <c r="I27" s="12" t="n">
        <v>4</v>
      </c>
      <c r="J27" s="12" t="n">
        <v>3</v>
      </c>
      <c r="K27" s="12" t="n">
        <v>2</v>
      </c>
      <c r="L27" s="12" t="n">
        <v>2</v>
      </c>
      <c r="M27" s="10" t="n"/>
      <c r="N27">
        <f>IF(M27="",0,INDEX(I27:L27,1,MATCH(M27,{"A","B","C","D"},0)))</f>
        <v/>
      </c>
    </row>
    <row r="28" ht="40" customHeight="1">
      <c r="A28" s="11" t="inlineStr">
        <is>
          <t>Set 5</t>
        </is>
      </c>
      <c r="B28" s="11" t="inlineStr">
        <is>
          <t>Q2</t>
        </is>
      </c>
      <c r="C28" s="7" t="inlineStr">
        <is>
          <t>Self-Regulation</t>
        </is>
      </c>
      <c r="D28" s="7" t="inlineStr">
        <is>
          <t>You receive a performance review with more critical feedback than you expected, and you feel your face getting hot as you read it. What's your next move?</t>
        </is>
      </c>
      <c r="E28" s="7" t="inlineStr">
        <is>
          <t>A) Reply to your manager immediately while still upset, to make your case.</t>
        </is>
      </c>
      <c r="F28" s="7" t="inlineStr">
        <is>
          <t>B) Give yourself time to process before responding, then follow up thoughtfully once you've calmed down.</t>
        </is>
      </c>
      <c r="G28" s="7" t="inlineStr">
        <is>
          <t>C) Avoid engaging with the feedback at all going forward.</t>
        </is>
      </c>
      <c r="H28" s="7" t="inlineStr">
        <is>
          <t>D) Vent to colleagues about how unfair the review was.</t>
        </is>
      </c>
      <c r="I28" s="12" t="n">
        <v>2</v>
      </c>
      <c r="J28" s="12" t="n">
        <v>4</v>
      </c>
      <c r="K28" s="12" t="n">
        <v>3</v>
      </c>
      <c r="L28" s="12" t="n">
        <v>3</v>
      </c>
      <c r="M28" s="10" t="n"/>
      <c r="N28">
        <f>IF(M28="",0,INDEX(I28:L28,1,MATCH(M28,{"A","B","C","D"},0)))</f>
        <v/>
      </c>
    </row>
    <row r="29" ht="40" customHeight="1">
      <c r="A29" s="11" t="inlineStr">
        <is>
          <t>Set 5</t>
        </is>
      </c>
      <c r="B29" s="11" t="inlineStr">
        <is>
          <t>Q3</t>
        </is>
      </c>
      <c r="C29" s="7" t="inlineStr">
        <is>
          <t>Motivation / Resilience</t>
        </is>
      </c>
      <c r="D29" s="7" t="inlineStr">
        <is>
          <t>A major client you worked hard to retain decides to leave anyway, despite your best efforts. What's your approach?</t>
        </is>
      </c>
      <c r="E29" s="7" t="inlineStr">
        <is>
          <t>A) Avoid thinking about it and move straight to the next task.</t>
        </is>
      </c>
      <c r="F29" s="7" t="inlineStr">
        <is>
          <t>B) Take full personal responsibility for a decision driven by factors outside your control.</t>
        </is>
      </c>
      <c r="G29" s="7" t="inlineStr">
        <is>
          <t>C) Do a fair, balanced review of what was and wasn't in your control, and apply any real lessons going forward.</t>
        </is>
      </c>
      <c r="H29" s="7" t="inlineStr">
        <is>
          <t>D) Blame the client entirely without any self-reflection.</t>
        </is>
      </c>
      <c r="I29" s="12" t="n">
        <v>3</v>
      </c>
      <c r="J29" s="12" t="n">
        <v>2</v>
      </c>
      <c r="K29" s="12" t="n">
        <v>4</v>
      </c>
      <c r="L29" s="12" t="n">
        <v>2</v>
      </c>
      <c r="M29" s="10" t="n"/>
      <c r="N29">
        <f>IF(M29="",0,INDEX(I29:L29,1,MATCH(M29,{"A","B","C","D"},0)))</f>
        <v/>
      </c>
    </row>
    <row r="30" ht="40" customHeight="1">
      <c r="A30" s="11" t="inlineStr">
        <is>
          <t>Set 5</t>
        </is>
      </c>
      <c r="B30" s="11" t="inlineStr">
        <is>
          <t>Q4</t>
        </is>
      </c>
      <c r="C30" s="7" t="inlineStr">
        <is>
          <t>Empathy</t>
        </is>
      </c>
      <c r="D30" s="7" t="inlineStr">
        <is>
          <t>A colleague is passed over for a promotion that goes to someone with less experience, and you sense they're hurt but not saying much. What's your approach?</t>
        </is>
      </c>
      <c r="E30" s="7" t="inlineStr">
        <is>
          <t>A) Bring it up repeatedly to show you care.</t>
        </is>
      </c>
      <c r="F30" s="7" t="inlineStr">
        <is>
          <t>B) Avoid the topic entirely since it might be awkward.</t>
        </is>
      </c>
      <c r="G30" s="7" t="inlineStr">
        <is>
          <t>C) Tell them they should just be grateful they still have a job.</t>
        </is>
      </c>
      <c r="H30" s="7" t="inlineStr">
        <is>
          <t>D) Acknowledge it briefly and let them know you're around if they want to talk, without forcing it.</t>
        </is>
      </c>
      <c r="I30" s="12" t="n">
        <v>3</v>
      </c>
      <c r="J30" s="12" t="n">
        <v>3</v>
      </c>
      <c r="K30" s="12" t="n">
        <v>1</v>
      </c>
      <c r="L30" s="12" t="n">
        <v>4</v>
      </c>
      <c r="M30" s="10" t="n"/>
      <c r="N30">
        <f>IF(M30="",0,INDEX(I30:L30,1,MATCH(M30,{"A","B","C","D"},0)))</f>
        <v/>
      </c>
    </row>
    <row r="31" ht="40" customHeight="1">
      <c r="A31" s="11" t="inlineStr">
        <is>
          <t>Set 5</t>
        </is>
      </c>
      <c r="B31" s="11" t="inlineStr">
        <is>
          <t>Q5</t>
        </is>
      </c>
      <c r="C31" s="7" t="inlineStr">
        <is>
          <t>Relationship Management</t>
        </is>
      </c>
      <c r="D31" s="7" t="inlineStr">
        <is>
          <t>You're managing your first direct report and need to address a recurring quality issue in their work. How do you approach the conversation?</t>
        </is>
      </c>
      <c r="E31" s="7" t="inlineStr">
        <is>
          <t>A) Give specific, constructive feedback in a private conversation, and offer concrete support to help them improve.</t>
        </is>
      </c>
      <c r="F31" s="7" t="inlineStr">
        <is>
          <t>B) Avoid it and hope it improves on its own.</t>
        </is>
      </c>
      <c r="G31" s="7" t="inlineStr">
        <is>
          <t>C) Redo the work yourself each time instead of addressing the root cause.</t>
        </is>
      </c>
      <c r="H31" s="7" t="inlineStr">
        <is>
          <t>D) Address it publicly during a team meeting to set an example.</t>
        </is>
      </c>
      <c r="I31" s="12" t="n">
        <v>4</v>
      </c>
      <c r="J31" s="12" t="n">
        <v>2</v>
      </c>
      <c r="K31" s="12" t="n">
        <v>3</v>
      </c>
      <c r="L31" s="12" t="n">
        <v>2</v>
      </c>
      <c r="M31" s="10" t="n"/>
      <c r="N31">
        <f>IF(M31="",0,INDEX(I31:L31,1,MATCH(M31,{"A","B","C","D"},0)))</f>
        <v/>
      </c>
    </row>
    <row r="32" ht="40" customHeight="1">
      <c r="A32" s="11" t="inlineStr">
        <is>
          <t>Set 6</t>
        </is>
      </c>
      <c r="B32" s="11" t="inlineStr">
        <is>
          <t>Q1</t>
        </is>
      </c>
      <c r="C32" s="7" t="inlineStr">
        <is>
          <t>Self-Awareness</t>
        </is>
      </c>
      <c r="D32" s="7" t="inlineStr">
        <is>
          <t>You realise you've been more cynical about your job than usual, questioning whether any of it matters. What's your read on this?</t>
        </is>
      </c>
      <c r="E32" s="7" t="inlineStr">
        <is>
          <t>A) Blame your company's culture entirely without examining your own state.</t>
        </is>
      </c>
      <c r="F32" s="7" t="inlineStr">
        <is>
          <t>B) Consider whether this is burnout-related, and take a real step back to assess your workload and energy.</t>
        </is>
      </c>
      <c r="G32" s="7" t="inlineStr">
        <is>
          <t>C) Push the feeling aside and keep working at the same pace.</t>
        </is>
      </c>
      <c r="H32" s="7" t="inlineStr">
        <is>
          <t>D) Decide the job itself is simply meaningless and start checking out.</t>
        </is>
      </c>
      <c r="I32" s="12" t="n">
        <v>2</v>
      </c>
      <c r="J32" s="12" t="n">
        <v>4</v>
      </c>
      <c r="K32" s="12" t="n">
        <v>3</v>
      </c>
      <c r="L32" s="12" t="n">
        <v>2</v>
      </c>
      <c r="M32" s="10" t="n"/>
      <c r="N32">
        <f>IF(M32="",0,INDEX(I32:L32,1,MATCH(M32,{"A","B","C","D"},0)))</f>
        <v/>
      </c>
    </row>
    <row r="33" ht="40" customHeight="1">
      <c r="A33" s="11" t="inlineStr">
        <is>
          <t>Set 6</t>
        </is>
      </c>
      <c r="B33" s="11" t="inlineStr">
        <is>
          <t>Q2</t>
        </is>
      </c>
      <c r="C33" s="7" t="inlineStr">
        <is>
          <t>Self-Regulation</t>
        </is>
      </c>
      <c r="D33" s="7" t="inlineStr">
        <is>
          <t>A cross-functional colleague repeatedly misses commitments that affect your timeline, and you're increasingly frustrated. What's your approach?</t>
        </is>
      </c>
      <c r="E33" s="7" t="inlineStr">
        <is>
          <t>A) Escalate immediately to their manager without talking to them first.</t>
        </is>
      </c>
      <c r="F33" s="7" t="inlineStr">
        <is>
          <t>B) Work around them quietly without raising the issue.</t>
        </is>
      </c>
      <c r="G33" s="7" t="inlineStr">
        <is>
          <t>C) Have a direct conversation about the pattern and its impact, and agree on a clearer way of working together.</t>
        </is>
      </c>
      <c r="H33" s="7" t="inlineStr">
        <is>
          <t>D) Send a frustrated message venting about the missed deadlines.</t>
        </is>
      </c>
      <c r="I33" s="12" t="n">
        <v>2</v>
      </c>
      <c r="J33" s="12" t="n">
        <v>3</v>
      </c>
      <c r="K33" s="12" t="n">
        <v>4</v>
      </c>
      <c r="L33" s="12" t="n">
        <v>2</v>
      </c>
      <c r="M33" s="10" t="n"/>
      <c r="N33">
        <f>IF(M33="",0,INDEX(I33:L33,1,MATCH(M33,{"A","B","C","D"},0)))</f>
        <v/>
      </c>
    </row>
    <row r="34" ht="40" customHeight="1">
      <c r="A34" s="11" t="inlineStr">
        <is>
          <t>Set 6</t>
        </is>
      </c>
      <c r="B34" s="11" t="inlineStr">
        <is>
          <t>Q3</t>
        </is>
      </c>
      <c r="C34" s="7" t="inlineStr">
        <is>
          <t>Motivation / Resilience</t>
        </is>
      </c>
      <c r="D34" s="7" t="inlineStr">
        <is>
          <t>You've been in the same role for two years with no clear path to advancement communicated. What's your approach?</t>
        </is>
      </c>
      <c r="E34" s="7" t="inlineStr">
        <is>
          <t>A) Assume there's simply no room to grow here and quietly disengage.</t>
        </is>
      </c>
      <c r="F34" s="7" t="inlineStr">
        <is>
          <t>B) Start job hunting immediately without first raising the topic internally.</t>
        </is>
      </c>
      <c r="G34" s="7" t="inlineStr">
        <is>
          <t>C) Wait passively for someone to notice and offer you something.</t>
        </is>
      </c>
      <c r="H34" s="7" t="inlineStr">
        <is>
          <t>D) Proactively bring up career growth in a conversation with your manager, with specific ideas of your own.</t>
        </is>
      </c>
      <c r="I34" s="12" t="n">
        <v>2</v>
      </c>
      <c r="J34" s="12" t="n">
        <v>3</v>
      </c>
      <c r="K34" s="12" t="n">
        <v>3</v>
      </c>
      <c r="L34" s="12" t="n">
        <v>4</v>
      </c>
      <c r="M34" s="10" t="n"/>
      <c r="N34">
        <f>IF(M34="",0,INDEX(I34:L34,1,MATCH(M34,{"A","B","C","D"},0)))</f>
        <v/>
      </c>
    </row>
    <row r="35" ht="40" customHeight="1">
      <c r="A35" s="11" t="inlineStr">
        <is>
          <t>Set 6</t>
        </is>
      </c>
      <c r="B35" s="11" t="inlineStr">
        <is>
          <t>Q4</t>
        </is>
      </c>
      <c r="C35" s="7" t="inlineStr">
        <is>
          <t>Empathy</t>
        </is>
      </c>
      <c r="D35" s="7" t="inlineStr">
        <is>
          <t>A colleague from a different cultural background makes a decision that seems unusual to you based on your own norms. What's your first instinct?</t>
        </is>
      </c>
      <c r="E35" s="7" t="inlineStr">
        <is>
          <t>A) Consider that different norms might be at play, and ask genuinely curious questions if relevant.</t>
        </is>
      </c>
      <c r="F35" s="7" t="inlineStr">
        <is>
          <t>B) Point out to others that you would have done it differently.</t>
        </is>
      </c>
      <c r="G35" s="7" t="inlineStr">
        <is>
          <t>C) Say nothing but privately judge the decision.</t>
        </is>
      </c>
      <c r="H35" s="7" t="inlineStr">
        <is>
          <t>D) Assume they made a mistake based on your own standards.</t>
        </is>
      </c>
      <c r="I35" s="12" t="n">
        <v>4</v>
      </c>
      <c r="J35" s="12" t="n">
        <v>3</v>
      </c>
      <c r="K35" s="12" t="n">
        <v>3</v>
      </c>
      <c r="L35" s="12" t="n">
        <v>2</v>
      </c>
      <c r="M35" s="10" t="n"/>
      <c r="N35">
        <f>IF(M35="",0,INDEX(I35:L35,1,MATCH(M35,{"A","B","C","D"},0)))</f>
        <v/>
      </c>
    </row>
    <row r="36" ht="40" customHeight="1">
      <c r="A36" s="11" t="inlineStr">
        <is>
          <t>Set 6</t>
        </is>
      </c>
      <c r="B36" s="11" t="inlineStr">
        <is>
          <t>Q5</t>
        </is>
      </c>
      <c r="C36" s="7" t="inlineStr">
        <is>
          <t>Relationship Management</t>
        </is>
      </c>
      <c r="D36" s="7" t="inlineStr">
        <is>
          <t>You need to push back on a peer's plan in a meeting without undermining them in front of others. How do you handle it?</t>
        </is>
      </c>
      <c r="E36" s="7" t="inlineStr">
        <is>
          <t>A) Stay quiet in the meeting and raise your concerns to others afterward.</t>
        </is>
      </c>
      <c r="F36" s="7" t="inlineStr">
        <is>
          <t>B) Ask clarifying, constructive questions in the meeting that surface the concern without being confrontational.</t>
        </is>
      </c>
      <c r="G36" s="7" t="inlineStr">
        <is>
          <t>C) Agree in the meeting, then quietly try to change the plan afterward without their input.</t>
        </is>
      </c>
      <c r="H36" s="7" t="inlineStr">
        <is>
          <t>D) Directly criticise the plan in front of the group.</t>
        </is>
      </c>
      <c r="I36" s="12" t="n">
        <v>2</v>
      </c>
      <c r="J36" s="12" t="n">
        <v>4</v>
      </c>
      <c r="K36" s="12" t="n">
        <v>3</v>
      </c>
      <c r="L36" s="12" t="n">
        <v>2</v>
      </c>
      <c r="M36" s="10" t="n"/>
      <c r="N36">
        <f>IF(M36="",0,INDEX(I36:L36,1,MATCH(M36,{"A","B","C","D"},0)))</f>
        <v/>
      </c>
    </row>
    <row r="37" ht="40" customHeight="1">
      <c r="A37" s="11" t="inlineStr">
        <is>
          <t>Set 7</t>
        </is>
      </c>
      <c r="B37" s="11" t="inlineStr">
        <is>
          <t>Q1</t>
        </is>
      </c>
      <c r="C37" s="7" t="inlineStr">
        <is>
          <t>Self-Awareness</t>
        </is>
      </c>
      <c r="D37" s="7" t="inlineStr">
        <is>
          <t>You notice you feel a strange emptiness after hitting a big goal you worked toward for a year. What's the honest reflection?</t>
        </is>
      </c>
      <c r="E37" s="7" t="inlineStr">
        <is>
          <t>A) Push straight into the next goal without processing the feeling at all.</t>
        </is>
      </c>
      <c r="F37" s="7" t="inlineStr">
        <is>
          <t>B) Assume something is wrong with you for not feeling happier.</t>
        </is>
      </c>
      <c r="G37" s="7" t="inlineStr">
        <is>
          <t>C) Recognise this as a common post-achievement dip, and think about what genuinely energises you going forward.</t>
        </is>
      </c>
      <c r="H37" s="7" t="inlineStr">
        <is>
          <t>D) Decide the goal wasn't actually worth pursuing.</t>
        </is>
      </c>
      <c r="I37" s="12" t="n">
        <v>3</v>
      </c>
      <c r="J37" s="12" t="n">
        <v>2</v>
      </c>
      <c r="K37" s="12" t="n">
        <v>4</v>
      </c>
      <c r="L37" s="12" t="n">
        <v>2</v>
      </c>
      <c r="M37" s="10" t="n"/>
      <c r="N37">
        <f>IF(M37="",0,INDEX(I37:L37,1,MATCH(M37,{"A","B","C","D"},0)))</f>
        <v/>
      </c>
    </row>
    <row r="38" ht="40" customHeight="1">
      <c r="A38" s="11" t="inlineStr">
        <is>
          <t>Set 7</t>
        </is>
      </c>
      <c r="B38" s="11" t="inlineStr">
        <is>
          <t>Q2</t>
        </is>
      </c>
      <c r="C38" s="7" t="inlineStr">
        <is>
          <t>Self-Regulation</t>
        </is>
      </c>
      <c r="D38" s="7" t="inlineStr">
        <is>
          <t>You're in a meeting where a senior leader dismisses your idea quickly without much consideration. What's your response?</t>
        </is>
      </c>
      <c r="E38" s="7" t="inlineStr">
        <is>
          <t>A) Drop the idea entirely and stop contributing in future meetings.</t>
        </is>
      </c>
      <c r="F38" s="7" t="inlineStr">
        <is>
          <t>B) Push back forcefully in the moment to defend the idea.</t>
        </is>
      </c>
      <c r="G38" s="7" t="inlineStr">
        <is>
          <t>C) Complain about the leader's dismissiveness to peers afterward.</t>
        </is>
      </c>
      <c r="H38" s="7" t="inlineStr">
        <is>
          <t>D) Stay composed, and find a better moment (or format) to make the case more thoroughly if you still believe in it.</t>
        </is>
      </c>
      <c r="I38" s="12" t="n">
        <v>3</v>
      </c>
      <c r="J38" s="12" t="n">
        <v>2</v>
      </c>
      <c r="K38" s="12" t="n">
        <v>2</v>
      </c>
      <c r="L38" s="12" t="n">
        <v>4</v>
      </c>
      <c r="M38" s="10" t="n"/>
      <c r="N38">
        <f>IF(M38="",0,INDEX(I38:L38,1,MATCH(M38,{"A","B","C","D"},0)))</f>
        <v/>
      </c>
    </row>
    <row r="39" ht="40" customHeight="1">
      <c r="A39" s="11" t="inlineStr">
        <is>
          <t>Set 7</t>
        </is>
      </c>
      <c r="B39" s="11" t="inlineStr">
        <is>
          <t>Q3</t>
        </is>
      </c>
      <c r="C39" s="7" t="inlineStr">
        <is>
          <t>Motivation / Resilience</t>
        </is>
      </c>
      <c r="D39" s="7" t="inlineStr">
        <is>
          <t>Your team's project gets deprioritised after months of work, with resources reallocated elsewhere. What's your approach?</t>
        </is>
      </c>
      <c r="E39" s="7" t="inlineStr">
        <is>
          <t>A) Identify what's transferable from the work (skills, relationships, learnings) and carry that forward.</t>
        </is>
      </c>
      <c r="F39" s="7" t="inlineStr">
        <is>
          <t>B) Blame leadership entirely for poor planning without any further reflection.</t>
        </is>
      </c>
      <c r="G39" s="7" t="inlineStr">
        <is>
          <t>C) Feel like the months of work were entirely wasted.</t>
        </is>
      </c>
      <c r="H39" s="7" t="inlineStr">
        <is>
          <t>D) Coast through remaining tasks with minimal effort since the project no longer matters.</t>
        </is>
      </c>
      <c r="I39" s="12" t="n">
        <v>4</v>
      </c>
      <c r="J39" s="12" t="n">
        <v>2</v>
      </c>
      <c r="K39" s="12" t="n">
        <v>2</v>
      </c>
      <c r="L39" s="12" t="n">
        <v>3</v>
      </c>
      <c r="M39" s="10" t="n"/>
      <c r="N39">
        <f>IF(M39="",0,INDEX(I39:L39,1,MATCH(M39,{"A","B","C","D"},0)))</f>
        <v/>
      </c>
    </row>
    <row r="40" ht="40" customHeight="1">
      <c r="A40" s="11" t="inlineStr">
        <is>
          <t>Set 7</t>
        </is>
      </c>
      <c r="B40" s="11" t="inlineStr">
        <is>
          <t>Q4</t>
        </is>
      </c>
      <c r="C40" s="7" t="inlineStr">
        <is>
          <t>Empathy</t>
        </is>
      </c>
      <c r="D40" s="7" t="inlineStr">
        <is>
          <t>A colleague you manage informally (without direct authority) is clearly overworked but hasn't said anything about it. What's your approach?</t>
        </is>
      </c>
      <c r="E40" s="7" t="inlineStr">
        <is>
          <t>A) Mention your observation to their manager without talking to them first.</t>
        </is>
      </c>
      <c r="F40" s="7" t="inlineStr">
        <is>
          <t>B) Check in directly about their workload, and advocate for support on their behalf if needed.</t>
        </is>
      </c>
      <c r="G40" s="7" t="inlineStr">
        <is>
          <t>C) Assume they'd speak up if it were really a problem.</t>
        </is>
      </c>
      <c r="H40" s="7" t="inlineStr">
        <is>
          <t>D) Give them more work anyway since they haven't complained.</t>
        </is>
      </c>
      <c r="I40" s="12" t="n">
        <v>3</v>
      </c>
      <c r="J40" s="12" t="n">
        <v>4</v>
      </c>
      <c r="K40" s="12" t="n">
        <v>3</v>
      </c>
      <c r="L40" s="12" t="n">
        <v>2</v>
      </c>
      <c r="M40" s="10" t="n"/>
      <c r="N40">
        <f>IF(M40="",0,INDEX(I40:L40,1,MATCH(M40,{"A","B","C","D"},0)))</f>
        <v/>
      </c>
    </row>
    <row r="41" ht="40" customHeight="1">
      <c r="A41" s="11" t="inlineStr">
        <is>
          <t>Set 7</t>
        </is>
      </c>
      <c r="B41" s="11" t="inlineStr">
        <is>
          <t>Q5</t>
        </is>
      </c>
      <c r="C41" s="7" t="inlineStr">
        <is>
          <t>Relationship Management</t>
        </is>
      </c>
      <c r="D41" s="7" t="inlineStr">
        <is>
          <t>You're building a new cross-team relationship with a stakeholder who seems guarded and slow to trust you. How do you approach it?</t>
        </is>
      </c>
      <c r="E41" s="7" t="inlineStr">
        <is>
          <t>A) Push for quick wins to force trust faster.</t>
        </is>
      </c>
      <c r="F41" s="7" t="inlineStr">
        <is>
          <t>B) Give up trying to build the relationship since it feels effortful.</t>
        </is>
      </c>
      <c r="G41" s="7" t="inlineStr">
        <is>
          <t>C) Be consistently reliable and transparent over time, understanding trust takes longer to build with some people.</t>
        </is>
      </c>
      <c r="H41" s="7" t="inlineStr">
        <is>
          <t>D) Go around them to someone more receptive on their team.</t>
        </is>
      </c>
      <c r="I41" s="12" t="n">
        <v>2</v>
      </c>
      <c r="J41" s="12" t="n">
        <v>3</v>
      </c>
      <c r="K41" s="12" t="n">
        <v>4</v>
      </c>
      <c r="L41" s="12" t="n">
        <v>2</v>
      </c>
      <c r="M41" s="10" t="n"/>
      <c r="N41">
        <f>IF(M41="",0,INDEX(I41:L41,1,MATCH(M41,{"A","B","C","D"},0)))</f>
        <v/>
      </c>
    </row>
    <row r="42" ht="40" customHeight="1">
      <c r="A42" s="11" t="inlineStr">
        <is>
          <t>Set 8</t>
        </is>
      </c>
      <c r="B42" s="11" t="inlineStr">
        <is>
          <t>Q1</t>
        </is>
      </c>
      <c r="C42" s="7" t="inlineStr">
        <is>
          <t>Self-Awareness</t>
        </is>
      </c>
      <c r="D42" s="7" t="inlineStr">
        <is>
          <t>You notice you take feedback from certain colleagues much harder than from others, regardless of how it's delivered. What's the underlying pattern?</t>
        </is>
      </c>
      <c r="E42" s="7" t="inlineStr">
        <is>
          <t>A) Assume those colleagues just don't like you.</t>
        </is>
      </c>
      <c r="F42" s="7" t="inlineStr">
        <is>
          <t>B) Decide it's just about how blunt those specific colleagues are.</t>
        </is>
      </c>
      <c r="G42" s="7" t="inlineStr">
        <is>
          <t>C) Avoid seeking feedback from those colleagues altogether.</t>
        </is>
      </c>
      <c r="H42" s="7" t="inlineStr">
        <is>
          <t>D) Consider whether your own history with those people (or their role) is colouring how you receive their feedback.</t>
        </is>
      </c>
      <c r="I42" s="12" t="n">
        <v>2</v>
      </c>
      <c r="J42" s="12" t="n">
        <v>2</v>
      </c>
      <c r="K42" s="12" t="n">
        <v>3</v>
      </c>
      <c r="L42" s="12" t="n">
        <v>4</v>
      </c>
      <c r="M42" s="10" t="n"/>
      <c r="N42">
        <f>IF(M42="",0,INDEX(I42:L42,1,MATCH(M42,{"A","B","C","D"},0)))</f>
        <v/>
      </c>
    </row>
    <row r="43" ht="40" customHeight="1">
      <c r="A43" s="11" t="inlineStr">
        <is>
          <t>Set 8</t>
        </is>
      </c>
      <c r="B43" s="11" t="inlineStr">
        <is>
          <t>Q2</t>
        </is>
      </c>
      <c r="C43" s="7" t="inlineStr">
        <is>
          <t>Self-Regulation</t>
        </is>
      </c>
      <c r="D43" s="7" t="inlineStr">
        <is>
          <t>You're double-booked in two important meetings due to a scheduling error that wasn't your fault, and both parties are frustrated with you. What's your approach?</t>
        </is>
      </c>
      <c r="E43" s="7" t="inlineStr">
        <is>
          <t>A) Apologise for the inconvenience, quickly propose a fair resolution, and address the scheduling process afterward.</t>
        </is>
      </c>
      <c r="F43" s="7" t="inlineStr">
        <is>
          <t>B) Pick one meeting silently and let the other party figure out you're not coming.</t>
        </is>
      </c>
      <c r="G43" s="7" t="inlineStr">
        <is>
          <t>C) Get defensive and explain at length that it wasn't your fault.</t>
        </is>
      </c>
      <c r="H43" s="7" t="inlineStr">
        <is>
          <t>D) Blame whoever scheduled it to both parties.</t>
        </is>
      </c>
      <c r="I43" s="12" t="n">
        <v>4</v>
      </c>
      <c r="J43" s="12" t="n">
        <v>3</v>
      </c>
      <c r="K43" s="12" t="n">
        <v>2</v>
      </c>
      <c r="L43" s="12" t="n">
        <v>3</v>
      </c>
      <c r="M43" s="10" t="n"/>
      <c r="N43">
        <f>IF(M43="",0,INDEX(I43:L43,1,MATCH(M43,{"A","B","C","D"},0)))</f>
        <v/>
      </c>
    </row>
    <row r="44" ht="40" customHeight="1">
      <c r="A44" s="11" t="inlineStr">
        <is>
          <t>Set 8</t>
        </is>
      </c>
      <c r="B44" s="11" t="inlineStr">
        <is>
          <t>Q3</t>
        </is>
      </c>
      <c r="C44" s="7" t="inlineStr">
        <is>
          <t>Motivation / Resilience</t>
        </is>
      </c>
      <c r="D44" s="7" t="inlineStr">
        <is>
          <t>You take initiative on a project outside your usual scope, but it doesn't get the recognition you hoped for. What's your approach?</t>
        </is>
      </c>
      <c r="E44" s="7" t="inlineStr">
        <is>
          <t>A) Assume your manager just doesn't value initiative.</t>
        </is>
      </c>
      <c r="F44" s="7" t="inlineStr">
        <is>
          <t>B) Reflect on whether visibility, not just effort, needs more attention next time, and keep taking calculated initiative.</t>
        </is>
      </c>
      <c r="G44" s="7" t="inlineStr">
        <is>
          <t>C) Decide taking initiative isn't worth it and stick strictly to your role going forward.</t>
        </is>
      </c>
      <c r="H44" s="7" t="inlineStr">
        <is>
          <t>D) Bring it up repeatedly to make sure people notice your contribution.</t>
        </is>
      </c>
      <c r="I44" s="12" t="n">
        <v>2</v>
      </c>
      <c r="J44" s="12" t="n">
        <v>4</v>
      </c>
      <c r="K44" s="12" t="n">
        <v>2</v>
      </c>
      <c r="L44" s="12" t="n">
        <v>3</v>
      </c>
      <c r="M44" s="10" t="n"/>
      <c r="N44">
        <f>IF(M44="",0,INDEX(I44:L44,1,MATCH(M44,{"A","B","C","D"},0)))</f>
        <v/>
      </c>
    </row>
    <row r="45" ht="40" customHeight="1">
      <c r="A45" s="11" t="inlineStr">
        <is>
          <t>Set 8</t>
        </is>
      </c>
      <c r="B45" s="11" t="inlineStr">
        <is>
          <t>Q4</t>
        </is>
      </c>
      <c r="C45" s="7" t="inlineStr">
        <is>
          <t>Empathy</t>
        </is>
      </c>
      <c r="D45" s="7" t="inlineStr">
        <is>
          <t>A colleague on a global team is joining calls at very inconvenient hours for their timezone without complaint. What's your approach?</t>
        </is>
      </c>
      <c r="E45" s="7" t="inlineStr">
        <is>
          <t>A) Mention it to their manager instead of adjusting the schedule yourself.</t>
        </is>
      </c>
      <c r="F45" s="7" t="inlineStr">
        <is>
          <t>B) Keep scheduling at your convenience since it's easier for you.</t>
        </is>
      </c>
      <c r="G45" s="7" t="inlineStr">
        <is>
          <t>C) Proactively suggest rotating meeting times so the inconvenience is shared fairly.</t>
        </is>
      </c>
      <c r="H45" s="7" t="inlineStr">
        <is>
          <t>D) Assume it's fine since they haven't raised it as an issue.</t>
        </is>
      </c>
      <c r="I45" s="12" t="n">
        <v>3</v>
      </c>
      <c r="J45" s="12" t="n">
        <v>2</v>
      </c>
      <c r="K45" s="12" t="n">
        <v>4</v>
      </c>
      <c r="L45" s="12" t="n">
        <v>3</v>
      </c>
      <c r="M45" s="10" t="n"/>
      <c r="N45">
        <f>IF(M45="",0,INDEX(I45:L45,1,MATCH(M45,{"A","B","C","D"},0)))</f>
        <v/>
      </c>
    </row>
    <row r="46" ht="40" customHeight="1">
      <c r="A46" s="11" t="inlineStr">
        <is>
          <t>Set 8</t>
        </is>
      </c>
      <c r="B46" s="11" t="inlineStr">
        <is>
          <t>Q5</t>
        </is>
      </c>
      <c r="C46" s="7" t="inlineStr">
        <is>
          <t>Relationship Management</t>
        </is>
      </c>
      <c r="D46" s="7" t="inlineStr">
        <is>
          <t>You've built a strong relationship with a colleague, but a work disagreement is starting to strain it. How do you protect the relationship?</t>
        </is>
      </c>
      <c r="E46" s="7" t="inlineStr">
        <is>
          <t>A) Let the disagreement affect how you treat them personally too.</t>
        </is>
      </c>
      <c r="F46" s="7" t="inlineStr">
        <is>
          <t>B) Avoid raising the disagreement at all to protect the friendship.</t>
        </is>
      </c>
      <c r="G46" s="7" t="inlineStr">
        <is>
          <t>C) Vent about the disagreement to other colleagues instead of them.</t>
        </is>
      </c>
      <c r="H46" s="7" t="inlineStr">
        <is>
          <t>D) Separate the work issue from the friendship explicitly, and address the work concern directly but kindly.</t>
        </is>
      </c>
      <c r="I46" s="12" t="n">
        <v>2</v>
      </c>
      <c r="J46" s="12" t="n">
        <v>3</v>
      </c>
      <c r="K46" s="12" t="n">
        <v>2</v>
      </c>
      <c r="L46" s="12" t="n">
        <v>4</v>
      </c>
      <c r="M46" s="10" t="n"/>
      <c r="N46">
        <f>IF(M46="",0,INDEX(I46:L46,1,MATCH(M46,{"A","B","C","D"},0)))</f>
        <v/>
      </c>
    </row>
    <row r="47" ht="40" customHeight="1">
      <c r="A47" s="11" t="inlineStr">
        <is>
          <t>Set 9</t>
        </is>
      </c>
      <c r="B47" s="11" t="inlineStr">
        <is>
          <t>Q1</t>
        </is>
      </c>
      <c r="C47" s="7" t="inlineStr">
        <is>
          <t>Self-Awareness</t>
        </is>
      </c>
      <c r="D47" s="7" t="inlineStr">
        <is>
          <t>You realise your energy at work has been consistently low for weeks, even on projects you'd normally enjoy. What's your honest read?</t>
        </is>
      </c>
      <c r="E47" s="7" t="inlineStr">
        <is>
          <t>A) Consider whether this is burnout, and take concrete steps (rest, workload conversation) before making any big decisions.</t>
        </is>
      </c>
      <c r="F47" s="7" t="inlineStr">
        <is>
          <t>B) Blame the specific projects for being boring, without looking at the broader pattern.</t>
        </is>
      </c>
      <c r="G47" s="7" t="inlineStr">
        <is>
          <t>C) Decide you've just lost interest in your field entirely.</t>
        </is>
      </c>
      <c r="H47" s="7" t="inlineStr">
        <is>
          <t>D) Push through without examining the cause, assuming it'll pass.</t>
        </is>
      </c>
      <c r="I47" s="12" t="n">
        <v>4</v>
      </c>
      <c r="J47" s="12" t="n">
        <v>2</v>
      </c>
      <c r="K47" s="12" t="n">
        <v>2</v>
      </c>
      <c r="L47" s="12" t="n">
        <v>3</v>
      </c>
      <c r="M47" s="10" t="n"/>
      <c r="N47">
        <f>IF(M47="",0,INDEX(I47:L47,1,MATCH(M47,{"A","B","C","D"},0)))</f>
        <v/>
      </c>
    </row>
    <row r="48" ht="40" customHeight="1">
      <c r="A48" s="11" t="inlineStr">
        <is>
          <t>Set 9</t>
        </is>
      </c>
      <c r="B48" s="11" t="inlineStr">
        <is>
          <t>Q2</t>
        </is>
      </c>
      <c r="C48" s="7" t="inlineStr">
        <is>
          <t>Self-Regulation</t>
        </is>
      </c>
      <c r="D48" s="7" t="inlineStr">
        <is>
          <t>You're given negative feedback about your communication style that surprises and stings more than you expected. What's your next move?</t>
        </is>
      </c>
      <c r="E48" s="7" t="inlineStr">
        <is>
          <t>A) Get defensive with the person who gave the feedback.</t>
        </is>
      </c>
      <c r="F48" s="7" t="inlineStr">
        <is>
          <t>B) Sit with the discomfort, then seek a second opinion or specific examples to understand it better.</t>
        </is>
      </c>
      <c r="G48" s="7" t="inlineStr">
        <is>
          <t>C) Dismiss the feedback since it doesn't match your own self-image.</t>
        </is>
      </c>
      <c r="H48" s="7" t="inlineStr">
        <is>
          <t>D) Overcorrect dramatically and become overly cautious in all communication going forward.</t>
        </is>
      </c>
      <c r="I48" s="12" t="n">
        <v>2</v>
      </c>
      <c r="J48" s="12" t="n">
        <v>4</v>
      </c>
      <c r="K48" s="12" t="n">
        <v>2</v>
      </c>
      <c r="L48" s="12" t="n">
        <v>3</v>
      </c>
      <c r="M48" s="10" t="n"/>
      <c r="N48">
        <f>IF(M48="",0,INDEX(I48:L48,1,MATCH(M48,{"A","B","C","D"},0)))</f>
        <v/>
      </c>
    </row>
    <row r="49" ht="40" customHeight="1">
      <c r="A49" s="11" t="inlineStr">
        <is>
          <t>Set 9</t>
        </is>
      </c>
      <c r="B49" s="11" t="inlineStr">
        <is>
          <t>Q3</t>
        </is>
      </c>
      <c r="C49" s="7" t="inlineStr">
        <is>
          <t>Motivation / Resilience</t>
        </is>
      </c>
      <c r="D49" s="7" t="inlineStr">
        <is>
          <t>A skill you invested significant time learning turns out to be less in-demand than you expected in the job market. What's your approach?</t>
        </is>
      </c>
      <c r="E49" s="7" t="inlineStr">
        <is>
          <t>A) Feel like the time invested was completely wasted.</t>
        </is>
      </c>
      <c r="F49" s="7" t="inlineStr">
        <is>
          <t>B) Blame yourself entirely for not predicting the market shift.</t>
        </is>
      </c>
      <c r="G49" s="7" t="inlineStr">
        <is>
          <t>C) Identify what's still transferable, and adapt your skill development toward where demand is heading.</t>
        </is>
      </c>
      <c r="H49" s="7" t="inlineStr">
        <is>
          <t>D) Keep investing in the same skill regardless of the changing market.</t>
        </is>
      </c>
      <c r="I49" s="12" t="n">
        <v>2</v>
      </c>
      <c r="J49" s="12" t="n">
        <v>2</v>
      </c>
      <c r="K49" s="12" t="n">
        <v>4</v>
      </c>
      <c r="L49" s="12" t="n">
        <v>3</v>
      </c>
      <c r="M49" s="10" t="n"/>
      <c r="N49">
        <f>IF(M49="",0,INDEX(I49:L49,1,MATCH(M49,{"A","B","C","D"},0)))</f>
        <v/>
      </c>
    </row>
    <row r="50" ht="40" customHeight="1">
      <c r="A50" s="11" t="inlineStr">
        <is>
          <t>Set 9</t>
        </is>
      </c>
      <c r="B50" s="11" t="inlineStr">
        <is>
          <t>Q4</t>
        </is>
      </c>
      <c r="C50" s="7" t="inlineStr">
        <is>
          <t>Empathy</t>
        </is>
      </c>
      <c r="D50" s="7" t="inlineStr">
        <is>
          <t>A colleague you compete with for similar opportunities gets a big win you were also hoping for. What's your reaction?</t>
        </is>
      </c>
      <c r="E50" s="7" t="inlineStr">
        <is>
          <t>A) Avoid acknowledging their win at all.</t>
        </is>
      </c>
      <c r="F50" s="7" t="inlineStr">
        <is>
          <t>B) Feel resentful and let it show subtly in how you treat them.</t>
        </is>
      </c>
      <c r="G50" s="7" t="inlineStr">
        <is>
          <t>C) Congratulate them but immediately bring up your own recent work.</t>
        </is>
      </c>
      <c r="H50" s="7" t="inlineStr">
        <is>
          <t>D) Feel the disappointment honestly, and still offer a genuine, specific congratulations.</t>
        </is>
      </c>
      <c r="I50" s="12" t="n">
        <v>3</v>
      </c>
      <c r="J50" s="12" t="n">
        <v>2</v>
      </c>
      <c r="K50" s="12" t="n">
        <v>3</v>
      </c>
      <c r="L50" s="12" t="n">
        <v>4</v>
      </c>
      <c r="M50" s="10" t="n"/>
      <c r="N50">
        <f>IF(M50="",0,INDEX(I50:L50,1,MATCH(M50,{"A","B","C","D"},0)))</f>
        <v/>
      </c>
    </row>
    <row r="51" ht="40" customHeight="1">
      <c r="A51" s="11" t="inlineStr">
        <is>
          <t>Set 9</t>
        </is>
      </c>
      <c r="B51" s="11" t="inlineStr">
        <is>
          <t>Q5</t>
        </is>
      </c>
      <c r="C51" s="7" t="inlineStr">
        <is>
          <t>Relationship Management</t>
        </is>
      </c>
      <c r="D51" s="7" t="inlineStr">
        <is>
          <t>You're stepping into a lead role over former peers who are now your direct reports. How do you navigate the transition?</t>
        </is>
      </c>
      <c r="E51" s="7" t="inlineStr">
        <is>
          <t>A) Acknowledge the shift openly with them, and set clear, fair expectations for the new working relationship.</t>
        </is>
      </c>
      <c r="F51" s="7" t="inlineStr">
        <is>
          <t>B) Distance yourself completely to establish authority.</t>
        </is>
      </c>
      <c r="G51" s="7" t="inlineStr">
        <is>
          <t>C) Keep the exact same casual dynamic as before to avoid seeming like you've changed.</t>
        </is>
      </c>
      <c r="H51" s="7" t="inlineStr">
        <is>
          <t>D) Avoid addressing the change and hope everyone adjusts naturally.</t>
        </is>
      </c>
      <c r="I51" s="12" t="n">
        <v>4</v>
      </c>
      <c r="J51" s="12" t="n">
        <v>2</v>
      </c>
      <c r="K51" s="12" t="n">
        <v>3</v>
      </c>
      <c r="L51" s="12" t="n">
        <v>2</v>
      </c>
      <c r="M51" s="10" t="n"/>
      <c r="N51">
        <f>IF(M51="",0,INDEX(I51:L51,1,MATCH(M51,{"A","B","C","D"},0)))</f>
        <v/>
      </c>
    </row>
    <row r="52" ht="40" customHeight="1">
      <c r="A52" s="11" t="inlineStr">
        <is>
          <t>Set 10</t>
        </is>
      </c>
      <c r="B52" s="11" t="inlineStr">
        <is>
          <t>Q1</t>
        </is>
      </c>
      <c r="C52" s="7" t="inlineStr">
        <is>
          <t>Self-Awareness</t>
        </is>
      </c>
      <c r="D52" s="7" t="inlineStr">
        <is>
          <t>You notice you're consistently the last to leave the office and feel a quiet pride about it, even when it's not necessary. What's the honest reflection?</t>
        </is>
      </c>
      <c r="E52" s="7" t="inlineStr">
        <is>
          <t>A) Assume everyone else is just less committed than you.</t>
        </is>
      </c>
      <c r="F52" s="7" t="inlineStr">
        <is>
          <t>B) Consider whether this is tied to proving your worth rather than actual necessity, and examine if it's sustainable.</t>
        </is>
      </c>
      <c r="G52" s="7" t="inlineStr">
        <is>
          <t>C) Keep doing it without examining the motivation behind it.</t>
        </is>
      </c>
      <c r="H52" s="7" t="inlineStr">
        <is>
          <t>D) Decide this just makes you more dedicated than your peers.</t>
        </is>
      </c>
      <c r="I52" s="12" t="n">
        <v>2</v>
      </c>
      <c r="J52" s="12" t="n">
        <v>4</v>
      </c>
      <c r="K52" s="12" t="n">
        <v>3</v>
      </c>
      <c r="L52" s="12" t="n">
        <v>2</v>
      </c>
      <c r="M52" s="10" t="n"/>
      <c r="N52">
        <f>IF(M52="",0,INDEX(I52:L52,1,MATCH(M52,{"A","B","C","D"},0)))</f>
        <v/>
      </c>
    </row>
    <row r="53" ht="40" customHeight="1">
      <c r="A53" s="11" t="inlineStr">
        <is>
          <t>Set 10</t>
        </is>
      </c>
      <c r="B53" s="11" t="inlineStr">
        <is>
          <t>Q2</t>
        </is>
      </c>
      <c r="C53" s="7" t="inlineStr">
        <is>
          <t>Self-Regulation</t>
        </is>
      </c>
      <c r="D53" s="7" t="inlineStr">
        <is>
          <t>A major system failure happens on your watch, causing visible business impact, and leadership wants immediate answers. What's your response?</t>
        </is>
      </c>
      <c r="E53" s="7" t="inlineStr">
        <is>
          <t>A) Freeze and delay responding until you have every detail perfectly figured out.</t>
        </is>
      </c>
      <c r="F53" s="7" t="inlineStr">
        <is>
          <t>B) Panic and start deflecting blame to protect yourself.</t>
        </is>
      </c>
      <c r="G53" s="7" t="inlineStr">
        <is>
          <t>C) Stay composed, focus on immediate mitigation, and provide a clear, honest account once you have the facts.</t>
        </is>
      </c>
      <c r="H53" s="7" t="inlineStr">
        <is>
          <t>D) Overexplain defensively without focusing on solving the actual problem first.</t>
        </is>
      </c>
      <c r="I53" s="12" t="n">
        <v>3</v>
      </c>
      <c r="J53" s="12" t="n">
        <v>2</v>
      </c>
      <c r="K53" s="12" t="n">
        <v>4</v>
      </c>
      <c r="L53" s="12" t="n">
        <v>3</v>
      </c>
      <c r="M53" s="10" t="n"/>
      <c r="N53">
        <f>IF(M53="",0,INDEX(I53:L53,1,MATCH(M53,{"A","B","C","D"},0)))</f>
        <v/>
      </c>
    </row>
    <row r="54" ht="40" customHeight="1">
      <c r="A54" s="11" t="inlineStr">
        <is>
          <t>Set 10</t>
        </is>
      </c>
      <c r="B54" s="11" t="inlineStr">
        <is>
          <t>Q3</t>
        </is>
      </c>
      <c r="C54" s="7" t="inlineStr">
        <is>
          <t>Motivation / Resilience</t>
        </is>
      </c>
      <c r="D54" s="7" t="inlineStr">
        <is>
          <t>You realise the career trajectory you're on no longer excites you the way it did when you started. What's your approach?</t>
        </is>
      </c>
      <c r="E54" s="7" t="inlineStr">
        <is>
          <t>A) Make an abrupt, unplanned career change without exploring the reasons first.</t>
        </is>
      </c>
      <c r="F54" s="7" t="inlineStr">
        <is>
          <t>B) Assume the dissatisfaction will pass on its own without any action.</t>
        </is>
      </c>
      <c r="G54" s="7" t="inlineStr">
        <is>
          <t>C) Push through anyway since you've already invested years into this path.</t>
        </is>
      </c>
      <c r="H54" s="7" t="inlineStr">
        <is>
          <t>D) Take the feeling seriously, explore what's changed, and start deliberately exploring adjacent options.</t>
        </is>
      </c>
      <c r="I54" s="12" t="n">
        <v>2</v>
      </c>
      <c r="J54" s="12" t="n">
        <v>2</v>
      </c>
      <c r="K54" s="12" t="n">
        <v>3</v>
      </c>
      <c r="L54" s="12" t="n">
        <v>4</v>
      </c>
      <c r="M54" s="10" t="n"/>
      <c r="N54">
        <f>IF(M54="",0,INDEX(I54:L54,1,MATCH(M54,{"A","B","C","D"},0)))</f>
        <v/>
      </c>
    </row>
    <row r="55" ht="40" customHeight="1">
      <c r="A55" s="11" t="inlineStr">
        <is>
          <t>Set 10</t>
        </is>
      </c>
      <c r="B55" s="11" t="inlineStr">
        <is>
          <t>Q4</t>
        </is>
      </c>
      <c r="C55" s="7" t="inlineStr">
        <is>
          <t>Empathy</t>
        </is>
      </c>
      <c r="D55" s="7" t="inlineStr">
        <is>
          <t>A direct report comes to you visibly stressed about a personal matter affecting their work. What's your approach as their manager?</t>
        </is>
      </c>
      <c r="E55" s="7" t="inlineStr">
        <is>
          <t>A) Listen with genuine care, offer flexibility where reasonable, and point them to support resources if appropriate.</t>
        </is>
      </c>
      <c r="F55" s="7" t="inlineStr">
        <is>
          <t>B) Offer sympathy but don't adjust any expectations or deadlines.</t>
        </is>
      </c>
      <c r="G55" s="7" t="inlineStr">
        <is>
          <t>C) Avoid the personal topic entirely and just ask when the work will be done.</t>
        </is>
      </c>
      <c r="H55" s="7" t="inlineStr">
        <is>
          <t>D) Keep the conversation strictly work-focused to maintain professional boundaries.</t>
        </is>
      </c>
      <c r="I55" s="12" t="n">
        <v>4</v>
      </c>
      <c r="J55" s="12" t="n">
        <v>3</v>
      </c>
      <c r="K55" s="12" t="n">
        <v>3</v>
      </c>
      <c r="L55" s="12" t="n">
        <v>2</v>
      </c>
      <c r="M55" s="10" t="n"/>
      <c r="N55">
        <f>IF(M55="",0,INDEX(I55:L55,1,MATCH(M55,{"A","B","C","D"},0)))</f>
        <v/>
      </c>
    </row>
    <row r="56" ht="40" customHeight="1">
      <c r="A56" s="11" t="inlineStr">
        <is>
          <t>Set 10</t>
        </is>
      </c>
      <c r="B56" s="11" t="inlineStr">
        <is>
          <t>Q5</t>
        </is>
      </c>
      <c r="C56" s="7" t="inlineStr">
        <is>
          <t>Relationship Management</t>
        </is>
      </c>
      <c r="D56" s="7" t="inlineStr">
        <is>
          <t>You need to deliver difficult news (like a project cancellation) to a team that's emotionally invested in the work. How do you approach it?</t>
        </is>
      </c>
      <c r="E56" s="7" t="inlineStr">
        <is>
          <t>A) Have someone else deliver the news on your behalf.</t>
        </is>
      </c>
      <c r="F56" s="7" t="inlineStr">
        <is>
          <t>B) Communicate it directly and honestly in person, acknowledge the impact, and give space for reactions and questions.</t>
        </is>
      </c>
      <c r="G56" s="7" t="inlineStr">
        <is>
          <t>C) Deliver the news bluntly via a group email to get it over with.</t>
        </is>
      </c>
      <c r="H56" s="7" t="inlineStr">
        <is>
          <t>D) Delay telling them for as long as possible to avoid the difficult conversation.</t>
        </is>
      </c>
      <c r="I56" s="12" t="n">
        <v>3</v>
      </c>
      <c r="J56" s="12" t="n">
        <v>4</v>
      </c>
      <c r="K56" s="12" t="n">
        <v>2</v>
      </c>
      <c r="L56" s="12" t="n">
        <v>2</v>
      </c>
      <c r="M56" s="10" t="n"/>
      <c r="N56">
        <f>IF(M56="",0,INDEX(I56:L56,1,MATCH(M56,{"A","B","C","D"},0)))</f>
        <v/>
      </c>
    </row>
    <row r="58" ht="20" customHeight="1">
      <c r="A58" s="13" t="inlineStr">
        <is>
          <t>YOUR EI PROFILE FOR THE SELECTED SET</t>
        </is>
      </c>
    </row>
    <row r="59">
      <c r="A59" s="14" t="inlineStr">
        <is>
          <t>EI Domain</t>
        </is>
      </c>
      <c r="B59" s="14" t="inlineStr">
        <is>
          <t>Your Response Quality</t>
        </is>
      </c>
      <c r="C59" s="14" t="inlineStr">
        <is>
          <t>Score</t>
        </is>
      </c>
    </row>
    <row r="60">
      <c r="A60" s="5" t="inlineStr">
        <is>
          <t>Self-Awareness</t>
        </is>
      </c>
      <c r="B60" s="15">
        <f>IF($C$60=0,"Not answered yet",IF($C$60=4,"High",IF($C$60=3,"Moderate",IF($C$60=2,"Low","Negative"))))</f>
        <v/>
      </c>
      <c r="C60" s="15">
        <f>SUMPRODUCT(($A$7:$A$56=$B$4)*($C$7:$C$56="Self-Awareness")*$N$7:$N$56)</f>
        <v/>
      </c>
    </row>
    <row r="61">
      <c r="A61" s="5" t="inlineStr">
        <is>
          <t>Self-Regulation</t>
        </is>
      </c>
      <c r="B61" s="15">
        <f>IF($C$61=0,"Not answered yet",IF($C$61=4,"High",IF($C$61=3,"Moderate",IF($C$61=2,"Low","Negative"))))</f>
        <v/>
      </c>
      <c r="C61" s="15">
        <f>SUMPRODUCT(($A$7:$A$56=$B$4)*($C$7:$C$56="Self-Regulation")*$N$7:$N$56)</f>
        <v/>
      </c>
    </row>
    <row r="62">
      <c r="A62" s="5" t="inlineStr">
        <is>
          <t>Motivation / Resilience</t>
        </is>
      </c>
      <c r="B62" s="15">
        <f>IF($C$62=0,"Not answered yet",IF($C$62=4,"High",IF($C$62=3,"Moderate",IF($C$62=2,"Low","Negative"))))</f>
        <v/>
      </c>
      <c r="C62" s="15">
        <f>SUMPRODUCT(($A$7:$A$56=$B$4)*($C$7:$C$56="Motivation / Resilience")*$N$7:$N$56)</f>
        <v/>
      </c>
    </row>
    <row r="63">
      <c r="A63" s="5" t="inlineStr">
        <is>
          <t>Empathy</t>
        </is>
      </c>
      <c r="B63" s="15">
        <f>IF($C$63=0,"Not answered yet",IF($C$63=4,"High",IF($C$63=3,"Moderate",IF($C$63=2,"Low","Negative"))))</f>
        <v/>
      </c>
      <c r="C63" s="15">
        <f>SUMPRODUCT(($A$7:$A$56=$B$4)*($C$7:$C$56="Empathy")*$N$7:$N$56)</f>
        <v/>
      </c>
    </row>
    <row r="64">
      <c r="A64" s="5" t="inlineStr">
        <is>
          <t>Relationship Management</t>
        </is>
      </c>
      <c r="B64" s="15">
        <f>IF($C$64=0,"Not answered yet",IF($C$64=4,"High",IF($C$64=3,"Moderate",IF($C$64=2,"Low","Negative"))))</f>
        <v/>
      </c>
      <c r="C64" s="15">
        <f>SUMPRODUCT(($A$7:$A$56=$B$4)*($C$7:$C$56="Relationship Management")*$N$7:$N$56)</f>
        <v/>
      </c>
    </row>
    <row r="66" ht="20" customHeight="1">
      <c r="A66" s="16" t="inlineStr">
        <is>
          <t>QUICK SUMMARY</t>
        </is>
      </c>
    </row>
    <row r="67">
      <c r="A67" s="9" t="inlineStr">
        <is>
          <t>Strongest domain (this set):</t>
        </is>
      </c>
      <c r="B67" s="17">
        <f>IFERROR(INDEX($A$60:$A$64,MATCH(MAX($C$60:$C$64),$C$60:$C$64,0)),"Answer all 5 first")</f>
        <v/>
      </c>
    </row>
    <row r="68">
      <c r="A68" s="9" t="inlineStr">
        <is>
          <t>Growth area (this set):</t>
        </is>
      </c>
      <c r="B68" s="18">
        <f>IFERROR(INDEX($A$60:$A$64,MATCH(MIN($C$60:$C$64),$C$60:$C$64,0)),"Answer all 5 first")</f>
        <v/>
      </c>
    </row>
    <row r="70">
      <c r="A70" s="19" t="inlineStr">
        <is>
          <t>Note: this reflects ONE set (5 questions = 1 per domain), so treat it as a first read, not a verdict. Try another set on a different day and see what stays consistent.</t>
        </is>
      </c>
    </row>
  </sheetData>
  <mergeCells count="8">
    <mergeCell ref="B68:C68"/>
    <mergeCell ref="A66:C66"/>
    <mergeCell ref="A1:M1"/>
    <mergeCell ref="B67:C67"/>
    <mergeCell ref="A70:F70"/>
    <mergeCell ref="C4:H4"/>
    <mergeCell ref="A58:E58"/>
    <mergeCell ref="A2:M2"/>
  </mergeCells>
  <dataValidations count="2">
    <dataValidation sqref="B4" showDropDown="0" showInputMessage="0" showErrorMessage="1" allowBlank="0" type="list">
      <formula1>"Set 1,Set 2,Set 3,Set 4,Set 5,Set 6,Set 7,Set 8,Set 9,Set 10"</formula1>
    </dataValidation>
    <dataValidation sqref="M7 M8 M9 M10 M11 M12 M13 M14 M15 M16 M17 M18 M19 M20 M21 M22 M23 M24 M25 M26 M27 M28 M29 M30 M31 M32 M33 M34 M35 M36 M37 M38 M39 M40 M41 M42 M43 M44 M45 M46 M47 M48 M49 M50 M51 M52 M53 M54 M55 M56" showDropDown="0" showInputMessage="0" showErrorMessage="1" allowBlank="1" errorTitle="Invalid entry" error="Please enter A, B, C, or D." type="list">
      <formula1>"A,B,C,D"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6" customWidth="1" min="3" max="3"/>
    <col width="34" customWidth="1" min="4" max="4"/>
    <col width="30" customWidth="1" min="5" max="5"/>
    <col width="30" customWidth="1" min="6" max="6"/>
    <col width="30" customWidth="1" min="7" max="7"/>
    <col width="30" customWidth="1" min="8" max="8"/>
    <col hidden="1" width="13" customWidth="1" min="9" max="9"/>
    <col hidden="1" width="13" customWidth="1" min="10" max="10"/>
    <col hidden="1" width="13" customWidth="1" min="11" max="11"/>
    <col hidden="1" width="13" customWidth="1" min="12" max="12"/>
    <col width="15" customWidth="1" min="13" max="13"/>
    <col hidden="1" width="13" customWidth="1" min="14" max="14"/>
  </cols>
  <sheetData>
    <row r="1" ht="26" customHeight="1">
      <c r="A1" s="1" t="inlineStr">
        <is>
          <t>Professionals (Ages 25-55) — Emotional Intelligence Assessment (10 Sets x 5 Questions)</t>
        </is>
      </c>
    </row>
    <row r="2">
      <c r="A2" s="8" t="inlineStr">
        <is>
          <t>Framework basis: EQ-i 2.0 (Bar-On Model) - Workplace &amp; Leadership EI</t>
        </is>
      </c>
    </row>
    <row r="4">
      <c r="A4" s="9" t="inlineStr">
        <is>
          <t>Which set are you taking?</t>
        </is>
      </c>
      <c r="B4" s="10" t="inlineStr">
        <is>
          <t>Set 1</t>
        </is>
      </c>
      <c r="C4" s="8" t="inlineStr">
        <is>
          <t>(pick one set, then answer only that set's 5 rows below with A/B/C/D)</t>
        </is>
      </c>
    </row>
    <row r="6">
      <c r="A6" s="4" t="inlineStr">
        <is>
          <t>Set</t>
        </is>
      </c>
      <c r="B6" s="4" t="inlineStr">
        <is>
          <t>Q#</t>
        </is>
      </c>
      <c r="C6" s="4" t="inlineStr">
        <is>
          <t>Domain</t>
        </is>
      </c>
      <c r="D6" s="4" t="inlineStr">
        <is>
          <t>Scenario</t>
        </is>
      </c>
      <c r="E6" s="4" t="inlineStr">
        <is>
          <t>Option A</t>
        </is>
      </c>
      <c r="F6" s="4" t="inlineStr">
        <is>
          <t>Option B</t>
        </is>
      </c>
      <c r="G6" s="4" t="inlineStr">
        <is>
          <t>Option C</t>
        </is>
      </c>
      <c r="H6" s="4" t="inlineStr">
        <is>
          <t>Option D</t>
        </is>
      </c>
      <c r="I6" s="4" t="inlineStr">
        <is>
          <t>qA</t>
        </is>
      </c>
      <c r="J6" s="4" t="inlineStr">
        <is>
          <t>qB</t>
        </is>
      </c>
      <c r="K6" s="4" t="inlineStr">
        <is>
          <t>qC</t>
        </is>
      </c>
      <c r="L6" s="4" t="inlineStr">
        <is>
          <t>qD</t>
        </is>
      </c>
      <c r="M6" s="4" t="inlineStr">
        <is>
          <t>Your Answer (A-D)</t>
        </is>
      </c>
      <c r="N6" t="inlineStr">
        <is>
          <t>score</t>
        </is>
      </c>
    </row>
    <row r="7" ht="40" customHeight="1">
      <c r="A7" s="11" t="inlineStr">
        <is>
          <t>Set 1</t>
        </is>
      </c>
      <c r="B7" s="11" t="inlineStr">
        <is>
          <t>Q1</t>
        </is>
      </c>
      <c r="C7" s="7" t="inlineStr">
        <is>
          <t>Self-Awareness</t>
        </is>
      </c>
      <c r="D7" s="7" t="inlineStr">
        <is>
          <t>You notice you've become more short-tempered in leadership meetings over the past month, even about minor issues. What's your read on this?</t>
        </is>
      </c>
      <c r="E7" s="7" t="inlineStr">
        <is>
          <t>A) Recognise the pattern, and examine what's actually driving it (workload, an unresolved conflict, burnout).</t>
        </is>
      </c>
      <c r="F7" s="7" t="inlineStr">
        <is>
          <t>B) Decide the meetings themselves have just gotten worse.</t>
        </is>
      </c>
      <c r="G7" s="7" t="inlineStr">
        <is>
          <t>C) Feel bad about it privately but don't investigate further.</t>
        </is>
      </c>
      <c r="H7" s="7" t="inlineStr">
        <is>
          <t>D) Ignore it since senior roles are inherently stressful.</t>
        </is>
      </c>
      <c r="I7" s="12" t="n">
        <v>4</v>
      </c>
      <c r="J7" s="12" t="n">
        <v>2</v>
      </c>
      <c r="K7" s="12" t="n">
        <v>3</v>
      </c>
      <c r="L7" s="12" t="n">
        <v>2</v>
      </c>
      <c r="M7" s="10" t="n"/>
      <c r="N7">
        <f>IF(M7="",0,INDEX(I7:L7,1,MATCH(M7,{"A","B","C","D"},0)))</f>
        <v/>
      </c>
    </row>
    <row r="8" ht="40" customHeight="1">
      <c r="A8" s="11" t="inlineStr">
        <is>
          <t>Set 1</t>
        </is>
      </c>
      <c r="B8" s="11" t="inlineStr">
        <is>
          <t>Q2</t>
        </is>
      </c>
      <c r="C8" s="7" t="inlineStr">
        <is>
          <t>Self-Regulation</t>
        </is>
      </c>
      <c r="D8" s="7" t="inlineStr">
        <is>
          <t>A board member publicly questions your strategy in a way that feels personally pointed. What's your response in the moment?</t>
        </is>
      </c>
      <c r="E8" s="7" t="inlineStr">
        <is>
          <t>A) Defend yourself forcefully to protect your credibility in front of the room.</t>
        </is>
      </c>
      <c r="F8" s="7" t="inlineStr">
        <is>
          <t>B) Respond to the substance calmly, and address anything personal about the exchange privately afterward.</t>
        </is>
      </c>
      <c r="G8" s="7" t="inlineStr">
        <is>
          <t>C) Go quiet and let someone else on your team respond instead.</t>
        </is>
      </c>
      <c r="H8" s="7" t="inlineStr">
        <is>
          <t>D) Agree outwardly but feel deeply undermined without addressing it at all.</t>
        </is>
      </c>
      <c r="I8" s="12" t="n">
        <v>2</v>
      </c>
      <c r="J8" s="12" t="n">
        <v>4</v>
      </c>
      <c r="K8" s="12" t="n">
        <v>3</v>
      </c>
      <c r="L8" s="12" t="n">
        <v>3</v>
      </c>
      <c r="M8" s="10" t="n"/>
      <c r="N8">
        <f>IF(M8="",0,INDEX(I8:L8,1,MATCH(M8,{"A","B","C","D"},0)))</f>
        <v/>
      </c>
    </row>
    <row r="9" ht="40" customHeight="1">
      <c r="A9" s="11" t="inlineStr">
        <is>
          <t>Set 1</t>
        </is>
      </c>
      <c r="B9" s="11" t="inlineStr">
        <is>
          <t>Q3</t>
        </is>
      </c>
      <c r="C9" s="7" t="inlineStr">
        <is>
          <t>Motivation / Resilience</t>
        </is>
      </c>
      <c r="D9" s="7" t="inlineStr">
        <is>
          <t>A major initiative you championed for two years gets cancelled by new leadership after a reorg. What's your approach?</t>
        </is>
      </c>
      <c r="E9" s="7" t="inlineStr">
        <is>
          <t>A) Decide the years of work were pointless and disengage from future big bets.</t>
        </is>
      </c>
      <c r="F9" s="7" t="inlineStr">
        <is>
          <t>B) Push to keep parts of it alive informally against the new direction.</t>
        </is>
      </c>
      <c r="G9" s="7" t="inlineStr">
        <is>
          <t>C) Extract the transferable lessons and relationships, and channel that experience into your next initiative.</t>
        </is>
      </c>
      <c r="H9" s="7" t="inlineStr">
        <is>
          <t>D) Blame the new leadership entirely without examining the broader context.</t>
        </is>
      </c>
      <c r="I9" s="12" t="n">
        <v>2</v>
      </c>
      <c r="J9" s="12" t="n">
        <v>3</v>
      </c>
      <c r="K9" s="12" t="n">
        <v>4</v>
      </c>
      <c r="L9" s="12" t="n">
        <v>2</v>
      </c>
      <c r="M9" s="10" t="n"/>
      <c r="N9">
        <f>IF(M9="",0,INDEX(I9:L9,1,MATCH(M9,{"A","B","C","D"},0)))</f>
        <v/>
      </c>
    </row>
    <row r="10" ht="40" customHeight="1">
      <c r="A10" s="11" t="inlineStr">
        <is>
          <t>Set 1</t>
        </is>
      </c>
      <c r="B10" s="11" t="inlineStr">
        <is>
          <t>Q4</t>
        </is>
      </c>
      <c r="C10" s="7" t="inlineStr">
        <is>
          <t>Empathy</t>
        </is>
      </c>
      <c r="D10" s="7" t="inlineStr">
        <is>
          <t>A high-performing team member on your team has become quieter and less engaged in meetings recently. What's your approach?</t>
        </is>
      </c>
      <c r="E10" s="7" t="inlineStr">
        <is>
          <t>A) Assume it's a performance dip and address it purely as a productivity issue.</t>
        </is>
      </c>
      <c r="F10" s="7" t="inlineStr">
        <is>
          <t>B) Wait to see if it resolves on its own before saying anything.</t>
        </is>
      </c>
      <c r="G10" s="7" t="inlineStr">
        <is>
          <t>C) Mention your observation to HR before speaking with them directly.</t>
        </is>
      </c>
      <c r="H10" s="7" t="inlineStr">
        <is>
          <t>D) Have a genuine check-in conversation to understand what's changed, before assuming anything.</t>
        </is>
      </c>
      <c r="I10" s="12" t="n">
        <v>2</v>
      </c>
      <c r="J10" s="12" t="n">
        <v>3</v>
      </c>
      <c r="K10" s="12" t="n">
        <v>3</v>
      </c>
      <c r="L10" s="12" t="n">
        <v>4</v>
      </c>
      <c r="M10" s="10" t="n"/>
      <c r="N10">
        <f>IF(M10="",0,INDEX(I10:L10,1,MATCH(M10,{"A","B","C","D"},0)))</f>
        <v/>
      </c>
    </row>
    <row r="11" ht="40" customHeight="1">
      <c r="A11" s="11" t="inlineStr">
        <is>
          <t>Set 1</t>
        </is>
      </c>
      <c r="B11" s="11" t="inlineStr">
        <is>
          <t>Q5</t>
        </is>
      </c>
      <c r="C11" s="7" t="inlineStr">
        <is>
          <t>Relationship Management</t>
        </is>
      </c>
      <c r="D11" s="7" t="inlineStr">
        <is>
          <t>You need to deliver a difficult message to a peer executive about a decision that will negatively affect their team. How do you approach it?</t>
        </is>
      </c>
      <c r="E11" s="7" t="inlineStr">
        <is>
          <t>A) Have a direct, respectful conversation in advance, explaining the reasoning and listening to their concerns.</t>
        </is>
      </c>
      <c r="F11" s="7" t="inlineStr">
        <is>
          <t>B) Send the decision via email to avoid an uncomfortable live conversation.</t>
        </is>
      </c>
      <c r="G11" s="7" t="inlineStr">
        <is>
          <t>C) Soften the message so much that the actual impact isn't clear.</t>
        </is>
      </c>
      <c r="H11" s="7" t="inlineStr">
        <is>
          <t>D) Let them find out through the broader announcement rather than telling them individually first.</t>
        </is>
      </c>
      <c r="I11" s="12" t="n">
        <v>4</v>
      </c>
      <c r="J11" s="12" t="n">
        <v>2</v>
      </c>
      <c r="K11" s="12" t="n">
        <v>3</v>
      </c>
      <c r="L11" s="12" t="n">
        <v>2</v>
      </c>
      <c r="M11" s="10" t="n"/>
      <c r="N11">
        <f>IF(M11="",0,INDEX(I11:L11,1,MATCH(M11,{"A","B","C","D"},0)))</f>
        <v/>
      </c>
    </row>
    <row r="12" ht="40" customHeight="1">
      <c r="A12" s="11" t="inlineStr">
        <is>
          <t>Set 2</t>
        </is>
      </c>
      <c r="B12" s="11" t="inlineStr">
        <is>
          <t>Q1</t>
        </is>
      </c>
      <c r="C12" s="7" t="inlineStr">
        <is>
          <t>Self-Awareness</t>
        </is>
      </c>
      <c r="D12" s="7" t="inlineStr">
        <is>
          <t>You realise you feel a specific unease whenever a younger, newer hire is praised in front of you. What's the honest reflection?</t>
        </is>
      </c>
      <c r="E12" s="7" t="inlineStr">
        <is>
          <t>A) Decide the praise is simply unwarranted and dismiss it.</t>
        </is>
      </c>
      <c r="F12" s="7" t="inlineStr">
        <is>
          <t>B) Recognise a flicker of insecurity or threat, and examine it honestly rather than letting it affect how you treat them.</t>
        </is>
      </c>
      <c r="G12" s="7" t="inlineStr">
        <is>
          <t>C) Start being subtly more critical of that person's work.</t>
        </is>
      </c>
      <c r="H12" s="7" t="inlineStr">
        <is>
          <t>D) Ignore the feeling since acknowledging it feels uncomfortable.</t>
        </is>
      </c>
      <c r="I12" s="12" t="n">
        <v>2</v>
      </c>
      <c r="J12" s="12" t="n">
        <v>4</v>
      </c>
      <c r="K12" s="12" t="n">
        <v>2</v>
      </c>
      <c r="L12" s="12" t="n">
        <v>3</v>
      </c>
      <c r="M12" s="10" t="n"/>
      <c r="N12">
        <f>IF(M12="",0,INDEX(I12:L12,1,MATCH(M12,{"A","B","C","D"},0)))</f>
        <v/>
      </c>
    </row>
    <row r="13" ht="40" customHeight="1">
      <c r="A13" s="11" t="inlineStr">
        <is>
          <t>Set 2</t>
        </is>
      </c>
      <c r="B13" s="11" t="inlineStr">
        <is>
          <t>Q2</t>
        </is>
      </c>
      <c r="C13" s="7" t="inlineStr">
        <is>
          <t>Self-Regulation</t>
        </is>
      </c>
      <c r="D13" s="7" t="inlineStr">
        <is>
          <t>During a high-stakes negotiation, the other party makes an offer far below what you consider reasonable, almost insultingly so. What's your reaction?</t>
        </is>
      </c>
      <c r="E13" s="7" t="inlineStr">
        <is>
          <t>A) Accept a worse deal than necessary just to avoid the discomfort of pushing back.</t>
        </is>
      </c>
      <c r="F13" s="7" t="inlineStr">
        <is>
          <t>B) Get personally offended and let it colour the rest of the negotiation.</t>
        </is>
      </c>
      <c r="G13" s="7" t="inlineStr">
        <is>
          <t>C) Stay composed, counter with clear reasoning, and keep the negotiation constructive.</t>
        </is>
      </c>
      <c r="H13" s="7" t="inlineStr">
        <is>
          <t>D) Show visible frustration or walk away from the table abruptly.</t>
        </is>
      </c>
      <c r="I13" s="12" t="n">
        <v>3</v>
      </c>
      <c r="J13" s="12" t="n">
        <v>2</v>
      </c>
      <c r="K13" s="12" t="n">
        <v>4</v>
      </c>
      <c r="L13" s="12" t="n">
        <v>2</v>
      </c>
      <c r="M13" s="10" t="n"/>
      <c r="N13">
        <f>IF(M13="",0,INDEX(I13:L13,1,MATCH(M13,{"A","B","C","D"},0)))</f>
        <v/>
      </c>
    </row>
    <row r="14" ht="40" customHeight="1">
      <c r="A14" s="11" t="inlineStr">
        <is>
          <t>Set 2</t>
        </is>
      </c>
      <c r="B14" s="11" t="inlineStr">
        <is>
          <t>Q3</t>
        </is>
      </c>
      <c r="C14" s="7" t="inlineStr">
        <is>
          <t>Motivation / Resilience</t>
        </is>
      </c>
      <c r="D14" s="7" t="inlineStr">
        <is>
          <t>After 15+ years in your field, you're passed over for a role you were the internal frontrunner for. What's your approach?</t>
        </is>
      </c>
      <c r="E14" s="7" t="inlineStr">
        <is>
          <t>A) Say nothing and continue exactly as before, hoping the next opportunity works out.</t>
        </is>
      </c>
      <c r="F14" s="7" t="inlineStr">
        <is>
          <t>B) Decide your career has plateaued and there's no more room to grow here.</t>
        </is>
      </c>
      <c r="G14" s="7" t="inlineStr">
        <is>
          <t>C) Assume it was political and disengage from future opportunities.</t>
        </is>
      </c>
      <c r="H14" s="7" t="inlineStr">
        <is>
          <t>D) Seek honest feedback on the decision, and use it to decide whether to grow here or explore elsewhere deliberately.</t>
        </is>
      </c>
      <c r="I14" s="12" t="n">
        <v>3</v>
      </c>
      <c r="J14" s="12" t="n">
        <v>2</v>
      </c>
      <c r="K14" s="12" t="n">
        <v>2</v>
      </c>
      <c r="L14" s="12" t="n">
        <v>4</v>
      </c>
      <c r="M14" s="10" t="n"/>
      <c r="N14">
        <f>IF(M14="",0,INDEX(I14:L14,1,MATCH(M14,{"A","B","C","D"},0)))</f>
        <v/>
      </c>
    </row>
    <row r="15" ht="40" customHeight="1">
      <c r="A15" s="11" t="inlineStr">
        <is>
          <t>Set 2</t>
        </is>
      </c>
      <c r="B15" s="11" t="inlineStr">
        <is>
          <t>Q4</t>
        </is>
      </c>
      <c r="C15" s="7" t="inlineStr">
        <is>
          <t>Empathy</t>
        </is>
      </c>
      <c r="D15" s="7" t="inlineStr">
        <is>
          <t>A team member going through a difficult personal season (illness, caregiving) is struggling to meet expectations. What's your approach as their leader?</t>
        </is>
      </c>
      <c r="E15" s="7" t="inlineStr">
        <is>
          <t>A) Have an honest conversation about temporary adjustments, balancing compassion with the team's needs.</t>
        </is>
      </c>
      <c r="F15" s="7" t="inlineStr">
        <is>
          <t>B) Avoid addressing performance at all out of discomfort with their situation.</t>
        </is>
      </c>
      <c r="G15" s="7" t="inlineStr">
        <is>
          <t>C) Hold them to the exact same standards as everyone else, regardless of context.</t>
        </is>
      </c>
      <c r="H15" s="7" t="inlineStr">
        <is>
          <t>D) Quietly lower expectations without discussing it with them directly.</t>
        </is>
      </c>
      <c r="I15" s="12" t="n">
        <v>4</v>
      </c>
      <c r="J15" s="12" t="n">
        <v>3</v>
      </c>
      <c r="K15" s="12" t="n">
        <v>2</v>
      </c>
      <c r="L15" s="12" t="n">
        <v>3</v>
      </c>
      <c r="M15" s="10" t="n"/>
      <c r="N15">
        <f>IF(M15="",0,INDEX(I15:L15,1,MATCH(M15,{"A","B","C","D"},0)))</f>
        <v/>
      </c>
    </row>
    <row r="16" ht="40" customHeight="1">
      <c r="A16" s="11" t="inlineStr">
        <is>
          <t>Set 2</t>
        </is>
      </c>
      <c r="B16" s="11" t="inlineStr">
        <is>
          <t>Q5</t>
        </is>
      </c>
      <c r="C16" s="7" t="inlineStr">
        <is>
          <t>Relationship Management</t>
        </is>
      </c>
      <c r="D16" s="7" t="inlineStr">
        <is>
          <t>Two senior leaders on your team are in an ongoing turf conflict that's affecting the broader organisation. How do you handle it?</t>
        </is>
      </c>
      <c r="E16" s="7" t="inlineStr">
        <is>
          <t>A) Quietly favour whichever one aligns more with your own views.</t>
        </is>
      </c>
      <c r="F16" s="7" t="inlineStr">
        <is>
          <t>B) Bring both into a structured conversation focused on shared goals, and set clear boundaries where needed.</t>
        </is>
      </c>
      <c r="G16" s="7" t="inlineStr">
        <is>
          <t>C) Escalate it to your own leadership without attempting to address it directly first.</t>
        </is>
      </c>
      <c r="H16" s="7" t="inlineStr">
        <is>
          <t>D) Let them resolve it themselves since they're both experienced enough to handle it.</t>
        </is>
      </c>
      <c r="I16" s="12" t="n">
        <v>2</v>
      </c>
      <c r="J16" s="12" t="n">
        <v>4</v>
      </c>
      <c r="K16" s="12" t="n">
        <v>2</v>
      </c>
      <c r="L16" s="12" t="n">
        <v>3</v>
      </c>
      <c r="M16" s="10" t="n"/>
      <c r="N16">
        <f>IF(M16="",0,INDEX(I16:L16,1,MATCH(M16,{"A","B","C","D"},0)))</f>
        <v/>
      </c>
    </row>
    <row r="17" ht="40" customHeight="1">
      <c r="A17" s="11" t="inlineStr">
        <is>
          <t>Set 3</t>
        </is>
      </c>
      <c r="B17" s="11" t="inlineStr">
        <is>
          <t>Q1</t>
        </is>
      </c>
      <c r="C17" s="7" t="inlineStr">
        <is>
          <t>Self-Awareness</t>
        </is>
      </c>
      <c r="D17" s="7" t="inlineStr">
        <is>
          <t>You notice you've started making more decisions from a place of fear (avoiding blame) rather than conviction lately. What's the underlying pattern?</t>
        </is>
      </c>
      <c r="E17" s="7" t="inlineStr">
        <is>
          <t>A) Decide this is just what experienced leadership looks like - being cautious.</t>
        </is>
      </c>
      <c r="F17" s="7" t="inlineStr">
        <is>
          <t>B) Push through decisions anyway without examining the motivation.</t>
        </is>
      </c>
      <c r="G17" s="7" t="inlineStr">
        <is>
          <t>C) Recognise the fear-driven pattern, and consider what's making you feel less secure than usual.</t>
        </is>
      </c>
      <c r="H17" s="7" t="inlineStr">
        <is>
          <t>D) Blame the organisational culture entirely for making you this way.</t>
        </is>
      </c>
      <c r="I17" s="12" t="n">
        <v>3</v>
      </c>
      <c r="J17" s="12" t="n">
        <v>2</v>
      </c>
      <c r="K17" s="12" t="n">
        <v>4</v>
      </c>
      <c r="L17" s="12" t="n">
        <v>2</v>
      </c>
      <c r="M17" s="10" t="n"/>
      <c r="N17">
        <f>IF(M17="",0,INDEX(I17:L17,1,MATCH(M17,{"A","B","C","D"},0)))</f>
        <v/>
      </c>
    </row>
    <row r="18" ht="40" customHeight="1">
      <c r="A18" s="11" t="inlineStr">
        <is>
          <t>Set 3</t>
        </is>
      </c>
      <c r="B18" s="11" t="inlineStr">
        <is>
          <t>Q2</t>
        </is>
      </c>
      <c r="C18" s="7" t="inlineStr">
        <is>
          <t>Self-Regulation</t>
        </is>
      </c>
      <c r="D18" s="7" t="inlineStr">
        <is>
          <t>A direct report challenges your decision openly and somewhat combatively in front of the wider team. What's your response?</t>
        </is>
      </c>
      <c r="E18" s="7" t="inlineStr">
        <is>
          <t>A) Shut the challenge down firmly to maintain authority in front of the team.</t>
        </is>
      </c>
      <c r="F18" s="7" t="inlineStr">
        <is>
          <t>B) Address it publicly by explaining, at length, why they're wrong.</t>
        </is>
      </c>
      <c r="G18" s="7" t="inlineStr">
        <is>
          <t>C) Avoid addressing it directly and change the subject.</t>
        </is>
      </c>
      <c r="H18" s="7" t="inlineStr">
        <is>
          <t>D) Acknowledge the challenge calmly in the moment, and follow up privately to understand and address it fully.</t>
        </is>
      </c>
      <c r="I18" s="12" t="n">
        <v>2</v>
      </c>
      <c r="J18" s="12" t="n">
        <v>3</v>
      </c>
      <c r="K18" s="12" t="n">
        <v>3</v>
      </c>
      <c r="L18" s="12" t="n">
        <v>4</v>
      </c>
      <c r="M18" s="10" t="n"/>
      <c r="N18">
        <f>IF(M18="",0,INDEX(I18:L18,1,MATCH(M18,{"A","B","C","D"},0)))</f>
        <v/>
      </c>
    </row>
    <row r="19" ht="40" customHeight="1">
      <c r="A19" s="11" t="inlineStr">
        <is>
          <t>Set 3</t>
        </is>
      </c>
      <c r="B19" s="11" t="inlineStr">
        <is>
          <t>Q3</t>
        </is>
      </c>
      <c r="C19" s="7" t="inlineStr">
        <is>
          <t>Motivation / Resilience</t>
        </is>
      </c>
      <c r="D19" s="7" t="inlineStr">
        <is>
          <t>A business you built over several years is struggling badly due to a market shift outside your control. What's your approach?</t>
        </is>
      </c>
      <c r="E19" s="7" t="inlineStr">
        <is>
          <t>A) Separate what's controllable from what isn't, and make clear-eyed decisions about the path forward.</t>
        </is>
      </c>
      <c r="F19" s="7" t="inlineStr">
        <is>
          <t>B) Blame the market entirely without examining what could still be adjusted.</t>
        </is>
      </c>
      <c r="G19" s="7" t="inlineStr">
        <is>
          <t>C) Take on the full weight of failure personally, even for factors outside your control.</t>
        </is>
      </c>
      <c r="H19" s="7" t="inlineStr">
        <is>
          <t>D) Refuse to adapt the business model despite the changed market.</t>
        </is>
      </c>
      <c r="I19" s="12" t="n">
        <v>4</v>
      </c>
      <c r="J19" s="12" t="n">
        <v>2</v>
      </c>
      <c r="K19" s="12" t="n">
        <v>2</v>
      </c>
      <c r="L19" s="12" t="n">
        <v>3</v>
      </c>
      <c r="M19" s="10" t="n"/>
      <c r="N19">
        <f>IF(M19="",0,INDEX(I19:L19,1,MATCH(M19,{"A","B","C","D"},0)))</f>
        <v/>
      </c>
    </row>
    <row r="20" ht="40" customHeight="1">
      <c r="A20" s="11" t="inlineStr">
        <is>
          <t>Set 3</t>
        </is>
      </c>
      <c r="B20" s="11" t="inlineStr">
        <is>
          <t>Q4</t>
        </is>
      </c>
      <c r="C20" s="7" t="inlineStr">
        <is>
          <t>Empathy</t>
        </is>
      </c>
      <c r="D20" s="7" t="inlineStr">
        <is>
          <t>A junior employee you're mentoring is clearly afraid to disagree with you, even when they likely have valid concerns. What's your approach?</t>
        </is>
      </c>
      <c r="E20" s="7" t="inlineStr">
        <is>
          <t>A) Ask them directly why they never disagree with you, putting them on the spot.</t>
        </is>
      </c>
      <c r="F20" s="7" t="inlineStr">
        <is>
          <t>B) Actively create space for dissent, and explicitly invite their honest perspective, especially when you sense hesitation.</t>
        </is>
      </c>
      <c r="G20" s="7" t="inlineStr">
        <is>
          <t>C) Assume they'll speak up eventually if it really matters.</t>
        </is>
      </c>
      <c r="H20" s="7" t="inlineStr">
        <is>
          <t>D) Take their agreement at face value since they haven't raised objections.</t>
        </is>
      </c>
      <c r="I20" s="12" t="n">
        <v>3</v>
      </c>
      <c r="J20" s="12" t="n">
        <v>4</v>
      </c>
      <c r="K20" s="12" t="n">
        <v>3</v>
      </c>
      <c r="L20" s="12" t="n">
        <v>2</v>
      </c>
      <c r="M20" s="10" t="n"/>
      <c r="N20">
        <f>IF(M20="",0,INDEX(I20:L20,1,MATCH(M20,{"A","B","C","D"},0)))</f>
        <v/>
      </c>
    </row>
    <row r="21" ht="40" customHeight="1">
      <c r="A21" s="11" t="inlineStr">
        <is>
          <t>Set 3</t>
        </is>
      </c>
      <c r="B21" s="11" t="inlineStr">
        <is>
          <t>Q5</t>
        </is>
      </c>
      <c r="C21" s="7" t="inlineStr">
        <is>
          <t>Relationship Management</t>
        </is>
      </c>
      <c r="D21" s="7" t="inlineStr">
        <is>
          <t>You're merging two teams with different working cultures after an acquisition, and friction is already emerging. How do you approach it?</t>
        </is>
      </c>
      <c r="E21" s="7" t="inlineStr">
        <is>
          <t>A) Impose your own team's existing processes on everyone to simplify things quickly.</t>
        </is>
      </c>
      <c r="F21" s="7" t="inlineStr">
        <is>
          <t>B) Let the friction play out naturally without intervening.</t>
        </is>
      </c>
      <c r="G21" s="7" t="inlineStr">
        <is>
          <t>C) Involve both teams in co-designing new shared norms, acknowledging both cultures have value.</t>
        </is>
      </c>
      <c r="H21" s="7" t="inlineStr">
        <is>
          <t>D) Address it only if it becomes a visible problem to leadership.</t>
        </is>
      </c>
      <c r="I21" s="12" t="n">
        <v>2</v>
      </c>
      <c r="J21" s="12" t="n">
        <v>3</v>
      </c>
      <c r="K21" s="12" t="n">
        <v>4</v>
      </c>
      <c r="L21" s="12" t="n">
        <v>3</v>
      </c>
      <c r="M21" s="10" t="n"/>
      <c r="N21">
        <f>IF(M21="",0,INDEX(I21:L21,1,MATCH(M21,{"A","B","C","D"},0)))</f>
        <v/>
      </c>
    </row>
    <row r="22" ht="40" customHeight="1">
      <c r="A22" s="11" t="inlineStr">
        <is>
          <t>Set 4</t>
        </is>
      </c>
      <c r="B22" s="11" t="inlineStr">
        <is>
          <t>Q1</t>
        </is>
      </c>
      <c r="C22" s="7" t="inlineStr">
        <is>
          <t>Self-Awareness</t>
        </is>
      </c>
      <c r="D22" s="7" t="inlineStr">
        <is>
          <t>You realise you've been defining your identity almost entirely around your job title for years. What's the insight, especially as you consider a possible change?</t>
        </is>
      </c>
      <c r="E22" s="7" t="inlineStr">
        <is>
          <t>A) Avoid thinking about it since it raises uncomfortable questions.</t>
        </is>
      </c>
      <c r="F22" s="7" t="inlineStr">
        <is>
          <t>B) Feel unsettled by the realisation without exploring it further.</t>
        </is>
      </c>
      <c r="G22" s="7" t="inlineStr">
        <is>
          <t>C) Decide your job title is simply who you are and that's fine.</t>
        </is>
      </c>
      <c r="H22" s="7" t="inlineStr">
        <is>
          <t>D) Recognise the over-identification, and start exploring what parts of your identity exist outside of your role.</t>
        </is>
      </c>
      <c r="I22" s="12" t="n">
        <v>3</v>
      </c>
      <c r="J22" s="12" t="n">
        <v>2</v>
      </c>
      <c r="K22" s="12" t="n">
        <v>2</v>
      </c>
      <c r="L22" s="12" t="n">
        <v>4</v>
      </c>
      <c r="M22" s="10" t="n"/>
      <c r="N22">
        <f>IF(M22="",0,INDEX(I22:L22,1,MATCH(M22,{"A","B","C","D"},0)))</f>
        <v/>
      </c>
    </row>
    <row r="23" ht="40" customHeight="1">
      <c r="A23" s="11" t="inlineStr">
        <is>
          <t>Set 4</t>
        </is>
      </c>
      <c r="B23" s="11" t="inlineStr">
        <is>
          <t>Q2</t>
        </is>
      </c>
      <c r="C23" s="7" t="inlineStr">
        <is>
          <t>Self-Regulation</t>
        </is>
      </c>
      <c r="D23" s="7" t="inlineStr">
        <is>
          <t>You discover a trusted colleague has been undermining you in conversations with leadership. What's your response?</t>
        </is>
      </c>
      <c r="E23" s="7" t="inlineStr">
        <is>
          <t>A) Address it directly with them privately first, calmly stating what you've learned and asking for their perspective.</t>
        </is>
      </c>
      <c r="F23" s="7" t="inlineStr">
        <is>
          <t>B) Say nothing and let the relationship quietly deteriorate.</t>
        </is>
      </c>
      <c r="G23" s="7" t="inlineStr">
        <is>
          <t>C) Confront them aggressively in a public setting.</t>
        </is>
      </c>
      <c r="H23" s="7" t="inlineStr">
        <is>
          <t>D) Start quietly doing the same thing back to them.</t>
        </is>
      </c>
      <c r="I23" s="12" t="n">
        <v>4</v>
      </c>
      <c r="J23" s="12" t="n">
        <v>3</v>
      </c>
      <c r="K23" s="12" t="n">
        <v>2</v>
      </c>
      <c r="L23" s="12" t="n">
        <v>2</v>
      </c>
      <c r="M23" s="10" t="n"/>
      <c r="N23">
        <f>IF(M23="",0,INDEX(I23:L23,1,MATCH(M23,{"A","B","C","D"},0)))</f>
        <v/>
      </c>
    </row>
    <row r="24" ht="40" customHeight="1">
      <c r="A24" s="11" t="inlineStr">
        <is>
          <t>Set 4</t>
        </is>
      </c>
      <c r="B24" s="11" t="inlineStr">
        <is>
          <t>Q3</t>
        </is>
      </c>
      <c r="C24" s="7" t="inlineStr">
        <is>
          <t>Motivation / Resilience</t>
        </is>
      </c>
      <c r="D24" s="7" t="inlineStr">
        <is>
          <t>At this stage of your career, you're seriously considering whether to pivot into an entirely different field. What's your approach to the uncertainty?</t>
        </is>
      </c>
      <c r="E24" s="7" t="inlineStr">
        <is>
          <t>A) Make an abrupt decision based on a single bad week at your current job.</t>
        </is>
      </c>
      <c r="F24" s="7" t="inlineStr">
        <is>
          <t>B) Do deliberate, structured exploration (informational interviews, small experiments) before committing either way.</t>
        </is>
      </c>
      <c r="G24" s="7" t="inlineStr">
        <is>
          <t>C) Stay purely because changing now feels too disruptive, without evaluating whether it's actually right.</t>
        </is>
      </c>
      <c r="H24" s="7" t="inlineStr">
        <is>
          <t>D) Avoid making any decision indefinitely to sidestep the risk.</t>
        </is>
      </c>
      <c r="I24" s="12" t="n">
        <v>2</v>
      </c>
      <c r="J24" s="12" t="n">
        <v>4</v>
      </c>
      <c r="K24" s="12" t="n">
        <v>2</v>
      </c>
      <c r="L24" s="12" t="n">
        <v>3</v>
      </c>
      <c r="M24" s="10" t="n"/>
      <c r="N24">
        <f>IF(M24="",0,INDEX(I24:L24,1,MATCH(M24,{"A","B","C","D"},0)))</f>
        <v/>
      </c>
    </row>
    <row r="25" ht="40" customHeight="1">
      <c r="A25" s="11" t="inlineStr">
        <is>
          <t>Set 4</t>
        </is>
      </c>
      <c r="B25" s="11" t="inlineStr">
        <is>
          <t>Q4</t>
        </is>
      </c>
      <c r="C25" s="7" t="inlineStr">
        <is>
          <t>Empathy</t>
        </is>
      </c>
      <c r="D25" s="7" t="inlineStr">
        <is>
          <t>A long-time employee you need to let go due to restructuring has been loyal and hardworking for years. How do you handle the conversation?</t>
        </is>
      </c>
      <c r="E25" s="7" t="inlineStr">
        <is>
          <t>A) Delegate the conversation entirely to HR to avoid your own discomfort.</t>
        </is>
      </c>
      <c r="F25" s="7" t="inlineStr">
        <is>
          <t>B) Soften the message so much that the reality doesn't come across clearly.</t>
        </is>
      </c>
      <c r="G25" s="7" t="inlineStr">
        <is>
          <t>C) Deliver the news with clarity and genuine compassion, acknowledging their contribution honestly.</t>
        </is>
      </c>
      <c r="H25" s="7" t="inlineStr">
        <is>
          <t>D) Keep the conversation as brief and procedural as possible to get through it quickly.</t>
        </is>
      </c>
      <c r="I25" s="12" t="n">
        <v>3</v>
      </c>
      <c r="J25" s="12" t="n">
        <v>3</v>
      </c>
      <c r="K25" s="12" t="n">
        <v>4</v>
      </c>
      <c r="L25" s="12" t="n">
        <v>2</v>
      </c>
      <c r="M25" s="10" t="n"/>
      <c r="N25">
        <f>IF(M25="",0,INDEX(I25:L25,1,MATCH(M25,{"A","B","C","D"},0)))</f>
        <v/>
      </c>
    </row>
    <row r="26" ht="40" customHeight="1">
      <c r="A26" s="11" t="inlineStr">
        <is>
          <t>Set 4</t>
        </is>
      </c>
      <c r="B26" s="11" t="inlineStr">
        <is>
          <t>Q5</t>
        </is>
      </c>
      <c r="C26" s="7" t="inlineStr">
        <is>
          <t>Relationship Management</t>
        </is>
      </c>
      <c r="D26" s="7" t="inlineStr">
        <is>
          <t>A former mentee, now a peer, seems to resent your continued influence over decisions that affect them. How do you address the shifting dynamic?</t>
        </is>
      </c>
      <c r="E26" s="7" t="inlineStr">
        <is>
          <t>A) Assume their resentment is unreasonable and dismiss it.</t>
        </is>
      </c>
      <c r="F26" s="7" t="inlineStr">
        <is>
          <t>B) Continue the relationship exactly as before, assuming they'll adjust.</t>
        </is>
      </c>
      <c r="G26" s="7" t="inlineStr">
        <is>
          <t>C) Distance yourself from them to avoid the awkwardness.</t>
        </is>
      </c>
      <c r="H26" s="7" t="inlineStr">
        <is>
          <t>D) Acknowledge the changed dynamic openly, and recalibrate how you engage with them as a peer, not a mentee.</t>
        </is>
      </c>
      <c r="I26" s="12" t="n">
        <v>2</v>
      </c>
      <c r="J26" s="12" t="n">
        <v>3</v>
      </c>
      <c r="K26" s="12" t="n">
        <v>2</v>
      </c>
      <c r="L26" s="12" t="n">
        <v>4</v>
      </c>
      <c r="M26" s="10" t="n"/>
      <c r="N26">
        <f>IF(M26="",0,INDEX(I26:L26,1,MATCH(M26,{"A","B","C","D"},0)))</f>
        <v/>
      </c>
    </row>
    <row r="27" ht="40" customHeight="1">
      <c r="A27" s="11" t="inlineStr">
        <is>
          <t>Set 5</t>
        </is>
      </c>
      <c r="B27" s="11" t="inlineStr">
        <is>
          <t>Q1</t>
        </is>
      </c>
      <c r="C27" s="7" t="inlineStr">
        <is>
          <t>Self-Awareness</t>
        </is>
      </c>
      <c r="D27" s="7" t="inlineStr">
        <is>
          <t>You notice you feel more fulfilled mentoring others lately than doing your own core deliverables. What's the honest read?</t>
        </is>
      </c>
      <c r="E27" s="7" t="inlineStr">
        <is>
          <t>A) Take this seriously as a genuine signal about what energises you, and think about how to build more of it into your role.</t>
        </is>
      </c>
      <c r="F27" s="7" t="inlineStr">
        <is>
          <t>B) Ignore the feeling since your current role doesn't prioritise mentoring.</t>
        </is>
      </c>
      <c r="G27" s="7" t="inlineStr">
        <is>
          <t>C) Decide this means you should just stop mentoring and refocus.</t>
        </is>
      </c>
      <c r="H27" s="7" t="inlineStr">
        <is>
          <t>D) Assume the feeling will pass once you're less busy.</t>
        </is>
      </c>
      <c r="I27" s="12" t="n">
        <v>4</v>
      </c>
      <c r="J27" s="12" t="n">
        <v>3</v>
      </c>
      <c r="K27" s="12" t="n">
        <v>2</v>
      </c>
      <c r="L27" s="12" t="n">
        <v>2</v>
      </c>
      <c r="M27" s="10" t="n"/>
      <c r="N27">
        <f>IF(M27="",0,INDEX(I27:L27,1,MATCH(M27,{"A","B","C","D"},0)))</f>
        <v/>
      </c>
    </row>
    <row r="28" ht="40" customHeight="1">
      <c r="A28" s="11" t="inlineStr">
        <is>
          <t>Set 5</t>
        </is>
      </c>
      <c r="B28" s="11" t="inlineStr">
        <is>
          <t>Q2</t>
        </is>
      </c>
      <c r="C28" s="7" t="inlineStr">
        <is>
          <t>Self-Regulation</t>
        </is>
      </c>
      <c r="D28" s="7" t="inlineStr">
        <is>
          <t>You receive unexpected, blunt criticism of your leadership style during a 360-degree review process. What's your response?</t>
        </is>
      </c>
      <c r="E28" s="7" t="inlineStr">
        <is>
          <t>A) Dismiss the feedback as unrepresentative or coming from a few disgruntled people.</t>
        </is>
      </c>
      <c r="F28" s="7" t="inlineStr">
        <is>
          <t>B) Sit with the discomfort, look for patterns across multiple pieces of feedback, and decide what genuinely needs addressing.</t>
        </is>
      </c>
      <c r="G28" s="7" t="inlineStr">
        <is>
          <t>C) Overcorrect dramatically based on a single piece of feedback.</t>
        </is>
      </c>
      <c r="H28" s="7" t="inlineStr">
        <is>
          <t>D) Get defensive with whoever facilitated the review process.</t>
        </is>
      </c>
      <c r="I28" s="12" t="n">
        <v>2</v>
      </c>
      <c r="J28" s="12" t="n">
        <v>4</v>
      </c>
      <c r="K28" s="12" t="n">
        <v>3</v>
      </c>
      <c r="L28" s="12" t="n">
        <v>2</v>
      </c>
      <c r="M28" s="10" t="n"/>
      <c r="N28">
        <f>IF(M28="",0,INDEX(I28:L28,1,MATCH(M28,{"A","B","C","D"},0)))</f>
        <v/>
      </c>
    </row>
    <row r="29" ht="40" customHeight="1">
      <c r="A29" s="11" t="inlineStr">
        <is>
          <t>Set 5</t>
        </is>
      </c>
      <c r="B29" s="11" t="inlineStr">
        <is>
          <t>Q3</t>
        </is>
      </c>
      <c r="C29" s="7" t="inlineStr">
        <is>
          <t>Motivation / Resilience</t>
        </is>
      </c>
      <c r="D29" s="7" t="inlineStr">
        <is>
          <t>A strategic bet you pushed leadership to make turns out to be the wrong call, with real business consequences. What's your approach?</t>
        </is>
      </c>
      <c r="E29" s="7" t="inlineStr">
        <is>
          <t>A) Deflect blame onto the team that executed it.</t>
        </is>
      </c>
      <c r="F29" s="7" t="inlineStr">
        <is>
          <t>B) Avoid discussing the failed bet at all going forward.</t>
        </is>
      </c>
      <c r="G29" s="7" t="inlineStr">
        <is>
          <t>C) Own the decision honestly, extract clear lessons, and rebuild credibility through transparent next steps.</t>
        </is>
      </c>
      <c r="H29" s="7" t="inlineStr">
        <is>
          <t>D) Assume this one failure defines your judgment permanently.</t>
        </is>
      </c>
      <c r="I29" s="12" t="n">
        <v>2</v>
      </c>
      <c r="J29" s="12" t="n">
        <v>3</v>
      </c>
      <c r="K29" s="12" t="n">
        <v>4</v>
      </c>
      <c r="L29" s="12" t="n">
        <v>2</v>
      </c>
      <c r="M29" s="10" t="n"/>
      <c r="N29">
        <f>IF(M29="",0,INDEX(I29:L29,1,MATCH(M29,{"A","B","C","D"},0)))</f>
        <v/>
      </c>
    </row>
    <row r="30" ht="40" customHeight="1">
      <c r="A30" s="11" t="inlineStr">
        <is>
          <t>Set 5</t>
        </is>
      </c>
      <c r="B30" s="11" t="inlineStr">
        <is>
          <t>Q4</t>
        </is>
      </c>
      <c r="C30" s="7" t="inlineStr">
        <is>
          <t>Empathy</t>
        </is>
      </c>
      <c r="D30" s="7" t="inlineStr">
        <is>
          <t>You sense a highly capable employee is quietly job hunting, based on subtle behavioural changes, but they haven't said anything. What's your approach?</t>
        </is>
      </c>
      <c r="E30" s="7" t="inlineStr">
        <is>
          <t>A) Ignore it until they formally resign.</t>
        </is>
      </c>
      <c r="F30" s="7" t="inlineStr">
        <is>
          <t>B) Start distancing yourself from them pre-emptively.</t>
        </is>
      </c>
      <c r="G30" s="7" t="inlineStr">
        <is>
          <t>C) Directly ask if they're job hunting, putting them on the spot.</t>
        </is>
      </c>
      <c r="H30" s="7" t="inlineStr">
        <is>
          <t>D) Create space for an honest conversation about their career satisfaction, without being accusatory about your suspicion.</t>
        </is>
      </c>
      <c r="I30" s="12" t="n">
        <v>3</v>
      </c>
      <c r="J30" s="12" t="n">
        <v>2</v>
      </c>
      <c r="K30" s="12" t="n">
        <v>2</v>
      </c>
      <c r="L30" s="12" t="n">
        <v>4</v>
      </c>
      <c r="M30" s="10" t="n"/>
      <c r="N30">
        <f>IF(M30="",0,INDEX(I30:L30,1,MATCH(M30,{"A","B","C","D"},0)))</f>
        <v/>
      </c>
    </row>
    <row r="31" ht="40" customHeight="1">
      <c r="A31" s="11" t="inlineStr">
        <is>
          <t>Set 5</t>
        </is>
      </c>
      <c r="B31" s="11" t="inlineStr">
        <is>
          <t>Q5</t>
        </is>
      </c>
      <c r="C31" s="7" t="inlineStr">
        <is>
          <t>Relationship Management</t>
        </is>
      </c>
      <c r="D31" s="7" t="inlineStr">
        <is>
          <t>You need to build buy-in from a group of senior peers who are sceptical of a change you're proposing. How do you approach it?</t>
        </is>
      </c>
      <c r="E31" s="7" t="inlineStr">
        <is>
          <t>A) Invest time in individual conversations to understand their concerns, and adapt the proposal where it genuinely improves it.</t>
        </is>
      </c>
      <c r="F31" s="7" t="inlineStr">
        <is>
          <t>B) Present the change only to those likely to support it, bypassing the sceptics.</t>
        </is>
      </c>
      <c r="G31" s="7" t="inlineStr">
        <is>
          <t>C) Push the change through using your authority, since you believe it's the right call.</t>
        </is>
      </c>
      <c r="H31" s="7" t="inlineStr">
        <is>
          <t>D) Avoid proposing the change to sidestep the friction.</t>
        </is>
      </c>
      <c r="I31" s="12" t="n">
        <v>4</v>
      </c>
      <c r="J31" s="12" t="n">
        <v>2</v>
      </c>
      <c r="K31" s="12" t="n">
        <v>2</v>
      </c>
      <c r="L31" s="12" t="n">
        <v>3</v>
      </c>
      <c r="M31" s="10" t="n"/>
      <c r="N31">
        <f>IF(M31="",0,INDEX(I31:L31,1,MATCH(M31,{"A","B","C","D"},0)))</f>
        <v/>
      </c>
    </row>
    <row r="32" ht="40" customHeight="1">
      <c r="A32" s="11" t="inlineStr">
        <is>
          <t>Set 6</t>
        </is>
      </c>
      <c r="B32" s="11" t="inlineStr">
        <is>
          <t>Q1</t>
        </is>
      </c>
      <c r="C32" s="7" t="inlineStr">
        <is>
          <t>Self-Awareness</t>
        </is>
      </c>
      <c r="D32" s="7" t="inlineStr">
        <is>
          <t>You realise you've stopped feeling genuine excitement about work milestones that used to matter a lot to you. What's your honest reflection?</t>
        </is>
      </c>
      <c r="E32" s="7" t="inlineStr">
        <is>
          <t>A) Push the feeling aside and keep working at the same intensity.</t>
        </is>
      </c>
      <c r="F32" s="7" t="inlineStr">
        <is>
          <t>B) Recognise this might be a sign of burnout or misalignment, and explore it honestly rather than dismissing it.</t>
        </is>
      </c>
      <c r="G32" s="7" t="inlineStr">
        <is>
          <t>C) Decide you've simply become a more serious, mature professional.</t>
        </is>
      </c>
      <c r="H32" s="7" t="inlineStr">
        <is>
          <t>D) Assume nothing at work will ever feel exciting again.</t>
        </is>
      </c>
      <c r="I32" s="12" t="n">
        <v>2</v>
      </c>
      <c r="J32" s="12" t="n">
        <v>4</v>
      </c>
      <c r="K32" s="12" t="n">
        <v>3</v>
      </c>
      <c r="L32" s="12" t="n">
        <v>2</v>
      </c>
      <c r="M32" s="10" t="n"/>
      <c r="N32">
        <f>IF(M32="",0,INDEX(I32:L32,1,MATCH(M32,{"A","B","C","D"},0)))</f>
        <v/>
      </c>
    </row>
    <row r="33" ht="40" customHeight="1">
      <c r="A33" s="11" t="inlineStr">
        <is>
          <t>Set 6</t>
        </is>
      </c>
      <c r="B33" s="11" t="inlineStr">
        <is>
          <t>Q2</t>
        </is>
      </c>
      <c r="C33" s="7" t="inlineStr">
        <is>
          <t>Self-Regulation</t>
        </is>
      </c>
      <c r="D33" s="7" t="inlineStr">
        <is>
          <t>A crisis hits your organisation publicly, and you need to communicate calmly to a worried team while managing your own concern. What's your approach?</t>
        </is>
      </c>
      <c r="E33" s="7" t="inlineStr">
        <is>
          <t>A) Project forced positivity that doesn't match the seriousness of the situation.</t>
        </is>
      </c>
      <c r="F33" s="7" t="inlineStr">
        <is>
          <t>B) Avoid communicating until you have every answer, leaving the team anxious in the meantime.</t>
        </is>
      </c>
      <c r="G33" s="7" t="inlineStr">
        <is>
          <t>C) Acknowledge the seriousness honestly, manage your own composure visibly, and communicate a clear next-steps plan.</t>
        </is>
      </c>
      <c r="H33" s="7" t="inlineStr">
        <is>
          <t>D) Let your own visible panic set the tone for the team's reaction.</t>
        </is>
      </c>
      <c r="I33" s="12" t="n">
        <v>3</v>
      </c>
      <c r="J33" s="12" t="n">
        <v>2</v>
      </c>
      <c r="K33" s="12" t="n">
        <v>4</v>
      </c>
      <c r="L33" s="12" t="n">
        <v>2</v>
      </c>
      <c r="M33" s="10" t="n"/>
      <c r="N33">
        <f>IF(M33="",0,INDEX(I33:L33,1,MATCH(M33,{"A","B","C","D"},0)))</f>
        <v/>
      </c>
    </row>
    <row r="34" ht="40" customHeight="1">
      <c r="A34" s="11" t="inlineStr">
        <is>
          <t>Set 6</t>
        </is>
      </c>
      <c r="B34" s="11" t="inlineStr">
        <is>
          <t>Q3</t>
        </is>
      </c>
      <c r="C34" s="7" t="inlineStr">
        <is>
          <t>Motivation / Resilience</t>
        </is>
      </c>
      <c r="D34" s="7" t="inlineStr">
        <is>
          <t>You're several years into building toward a specific senior title, and a reorg removes that path entirely. What's your approach?</t>
        </is>
      </c>
      <c r="E34" s="7" t="inlineStr">
        <is>
          <t>A) Feel like the years invested were wasted and lose motivation broadly.</t>
        </is>
      </c>
      <c r="F34" s="7" t="inlineStr">
        <is>
          <t>B) Blame leadership entirely without adapting your own approach.</t>
        </is>
      </c>
      <c r="G34" s="7" t="inlineStr">
        <is>
          <t>C) Fight to preserve the old path even though it's structurally gone.</t>
        </is>
      </c>
      <c r="H34" s="7" t="inlineStr">
        <is>
          <t>D) Reassess what you actually valued about that path (impact, growth, compensation) and find new routes to it.</t>
        </is>
      </c>
      <c r="I34" s="12" t="n">
        <v>2</v>
      </c>
      <c r="J34" s="12" t="n">
        <v>2</v>
      </c>
      <c r="K34" s="12" t="n">
        <v>3</v>
      </c>
      <c r="L34" s="12" t="n">
        <v>4</v>
      </c>
      <c r="M34" s="10" t="n"/>
      <c r="N34">
        <f>IF(M34="",0,INDEX(I34:L34,1,MATCH(M34,{"A","B","C","D"},0)))</f>
        <v/>
      </c>
    </row>
    <row r="35" ht="40" customHeight="1">
      <c r="A35" s="11" t="inlineStr">
        <is>
          <t>Set 6</t>
        </is>
      </c>
      <c r="B35" s="11" t="inlineStr">
        <is>
          <t>Q4</t>
        </is>
      </c>
      <c r="C35" s="7" t="inlineStr">
        <is>
          <t>Empathy</t>
        </is>
      </c>
      <c r="D35" s="7" t="inlineStr">
        <is>
          <t>A peer executive is visibly struggling with a major personal loss but is trying to maintain a composed front at work. What's your approach?</t>
        </is>
      </c>
      <c r="E35" s="7" t="inlineStr">
        <is>
          <t>A) Offer a private, genuine acknowledgment and support, while respecting their need to maintain composure publicly.</t>
        </is>
      </c>
      <c r="F35" s="7" t="inlineStr">
        <is>
          <t>B) Avoid them slightly since it feels like an uncomfortable topic.</t>
        </is>
      </c>
      <c r="G35" s="7" t="inlineStr">
        <is>
          <t>C) Bring it up in front of others to show organisational support.</t>
        </is>
      </c>
      <c r="H35" s="7" t="inlineStr">
        <is>
          <t>D) Respect their front completely and never acknowledge it.</t>
        </is>
      </c>
      <c r="I35" s="12" t="n">
        <v>4</v>
      </c>
      <c r="J35" s="12" t="n">
        <v>2</v>
      </c>
      <c r="K35" s="12" t="n">
        <v>2</v>
      </c>
      <c r="L35" s="12" t="n">
        <v>3</v>
      </c>
      <c r="M35" s="10" t="n"/>
      <c r="N35">
        <f>IF(M35="",0,INDEX(I35:L35,1,MATCH(M35,{"A","B","C","D"},0)))</f>
        <v/>
      </c>
    </row>
    <row r="36" ht="40" customHeight="1">
      <c r="A36" s="11" t="inlineStr">
        <is>
          <t>Set 6</t>
        </is>
      </c>
      <c r="B36" s="11" t="inlineStr">
        <is>
          <t>Q5</t>
        </is>
      </c>
      <c r="C36" s="7" t="inlineStr">
        <is>
          <t>Relationship Management</t>
        </is>
      </c>
      <c r="D36" s="7" t="inlineStr">
        <is>
          <t>You need to have a candid conversation with a long-time business partner about dissolving the partnership. How do you approach it?</t>
        </is>
      </c>
      <c r="E36" s="7" t="inlineStr">
        <is>
          <t>A) Let a lawyer or intermediary deliver the news on your behalf.</t>
        </is>
      </c>
      <c r="F36" s="7" t="inlineStr">
        <is>
          <t>B) Initiate an honest, respectful conversation early, focused on a fair outcome for both sides.</t>
        </is>
      </c>
      <c r="G36" s="7" t="inlineStr">
        <is>
          <t>C) Make the decision unilaterally and inform them after the fact.</t>
        </is>
      </c>
      <c r="H36" s="7" t="inlineStr">
        <is>
          <t>D) Avoid the conversation as long as possible, letting resentment build.</t>
        </is>
      </c>
      <c r="I36" s="12" t="n">
        <v>3</v>
      </c>
      <c r="J36" s="12" t="n">
        <v>4</v>
      </c>
      <c r="K36" s="12" t="n">
        <v>2</v>
      </c>
      <c r="L36" s="12" t="n">
        <v>2</v>
      </c>
      <c r="M36" s="10" t="n"/>
      <c r="N36">
        <f>IF(M36="",0,INDEX(I36:L36,1,MATCH(M36,{"A","B","C","D"},0)))</f>
        <v/>
      </c>
    </row>
    <row r="37" ht="40" customHeight="1">
      <c r="A37" s="11" t="inlineStr">
        <is>
          <t>Set 7</t>
        </is>
      </c>
      <c r="B37" s="11" t="inlineStr">
        <is>
          <t>Q1</t>
        </is>
      </c>
      <c r="C37" s="7" t="inlineStr">
        <is>
          <t>Self-Awareness</t>
        </is>
      </c>
      <c r="D37" s="7" t="inlineStr">
        <is>
          <t>You notice you're more reactive and less patient with your own team lately than you'd like to be. What's the underlying pattern?</t>
        </is>
      </c>
      <c r="E37" s="7" t="inlineStr">
        <is>
          <t>A) Push through without examining what's driving the reactivity.</t>
        </is>
      </c>
      <c r="F37" s="7" t="inlineStr">
        <is>
          <t>B) Decide the team has simply become more difficult to manage.</t>
        </is>
      </c>
      <c r="G37" s="7" t="inlineStr">
        <is>
          <t>C) Recognise the shift, and consider whether your own capacity (workload, external stress) needs addressing first.</t>
        </is>
      </c>
      <c r="H37" s="7" t="inlineStr">
        <is>
          <t>D) Feel guilty about it without changing your approach.</t>
        </is>
      </c>
      <c r="I37" s="12" t="n">
        <v>3</v>
      </c>
      <c r="J37" s="12" t="n">
        <v>2</v>
      </c>
      <c r="K37" s="12" t="n">
        <v>4</v>
      </c>
      <c r="L37" s="12" t="n">
        <v>2</v>
      </c>
      <c r="M37" s="10" t="n"/>
      <c r="N37">
        <f>IF(M37="",0,INDEX(I37:L37,1,MATCH(M37,{"A","B","C","D"},0)))</f>
        <v/>
      </c>
    </row>
    <row r="38" ht="40" customHeight="1">
      <c r="A38" s="11" t="inlineStr">
        <is>
          <t>Set 7</t>
        </is>
      </c>
      <c r="B38" s="11" t="inlineStr">
        <is>
          <t>Q2</t>
        </is>
      </c>
      <c r="C38" s="7" t="inlineStr">
        <is>
          <t>Self-Regulation</t>
        </is>
      </c>
      <c r="D38" s="7" t="inlineStr">
        <is>
          <t>A key client threatens to walk during a tense renewal negotiation, using the threat as pressure tactics. What's your response?</t>
        </is>
      </c>
      <c r="E38" s="7" t="inlineStr">
        <is>
          <t>A) Match their aggressive tone to hold your ground.</t>
        </is>
      </c>
      <c r="F38" s="7" t="inlineStr">
        <is>
          <t>B) Cave immediately to unreasonable terms out of fear of losing them.</t>
        </is>
      </c>
      <c r="G38" s="7" t="inlineStr">
        <is>
          <t>C) Avoid direct engagement and let a junior team member handle the tension instead.</t>
        </is>
      </c>
      <c r="H38" s="7" t="inlineStr">
        <is>
          <t>D) Stay composed, evaluate honestly whether the terms are workable, and negotiate from a place of clarity, not fear.</t>
        </is>
      </c>
      <c r="I38" s="12" t="n">
        <v>2</v>
      </c>
      <c r="J38" s="12" t="n">
        <v>2</v>
      </c>
      <c r="K38" s="12" t="n">
        <v>3</v>
      </c>
      <c r="L38" s="12" t="n">
        <v>4</v>
      </c>
      <c r="M38" s="10" t="n"/>
      <c r="N38">
        <f>IF(M38="",0,INDEX(I38:L38,1,MATCH(M38,{"A","B","C","D"},0)))</f>
        <v/>
      </c>
    </row>
    <row r="39" ht="40" customHeight="1">
      <c r="A39" s="11" t="inlineStr">
        <is>
          <t>Set 7</t>
        </is>
      </c>
      <c r="B39" s="11" t="inlineStr">
        <is>
          <t>Q3</t>
        </is>
      </c>
      <c r="C39" s="7" t="inlineStr">
        <is>
          <t>Motivation / Resilience</t>
        </is>
      </c>
      <c r="D39" s="7" t="inlineStr">
        <is>
          <t>After decades in the workforce, you're questioning whether the traditional career ladder still motivates you at all. What's your approach?</t>
        </is>
      </c>
      <c r="E39" s="7" t="inlineStr">
        <is>
          <t>A) Take the question seriously, and deliberately redefine what success and motivation mean for this stage of your career.</t>
        </is>
      </c>
      <c r="F39" s="7" t="inlineStr">
        <is>
          <t>B) Force yourself to keep chasing the same milestones out of habit.</t>
        </is>
      </c>
      <c r="G39" s="7" t="inlineStr">
        <is>
          <t>C) Disengage entirely without exploring what might genuinely re-energise you.</t>
        </is>
      </c>
      <c r="H39" s="7" t="inlineStr">
        <is>
          <t>D) Assume something is wrong with you for questioning it.</t>
        </is>
      </c>
      <c r="I39" s="12" t="n">
        <v>4</v>
      </c>
      <c r="J39" s="12" t="n">
        <v>3</v>
      </c>
      <c r="K39" s="12" t="n">
        <v>2</v>
      </c>
      <c r="L39" s="12" t="n">
        <v>2</v>
      </c>
      <c r="M39" s="10" t="n"/>
      <c r="N39">
        <f>IF(M39="",0,INDEX(I39:L39,1,MATCH(M39,{"A","B","C","D"},0)))</f>
        <v/>
      </c>
    </row>
    <row r="40" ht="40" customHeight="1">
      <c r="A40" s="11" t="inlineStr">
        <is>
          <t>Set 7</t>
        </is>
      </c>
      <c r="B40" s="11" t="inlineStr">
        <is>
          <t>Q4</t>
        </is>
      </c>
      <c r="C40" s="7" t="inlineStr">
        <is>
          <t>Empathy</t>
        </is>
      </c>
      <c r="D40" s="7" t="inlineStr">
        <is>
          <t>You're leading a team through a difficult layoff process, and remaining team members are visibly anxious and demoralised. What's your approach?</t>
        </is>
      </c>
      <c r="E40" s="7" t="inlineStr">
        <is>
          <t>A) Reassure the team with promises you're not fully certain you can keep.</t>
        </is>
      </c>
      <c r="F40" s="7" t="inlineStr">
        <is>
          <t>B) Acknowledge the difficulty openly, create space for questions, and follow through on any commitments you make.</t>
        </is>
      </c>
      <c r="G40" s="7" t="inlineStr">
        <is>
          <t>C) Avoid discussing it directly and hope the team moves past it on its own.</t>
        </is>
      </c>
      <c r="H40" s="7" t="inlineStr">
        <is>
          <t>D) Focus purely on business continuity messaging without addressing the emotional impact.</t>
        </is>
      </c>
      <c r="I40" s="12" t="n">
        <v>3</v>
      </c>
      <c r="J40" s="12" t="n">
        <v>4</v>
      </c>
      <c r="K40" s="12" t="n">
        <v>3</v>
      </c>
      <c r="L40" s="12" t="n">
        <v>2</v>
      </c>
      <c r="M40" s="10" t="n"/>
      <c r="N40">
        <f>IF(M40="",0,INDEX(I40:L40,1,MATCH(M40,{"A","B","C","D"},0)))</f>
        <v/>
      </c>
    </row>
    <row r="41" ht="40" customHeight="1">
      <c r="A41" s="11" t="inlineStr">
        <is>
          <t>Set 7</t>
        </is>
      </c>
      <c r="B41" s="11" t="inlineStr">
        <is>
          <t>Q5</t>
        </is>
      </c>
      <c r="C41" s="7" t="inlineStr">
        <is>
          <t>Relationship Management</t>
        </is>
      </c>
      <c r="D41" s="7" t="inlineStr">
        <is>
          <t>A key investor disagrees strongly with a strategic direction you're confident in. How do you manage the relationship?</t>
        </is>
      </c>
      <c r="E41" s="7" t="inlineStr">
        <is>
          <t>A) Avoid further engagement with them to sidestep the disagreement.</t>
        </is>
      </c>
      <c r="F41" s="7" t="inlineStr">
        <is>
          <t>B) Concede fully to their view even though you believe your direction is right.</t>
        </is>
      </c>
      <c r="G41" s="7" t="inlineStr">
        <is>
          <t>C) Present your reasoning clearly with data, genuinely engage with their concerns, and find where alignment is possible.</t>
        </is>
      </c>
      <c r="H41" s="7" t="inlineStr">
        <is>
          <t>D) Dismiss their concerns since you're confident in your own judgment.</t>
        </is>
      </c>
      <c r="I41" s="12" t="n">
        <v>2</v>
      </c>
      <c r="J41" s="12" t="n">
        <v>3</v>
      </c>
      <c r="K41" s="12" t="n">
        <v>4</v>
      </c>
      <c r="L41" s="12" t="n">
        <v>2</v>
      </c>
      <c r="M41" s="10" t="n"/>
      <c r="N41">
        <f>IF(M41="",0,INDEX(I41:L41,1,MATCH(M41,{"A","B","C","D"},0)))</f>
        <v/>
      </c>
    </row>
    <row r="42" ht="40" customHeight="1">
      <c r="A42" s="11" t="inlineStr">
        <is>
          <t>Set 8</t>
        </is>
      </c>
      <c r="B42" s="11" t="inlineStr">
        <is>
          <t>Q1</t>
        </is>
      </c>
      <c r="C42" s="7" t="inlineStr">
        <is>
          <t>Self-Awareness</t>
        </is>
      </c>
      <c r="D42" s="7" t="inlineStr">
        <is>
          <t>You realise your instinct in conflict is almost always to avoid it entirely, even when addressing it would help. What's the pattern?</t>
        </is>
      </c>
      <c r="E42" s="7" t="inlineStr">
        <is>
          <t>A) Feel frustrated with yourself about it without taking any concrete steps.</t>
        </is>
      </c>
      <c r="F42" s="7" t="inlineStr">
        <is>
          <t>B) Decide this is just your natural personality and there's nothing to change.</t>
        </is>
      </c>
      <c r="G42" s="7" t="inlineStr">
        <is>
          <t>C) Keep avoiding conflict since it's worked reasonably well so far.</t>
        </is>
      </c>
      <c r="H42" s="7" t="inlineStr">
        <is>
          <t>D) Recognise conflict-avoidance as a pattern with real costs, and start practising smaller, low-stakes direct conversations.</t>
        </is>
      </c>
      <c r="I42" s="12" t="n">
        <v>2</v>
      </c>
      <c r="J42" s="12" t="n">
        <v>3</v>
      </c>
      <c r="K42" s="12" t="n">
        <v>2</v>
      </c>
      <c r="L42" s="12" t="n">
        <v>4</v>
      </c>
      <c r="M42" s="10" t="n"/>
      <c r="N42">
        <f>IF(M42="",0,INDEX(I42:L42,1,MATCH(M42,{"A","B","C","D"},0)))</f>
        <v/>
      </c>
    </row>
    <row r="43" ht="40" customHeight="1">
      <c r="A43" s="11" t="inlineStr">
        <is>
          <t>Set 8</t>
        </is>
      </c>
      <c r="B43" s="11" t="inlineStr">
        <is>
          <t>Q2</t>
        </is>
      </c>
      <c r="C43" s="7" t="inlineStr">
        <is>
          <t>Self-Regulation</t>
        </is>
      </c>
      <c r="D43" s="7" t="inlineStr">
        <is>
          <t>You discover a significant error in a report your team already presented externally, and it's your responsibility to address it. What's your approach?</t>
        </is>
      </c>
      <c r="E43" s="7" t="inlineStr">
        <is>
          <t>A) Acknowledge the error clearly and promptly, propose a correction plan, and address it head-on.</t>
        </is>
      </c>
      <c r="F43" s="7" t="inlineStr">
        <is>
          <t>B) Downplay the error's significance when raising it to avoid embarrassment.</t>
        </is>
      </c>
      <c r="G43" s="7" t="inlineStr">
        <is>
          <t>C) Quietly try to fix it without formally disclosing the error occurred.</t>
        </is>
      </c>
      <c r="H43" s="7" t="inlineStr">
        <is>
          <t>D) Delay disclosure while you figure out exactly how it happened.</t>
        </is>
      </c>
      <c r="I43" s="12" t="n">
        <v>4</v>
      </c>
      <c r="J43" s="12" t="n">
        <v>2</v>
      </c>
      <c r="K43" s="12" t="n">
        <v>2</v>
      </c>
      <c r="L43" s="12" t="n">
        <v>3</v>
      </c>
      <c r="M43" s="10" t="n"/>
      <c r="N43">
        <f>IF(M43="",0,INDEX(I43:L43,1,MATCH(M43,{"A","B","C","D"},0)))</f>
        <v/>
      </c>
    </row>
    <row r="44" ht="40" customHeight="1">
      <c r="A44" s="11" t="inlineStr">
        <is>
          <t>Set 8</t>
        </is>
      </c>
      <c r="B44" s="11" t="inlineStr">
        <is>
          <t>Q3</t>
        </is>
      </c>
      <c r="C44" s="7" t="inlineStr">
        <is>
          <t>Motivation / Resilience</t>
        </is>
      </c>
      <c r="D44" s="7" t="inlineStr">
        <is>
          <t>You've mentored several people who've gone on to more senior roles than you currently hold. What's your reflection on this?</t>
        </is>
      </c>
      <c r="E44" s="7" t="inlineStr">
        <is>
          <t>A) Stop investing in mentoring others to avoid the discomfort.</t>
        </is>
      </c>
      <c r="F44" s="7" t="inlineStr">
        <is>
          <t>B) Recognise genuine pride in their growth as separate from your own path, while still reflecting honestly on your own goals.</t>
        </is>
      </c>
      <c r="G44" s="7" t="inlineStr">
        <is>
          <t>C) Assume something about you specifically is holding you back.</t>
        </is>
      </c>
      <c r="H44" s="7" t="inlineStr">
        <is>
          <t>D) Feel bitter that you haven't advanced as quickly as those you've developed.</t>
        </is>
      </c>
      <c r="I44" s="12" t="n">
        <v>3</v>
      </c>
      <c r="J44" s="12" t="n">
        <v>4</v>
      </c>
      <c r="K44" s="12" t="n">
        <v>2</v>
      </c>
      <c r="L44" s="12" t="n">
        <v>2</v>
      </c>
      <c r="M44" s="10" t="n"/>
      <c r="N44">
        <f>IF(M44="",0,INDEX(I44:L44,1,MATCH(M44,{"A","B","C","D"},0)))</f>
        <v/>
      </c>
    </row>
    <row r="45" ht="40" customHeight="1">
      <c r="A45" s="11" t="inlineStr">
        <is>
          <t>Set 8</t>
        </is>
      </c>
      <c r="B45" s="11" t="inlineStr">
        <is>
          <t>Q4</t>
        </is>
      </c>
      <c r="C45" s="7" t="inlineStr">
        <is>
          <t>Empathy</t>
        </is>
      </c>
      <c r="D45" s="7" t="inlineStr">
        <is>
          <t>A talented employee on your team is being difficult to work with, and colleagues are starting to complain. What's your approach?</t>
        </is>
      </c>
      <c r="E45" s="7" t="inlineStr">
        <is>
          <t>A) Address it only through their formal performance review, avoiding a direct conversation.</t>
        </is>
      </c>
      <c r="F45" s="7" t="inlineStr">
        <is>
          <t>B) Focus solely on their behaviour without exploring what might be driving it.</t>
        </is>
      </c>
      <c r="G45" s="7" t="inlineStr">
        <is>
          <t>C) Investigate what's behind the behaviour change with genuine curiosity, while still holding clear standards.</t>
        </is>
      </c>
      <c r="H45" s="7" t="inlineStr">
        <is>
          <t>D) Let it continue since they're too talented to risk upsetting.</t>
        </is>
      </c>
      <c r="I45" s="12" t="n">
        <v>3</v>
      </c>
      <c r="J45" s="12" t="n">
        <v>2</v>
      </c>
      <c r="K45" s="12" t="n">
        <v>4</v>
      </c>
      <c r="L45" s="12" t="n">
        <v>3</v>
      </c>
      <c r="M45" s="10" t="n"/>
      <c r="N45">
        <f>IF(M45="",0,INDEX(I45:L45,1,MATCH(M45,{"A","B","C","D"},0)))</f>
        <v/>
      </c>
    </row>
    <row r="46" ht="40" customHeight="1">
      <c r="A46" s="11" t="inlineStr">
        <is>
          <t>Set 8</t>
        </is>
      </c>
      <c r="B46" s="11" t="inlineStr">
        <is>
          <t>Q5</t>
        </is>
      </c>
      <c r="C46" s="7" t="inlineStr">
        <is>
          <t>Relationship Management</t>
        </is>
      </c>
      <c r="D46" s="7" t="inlineStr">
        <is>
          <t>You're navigating a complex negotiation where the other party is a long-term relationship you want to preserve beyond this deal. How do you balance it?</t>
        </is>
      </c>
      <c r="E46" s="7" t="inlineStr">
        <is>
          <t>A) Prioritise winning the negotiation entirely, regardless of relationship cost.</t>
        </is>
      </c>
      <c r="F46" s="7" t="inlineStr">
        <is>
          <t>B) Prioritise the relationship entirely, even at real cost to the deal terms.</t>
        </is>
      </c>
      <c r="G46" s="7" t="inlineStr">
        <is>
          <t>C) Avoid direct negotiation and let intermediaries handle the tension.</t>
        </is>
      </c>
      <c r="H46" s="7" t="inlineStr">
        <is>
          <t>D) Negotiate firmly but transparently, being clear that you value both a fair deal and the long-term relationship.</t>
        </is>
      </c>
      <c r="I46" s="12" t="n">
        <v>2</v>
      </c>
      <c r="J46" s="12" t="n">
        <v>3</v>
      </c>
      <c r="K46" s="12" t="n">
        <v>2</v>
      </c>
      <c r="L46" s="12" t="n">
        <v>4</v>
      </c>
      <c r="M46" s="10" t="n"/>
      <c r="N46">
        <f>IF(M46="",0,INDEX(I46:L46,1,MATCH(M46,{"A","B","C","D"},0)))</f>
        <v/>
      </c>
    </row>
    <row r="47" ht="40" customHeight="1">
      <c r="A47" s="11" t="inlineStr">
        <is>
          <t>Set 9</t>
        </is>
      </c>
      <c r="B47" s="11" t="inlineStr">
        <is>
          <t>Q1</t>
        </is>
      </c>
      <c r="C47" s="7" t="inlineStr">
        <is>
          <t>Self-Awareness</t>
        </is>
      </c>
      <c r="D47" s="7" t="inlineStr">
        <is>
          <t>You notice you feel threatened by ideas from your team that are better than your own, even when you don't show it outwardly. What's the honest reflection?</t>
        </is>
      </c>
      <c r="E47" s="7" t="inlineStr">
        <is>
          <t>A) Recognise the insecurity honestly, and actively work on genuinely championing others' good ideas.</t>
        </is>
      </c>
      <c r="F47" s="7" t="inlineStr">
        <is>
          <t>B) Feel guilty about the reaction without changing your behaviour.</t>
        </is>
      </c>
      <c r="G47" s="7" t="inlineStr">
        <is>
          <t>C) Decide this is simply normal competitiveness and leave it unexamined.</t>
        </is>
      </c>
      <c r="H47" s="7" t="inlineStr">
        <is>
          <t>D) Quietly find reasons to not fully credit those ideas.</t>
        </is>
      </c>
      <c r="I47" s="12" t="n">
        <v>4</v>
      </c>
      <c r="J47" s="12" t="n">
        <v>3</v>
      </c>
      <c r="K47" s="12" t="n">
        <v>2</v>
      </c>
      <c r="L47" s="12" t="n">
        <v>2</v>
      </c>
      <c r="M47" s="10" t="n"/>
      <c r="N47">
        <f>IF(M47="",0,INDEX(I47:L47,1,MATCH(M47,{"A","B","C","D"},0)))</f>
        <v/>
      </c>
    </row>
    <row r="48" ht="40" customHeight="1">
      <c r="A48" s="11" t="inlineStr">
        <is>
          <t>Set 9</t>
        </is>
      </c>
      <c r="B48" s="11" t="inlineStr">
        <is>
          <t>Q2</t>
        </is>
      </c>
      <c r="C48" s="7" t="inlineStr">
        <is>
          <t>Self-Regulation</t>
        </is>
      </c>
      <c r="D48" s="7" t="inlineStr">
        <is>
          <t>You're informed of a sudden leadership change that directly affects your role and authority, with little warning. What's your immediate response?</t>
        </is>
      </c>
      <c r="E48" s="7" t="inlineStr">
        <is>
          <t>A) Withdraw and disengage from your responsibilities while processing the change.</t>
        </is>
      </c>
      <c r="F48" s="7" t="inlineStr">
        <is>
          <t>B) Take time to process the news, then engage constructively to understand the new structure and your place in it.</t>
        </is>
      </c>
      <c r="G48" s="7" t="inlineStr">
        <is>
          <t>C) Immediately start looking for an exit without exploring the new situation first.</t>
        </is>
      </c>
      <c r="H48" s="7" t="inlineStr">
        <is>
          <t>D) React defensively and start questioning the decision to anyone who'll listen.</t>
        </is>
      </c>
      <c r="I48" s="12" t="n">
        <v>3</v>
      </c>
      <c r="J48" s="12" t="n">
        <v>4</v>
      </c>
      <c r="K48" s="12" t="n">
        <v>3</v>
      </c>
      <c r="L48" s="12" t="n">
        <v>2</v>
      </c>
      <c r="M48" s="10" t="n"/>
      <c r="N48">
        <f>IF(M48="",0,INDEX(I48:L48,1,MATCH(M48,{"A","B","C","D"},0)))</f>
        <v/>
      </c>
    </row>
    <row r="49" ht="40" customHeight="1">
      <c r="A49" s="11" t="inlineStr">
        <is>
          <t>Set 9</t>
        </is>
      </c>
      <c r="B49" s="11" t="inlineStr">
        <is>
          <t>Q3</t>
        </is>
      </c>
      <c r="C49" s="7" t="inlineStr">
        <is>
          <t>Motivation / Resilience</t>
        </is>
      </c>
      <c r="D49" s="7" t="inlineStr">
        <is>
          <t>A venture you invested significant personal capital (financial and reputational) in fails publicly. What's your approach to rebuilding?</t>
        </is>
      </c>
      <c r="E49" s="7" t="inlineStr">
        <is>
          <t>A) Avoid any new ventures indefinitely out of fear of repeating the failure.</t>
        </is>
      </c>
      <c r="F49" s="7" t="inlineStr">
        <is>
          <t>B) Jump into a new venture immediately without reflecting on what went wrong.</t>
        </is>
      </c>
      <c r="G49" s="7" t="inlineStr">
        <is>
          <t>C) Do an honest post-mortem, rebuild credibility deliberately, and apply specific lessons to what comes next.</t>
        </is>
      </c>
      <c r="H49" s="7" t="inlineStr">
        <is>
          <t>D) Blame external circumstances entirely without any self-examination.</t>
        </is>
      </c>
      <c r="I49" s="12" t="n">
        <v>2</v>
      </c>
      <c r="J49" s="12" t="n">
        <v>3</v>
      </c>
      <c r="K49" s="12" t="n">
        <v>4</v>
      </c>
      <c r="L49" s="12" t="n">
        <v>2</v>
      </c>
      <c r="M49" s="10" t="n"/>
      <c r="N49">
        <f>IF(M49="",0,INDEX(I49:L49,1,MATCH(M49,{"A","B","C","D"},0)))</f>
        <v/>
      </c>
    </row>
    <row r="50" ht="40" customHeight="1">
      <c r="A50" s="11" t="inlineStr">
        <is>
          <t>Set 9</t>
        </is>
      </c>
      <c r="B50" s="11" t="inlineStr">
        <is>
          <t>Q4</t>
        </is>
      </c>
      <c r="C50" s="7" t="inlineStr">
        <is>
          <t>Empathy</t>
        </is>
      </c>
      <c r="D50" s="7" t="inlineStr">
        <is>
          <t>You're leading a diverse team where a cultural or generational misunderstanding is causing friction between members. What's your approach?</t>
        </is>
      </c>
      <c r="E50" s="7" t="inlineStr">
        <is>
          <t>A) Avoid addressing it directly since cultural topics feel sensitive to navigate.</t>
        </is>
      </c>
      <c r="F50" s="7" t="inlineStr">
        <is>
          <t>B) Address it by imposing a single standard for everyone to follow.</t>
        </is>
      </c>
      <c r="G50" s="7" t="inlineStr">
        <is>
          <t>C) Let the team members work it out among themselves without intervention.</t>
        </is>
      </c>
      <c r="H50" s="7" t="inlineStr">
        <is>
          <t>D) Facilitate an open conversation that helps both sides understand the other's perspective, without taking sides.</t>
        </is>
      </c>
      <c r="I50" s="12" t="n">
        <v>2</v>
      </c>
      <c r="J50" s="12" t="n">
        <v>2</v>
      </c>
      <c r="K50" s="12" t="n">
        <v>3</v>
      </c>
      <c r="L50" s="12" t="n">
        <v>4</v>
      </c>
      <c r="M50" s="10" t="n"/>
      <c r="N50">
        <f>IF(M50="",0,INDEX(I50:L50,1,MATCH(M50,{"A","B","C","D"},0)))</f>
        <v/>
      </c>
    </row>
    <row r="51" ht="40" customHeight="1">
      <c r="A51" s="11" t="inlineStr">
        <is>
          <t>Set 9</t>
        </is>
      </c>
      <c r="B51" s="11" t="inlineStr">
        <is>
          <t>Q5</t>
        </is>
      </c>
      <c r="C51" s="7" t="inlineStr">
        <is>
          <t>Relationship Management</t>
        </is>
      </c>
      <c r="D51" s="7" t="inlineStr">
        <is>
          <t>A key member of your leadership team is being recruited aggressively by a competitor, and you want to retain them. How do you approach the conversation?</t>
        </is>
      </c>
      <c r="E51" s="7" t="inlineStr">
        <is>
          <t>A) Have an honest conversation about what's driving their interest, and address it thoughtfully, not just financially.</t>
        </is>
      </c>
      <c r="F51" s="7" t="inlineStr">
        <is>
          <t>B) Match the competing offer immediately without a deeper conversation about their motivations.</t>
        </is>
      </c>
      <c r="G51" s="7" t="inlineStr">
        <is>
          <t>C) Avoid the topic and hope they choose to stay on their own.</t>
        </is>
      </c>
      <c r="H51" s="7" t="inlineStr">
        <is>
          <t>D) Guilt them about loyalty and past investment in their growth.</t>
        </is>
      </c>
      <c r="I51" s="12" t="n">
        <v>4</v>
      </c>
      <c r="J51" s="12" t="n">
        <v>3</v>
      </c>
      <c r="K51" s="12" t="n">
        <v>2</v>
      </c>
      <c r="L51" s="12" t="n">
        <v>2</v>
      </c>
      <c r="M51" s="10" t="n"/>
      <c r="N51">
        <f>IF(M51="",0,INDEX(I51:L51,1,MATCH(M51,{"A","B","C","D"},0)))</f>
        <v/>
      </c>
    </row>
    <row r="52" ht="40" customHeight="1">
      <c r="A52" s="11" t="inlineStr">
        <is>
          <t>Set 10</t>
        </is>
      </c>
      <c r="B52" s="11" t="inlineStr">
        <is>
          <t>Q1</t>
        </is>
      </c>
      <c r="C52" s="7" t="inlineStr">
        <is>
          <t>Self-Awareness</t>
        </is>
      </c>
      <c r="D52" s="7" t="inlineStr">
        <is>
          <t>Looking back at your career so far, you realise a pattern of leaving roles right when they start to feel genuinely challenging. What's the honest insight?</t>
        </is>
      </c>
      <c r="E52" s="7" t="inlineStr">
        <is>
          <t>A) Ignore the pattern since each situation felt different at the time.</t>
        </is>
      </c>
      <c r="F52" s="7" t="inlineStr">
        <is>
          <t>B) Recognise this might be a pattern of avoiding discomfort rather than genuine misfit, and examine it honestly before any future move.</t>
        </is>
      </c>
      <c r="G52" s="7" t="inlineStr">
        <is>
          <t>C) Assume every previous role was simply the wrong fit.</t>
        </is>
      </c>
      <c r="H52" s="7" t="inlineStr">
        <is>
          <t>D) Decide this just means you get bored easily and that's your nature.</t>
        </is>
      </c>
      <c r="I52" s="12" t="n">
        <v>2</v>
      </c>
      <c r="J52" s="12" t="n">
        <v>4</v>
      </c>
      <c r="K52" s="12" t="n">
        <v>2</v>
      </c>
      <c r="L52" s="12" t="n">
        <v>3</v>
      </c>
      <c r="M52" s="10" t="n"/>
      <c r="N52">
        <f>IF(M52="",0,INDEX(I52:L52,1,MATCH(M52,{"A","B","C","D"},0)))</f>
        <v/>
      </c>
    </row>
    <row r="53" ht="40" customHeight="1">
      <c r="A53" s="11" t="inlineStr">
        <is>
          <t>Set 10</t>
        </is>
      </c>
      <c r="B53" s="11" t="inlineStr">
        <is>
          <t>Q2</t>
        </is>
      </c>
      <c r="C53" s="7" t="inlineStr">
        <is>
          <t>Self-Regulation</t>
        </is>
      </c>
      <c r="D53" s="7" t="inlineStr">
        <is>
          <t>You're informed your compensation is below market rate for your role after doing your own research, and it stings more than expected. What's your approach?</t>
        </is>
      </c>
      <c r="E53" s="7" t="inlineStr">
        <is>
          <t>A) Bring it up immediately and emotionally in an unplanned conversation with your manager.</t>
        </is>
      </c>
      <c r="F53" s="7" t="inlineStr">
        <is>
          <t>B) Say nothing and let quiet resentment build over time.</t>
        </is>
      </c>
      <c r="G53" s="7" t="inlineStr">
        <is>
          <t>C) Process the frustration first, then prepare a clear, well-researched case for a structured compensation conversation.</t>
        </is>
      </c>
      <c r="H53" s="7" t="inlineStr">
        <is>
          <t>D) Vent about it to colleagues instead of raising it with your manager.</t>
        </is>
      </c>
      <c r="I53" s="12" t="n">
        <v>2</v>
      </c>
      <c r="J53" s="12" t="n">
        <v>3</v>
      </c>
      <c r="K53" s="12" t="n">
        <v>4</v>
      </c>
      <c r="L53" s="12" t="n">
        <v>3</v>
      </c>
      <c r="M53" s="10" t="n"/>
      <c r="N53">
        <f>IF(M53="",0,INDEX(I53:L53,1,MATCH(M53,{"A","B","C","D"},0)))</f>
        <v/>
      </c>
    </row>
    <row r="54" ht="40" customHeight="1">
      <c r="A54" s="11" t="inlineStr">
        <is>
          <t>Set 10</t>
        </is>
      </c>
      <c r="B54" s="11" t="inlineStr">
        <is>
          <t>Q3</t>
        </is>
      </c>
      <c r="C54" s="7" t="inlineStr">
        <is>
          <t>Motivation / Resilience</t>
        </is>
      </c>
      <c r="D54" s="7" t="inlineStr">
        <is>
          <t>At this stage of your career, you're seriously weighing whether to start over in a field you're passionate about but have no track record in. What's your approach?</t>
        </is>
      </c>
      <c r="E54" s="7" t="inlineStr">
        <is>
          <t>A) Dismiss the idea entirely as impractical given your seniority and financial responsibilities.</t>
        </is>
      </c>
      <c r="F54" s="7" t="inlineStr">
        <is>
          <t>B) Make the leap immediately based purely on excitement, without a transition plan.</t>
        </is>
      </c>
      <c r="G54" s="7" t="inlineStr">
        <is>
          <t>C) Stay purely out of fear of starting over, without honestly weighing the alternative.</t>
        </is>
      </c>
      <c r="H54" s="7" t="inlineStr">
        <is>
          <t>D) Explore it deliberately and realistically - financially, through small experiments - before committing fully either way.</t>
        </is>
      </c>
      <c r="I54" s="12" t="n">
        <v>2</v>
      </c>
      <c r="J54" s="12" t="n">
        <v>3</v>
      </c>
      <c r="K54" s="12" t="n">
        <v>2</v>
      </c>
      <c r="L54" s="12" t="n">
        <v>4</v>
      </c>
      <c r="M54" s="10" t="n"/>
      <c r="N54">
        <f>IF(M54="",0,INDEX(I54:L54,1,MATCH(M54,{"A","B","C","D"},0)))</f>
        <v/>
      </c>
    </row>
    <row r="55" ht="40" customHeight="1">
      <c r="A55" s="11" t="inlineStr">
        <is>
          <t>Set 10</t>
        </is>
      </c>
      <c r="B55" s="11" t="inlineStr">
        <is>
          <t>Q4</t>
        </is>
      </c>
      <c r="C55" s="7" t="inlineStr">
        <is>
          <t>Empathy</t>
        </is>
      </c>
      <c r="D55" s="7" t="inlineStr">
        <is>
          <t>A member of your leadership team is clearly exhausted and stretched thin, but the organisation genuinely needs them right now. What's your approach?</t>
        </is>
      </c>
      <c r="E55" s="7" t="inlineStr">
        <is>
          <t>A) Have an honest conversation about sustainable pace, and problem-solve together on what support or redistribution is possible.</t>
        </is>
      </c>
      <c r="F55" s="7" t="inlineStr">
        <is>
          <t>B) Avoid the topic to prevent them from feeling like they're underperforming.</t>
        </is>
      </c>
      <c r="G55" s="7" t="inlineStr">
        <is>
          <t>C) Push them to continue at the same pace since the business need is real.</t>
        </is>
      </c>
      <c r="H55" s="7" t="inlineStr">
        <is>
          <t>D) Acknowledge their exhaustion but don't change anything about their workload.</t>
        </is>
      </c>
      <c r="I55" s="12" t="n">
        <v>4</v>
      </c>
      <c r="J55" s="12" t="n">
        <v>3</v>
      </c>
      <c r="K55" s="12" t="n">
        <v>2</v>
      </c>
      <c r="L55" s="12" t="n">
        <v>3</v>
      </c>
      <c r="M55" s="10" t="n"/>
      <c r="N55">
        <f>IF(M55="",0,INDEX(I55:L55,1,MATCH(M55,{"A","B","C","D"},0)))</f>
        <v/>
      </c>
    </row>
    <row r="56" ht="40" customHeight="1">
      <c r="A56" s="11" t="inlineStr">
        <is>
          <t>Set 10</t>
        </is>
      </c>
      <c r="B56" s="11" t="inlineStr">
        <is>
          <t>Q5</t>
        </is>
      </c>
      <c r="C56" s="7" t="inlineStr">
        <is>
          <t>Relationship Management</t>
        </is>
      </c>
      <c r="D56" s="7" t="inlineStr">
        <is>
          <t>As you consider a major career pivot, you need to have an honest conversation with your family about the financial and lifestyle implications. How do you approach it?</t>
        </is>
      </c>
      <c r="E56" s="7" t="inlineStr">
        <is>
          <t>A) Make the decision unilaterally and inform your family afterward.</t>
        </is>
      </c>
      <c r="F56" s="7" t="inlineStr">
        <is>
          <t>B) Share your thinking openly and early, genuinely inviting their concerns into the decision-making process.</t>
        </is>
      </c>
      <c r="G56" s="7" t="inlineStr">
        <is>
          <t>C) Avoid the conversation until the decision is already effectively made.</t>
        </is>
      </c>
      <c r="H56" s="7" t="inlineStr">
        <is>
          <t>D) Downplay the risks involved to avoid worrying them.</t>
        </is>
      </c>
      <c r="I56" s="12" t="n">
        <v>2</v>
      </c>
      <c r="J56" s="12" t="n">
        <v>4</v>
      </c>
      <c r="K56" s="12" t="n">
        <v>2</v>
      </c>
      <c r="L56" s="12" t="n">
        <v>3</v>
      </c>
      <c r="M56" s="10" t="n"/>
      <c r="N56">
        <f>IF(M56="",0,INDEX(I56:L56,1,MATCH(M56,{"A","B","C","D"},0)))</f>
        <v/>
      </c>
    </row>
    <row r="58" ht="20" customHeight="1">
      <c r="A58" s="13" t="inlineStr">
        <is>
          <t>YOUR EI PROFILE FOR THE SELECTED SET</t>
        </is>
      </c>
    </row>
    <row r="59">
      <c r="A59" s="14" t="inlineStr">
        <is>
          <t>EI Domain</t>
        </is>
      </c>
      <c r="B59" s="14" t="inlineStr">
        <is>
          <t>Your Response Quality</t>
        </is>
      </c>
      <c r="C59" s="14" t="inlineStr">
        <is>
          <t>Score</t>
        </is>
      </c>
    </row>
    <row r="60">
      <c r="A60" s="5" t="inlineStr">
        <is>
          <t>Self-Awareness</t>
        </is>
      </c>
      <c r="B60" s="15">
        <f>IF($C$60=0,"Not answered yet",IF($C$60=4,"High",IF($C$60=3,"Moderate",IF($C$60=2,"Low","Negative"))))</f>
        <v/>
      </c>
      <c r="C60" s="15">
        <f>SUMPRODUCT(($A$7:$A$56=$B$4)*($C$7:$C$56="Self-Awareness")*$N$7:$N$56)</f>
        <v/>
      </c>
    </row>
    <row r="61">
      <c r="A61" s="5" t="inlineStr">
        <is>
          <t>Self-Regulation</t>
        </is>
      </c>
      <c r="B61" s="15">
        <f>IF($C$61=0,"Not answered yet",IF($C$61=4,"High",IF($C$61=3,"Moderate",IF($C$61=2,"Low","Negative"))))</f>
        <v/>
      </c>
      <c r="C61" s="15">
        <f>SUMPRODUCT(($A$7:$A$56=$B$4)*($C$7:$C$56="Self-Regulation")*$N$7:$N$56)</f>
        <v/>
      </c>
    </row>
    <row r="62">
      <c r="A62" s="5" t="inlineStr">
        <is>
          <t>Motivation / Resilience</t>
        </is>
      </c>
      <c r="B62" s="15">
        <f>IF($C$62=0,"Not answered yet",IF($C$62=4,"High",IF($C$62=3,"Moderate",IF($C$62=2,"Low","Negative"))))</f>
        <v/>
      </c>
      <c r="C62" s="15">
        <f>SUMPRODUCT(($A$7:$A$56=$B$4)*($C$7:$C$56="Motivation / Resilience")*$N$7:$N$56)</f>
        <v/>
      </c>
    </row>
    <row r="63">
      <c r="A63" s="5" t="inlineStr">
        <is>
          <t>Empathy</t>
        </is>
      </c>
      <c r="B63" s="15">
        <f>IF($C$63=0,"Not answered yet",IF($C$63=4,"High",IF($C$63=3,"Moderate",IF($C$63=2,"Low","Negative"))))</f>
        <v/>
      </c>
      <c r="C63" s="15">
        <f>SUMPRODUCT(($A$7:$A$56=$B$4)*($C$7:$C$56="Empathy")*$N$7:$N$56)</f>
        <v/>
      </c>
    </row>
    <row r="64">
      <c r="A64" s="5" t="inlineStr">
        <is>
          <t>Relationship Management</t>
        </is>
      </c>
      <c r="B64" s="15">
        <f>IF($C$64=0,"Not answered yet",IF($C$64=4,"High",IF($C$64=3,"Moderate",IF($C$64=2,"Low","Negative"))))</f>
        <v/>
      </c>
      <c r="C64" s="15">
        <f>SUMPRODUCT(($A$7:$A$56=$B$4)*($C$7:$C$56="Relationship Management")*$N$7:$N$56)</f>
        <v/>
      </c>
    </row>
    <row r="66" ht="20" customHeight="1">
      <c r="A66" s="16" t="inlineStr">
        <is>
          <t>QUICK SUMMARY</t>
        </is>
      </c>
    </row>
    <row r="67">
      <c r="A67" s="9" t="inlineStr">
        <is>
          <t>Strongest domain (this set):</t>
        </is>
      </c>
      <c r="B67" s="17">
        <f>IFERROR(INDEX($A$60:$A$64,MATCH(MAX($C$60:$C$64),$C$60:$C$64,0)),"Answer all 5 first")</f>
        <v/>
      </c>
    </row>
    <row r="68">
      <c r="A68" s="9" t="inlineStr">
        <is>
          <t>Growth area (this set):</t>
        </is>
      </c>
      <c r="B68" s="18">
        <f>IFERROR(INDEX($A$60:$A$64,MATCH(MIN($C$60:$C$64),$C$60:$C$64,0)),"Answer all 5 first")</f>
        <v/>
      </c>
    </row>
    <row r="70">
      <c r="A70" s="19" t="inlineStr">
        <is>
          <t>Note: this reflects ONE set (5 questions = 1 per domain), so treat it as a first read, not a verdict. Try another set on a different day and see what stays consistent.</t>
        </is>
      </c>
    </row>
  </sheetData>
  <mergeCells count="8">
    <mergeCell ref="B68:C68"/>
    <mergeCell ref="A66:C66"/>
    <mergeCell ref="A1:M1"/>
    <mergeCell ref="B67:C67"/>
    <mergeCell ref="A70:F70"/>
    <mergeCell ref="C4:H4"/>
    <mergeCell ref="A58:E58"/>
    <mergeCell ref="A2:M2"/>
  </mergeCells>
  <dataValidations count="2">
    <dataValidation sqref="B4" showDropDown="0" showInputMessage="0" showErrorMessage="1" allowBlank="0" type="list">
      <formula1>"Set 1,Set 2,Set 3,Set 4,Set 5,Set 6,Set 7,Set 8,Set 9,Set 10"</formula1>
    </dataValidation>
    <dataValidation sqref="M7 M8 M9 M10 M11 M12 M13 M14 M15 M16 M17 M18 M19 M20 M21 M22 M23 M24 M25 M26 M27 M28 M29 M30 M31 M32 M33 M34 M35 M36 M37 M38 M39 M40 M41 M42 M43 M44 M45 M46 M47 M48 M49 M50 M51 M52 M53 M54 M55 M56" showDropDown="0" showInputMessage="0" showErrorMessage="1" allowBlank="1" errorTitle="Invalid entry" error="Please enter A, B, C, or D." type="list">
      <formula1>"A,B,C,D"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2026-07-09T18:35:04Z</dcterms:created>
  <dcterms:modified xmlns:dcterms="http://purl.org/dc/terms/" xmlns:xsi="http://www.w3.org/2001/XMLSchema-instance" xsi:type="dcterms:W3CDTF">2026-07-09T18:35:04Z</dcterms:modified>
</cp:coreProperties>
</file>