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ing logic" sheetId="1" state="visible" r:id="rId3"/>
    <sheet name="Class 6-8" sheetId="2" state="visible" r:id="rId4"/>
    <sheet name="Class 9-10" sheetId="3" state="visible" r:id="rId5"/>
    <sheet name="Class 11-12" sheetId="4" state="visible" r:id="rId6"/>
    <sheet name="Graduates (18-21)" sheetId="5" state="visible" r:id="rId7"/>
    <sheet name="Early Professionals (21-25)" sheetId="6" state="visible" r:id="rId8"/>
    <sheet name="Professionals (35-55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<sst xmlns="http://schemas.openxmlformats.org/spreadsheetml/2006/main" count="2866" uniqueCount="566">
  <si>
    <t xml:space="preserve">Motivator assessment — scoring logic and how to use this workbook</t>
  </si>
  <si>
    <t xml:space="preserve">1. What this measures</t>
  </si>
  <si>
    <t xml:space="preserve">Each tab (Class 6-8, Class 9-10, Class 11-12, Graduates 18-21, Early Professionals 21-25, Professionals 35-55) contains 10 independent question sets. Each set has 5 questions, and each question presents a short, age-appropriate situation with four reaction statements (A-D). Every statement is written to reflect one of four talent/motivator domains, based on the structure used by CliftonStrengths-style forced-choice instruments:</t>
  </si>
  <si>
    <t xml:space="preserve">•  Strategic Thinking — energized by analyzing, researching, and understanding before acting.</t>
  </si>
  <si>
    <t xml:space="preserve">•  Relationship Building — energized by connecting with people, supporting others, and group cohesion.</t>
  </si>
  <si>
    <t xml:space="preserve">•  Influencing — energized by leading, persuading, presenting, and rallying others.</t>
  </si>
  <si>
    <t xml:space="preserve">•  Executing — energized by planning, finishing, and delivering reliably.</t>
  </si>
  <si>
    <t xml:space="preserve">2. Question format — forced choice, most / least</t>
  </si>
  <si>
    <t xml:space="preserve">For every question, the respondent reads all four statements (A-D) and picks the one that is MOST like them and the one that is LEAST like them. This is a forced-choice (ipsative) format, not a rating scale. It is the same underlying method used by CliftonStrengths, the Hogan MVPI, and other instruments that rely on a small, fixed number of categories. Forced choice reduces social desirability bias — with a rating scale, most people rate everything highly because every trait sounds positive, which flattens results, especially over a small number of items.</t>
  </si>
  <si>
    <t xml:space="preserve">3. How to administer</t>
  </si>
  <si>
    <t xml:space="preserve">•  Pick any one set (1-10) from the relevant category tab — every set independently covers all four domains.</t>
  </si>
  <si>
    <t xml:space="preserve">•  For each of the 5 questions in that set, ask the respondent which statement is most like them, and which is least like them.</t>
  </si>
  <si>
    <t xml:space="preserve">•  Enter the corresponding letter (A, B, C or D) in the 'Most (A-D)' and 'Least (A-D)' columns for each question.</t>
  </si>
  <si>
    <t xml:space="preserve">•  Scroll to the scoring summary block below the questions on that tab — the score and top motivator for that set calculate automatically.</t>
  </si>
  <si>
    <t xml:space="preserve">4. How the score is calculated</t>
  </si>
  <si>
    <t xml:space="preserve">Each statement is internally tagged with its domain (columns 'Domain A' to 'Domain D' — these can be hidden from respondents but are kept visible here for transparency and auditing). For every question:</t>
  </si>
  <si>
    <t xml:space="preserve">•  The domain of the 'Most' answer receives +1 point.</t>
  </si>
  <si>
    <t xml:space="preserve">•  The domain of the 'Least' answer receives -1 point.</t>
  </si>
  <si>
    <t xml:space="preserve">•  Across the 5 questions in a set, points for each of the 4 domains are summed.</t>
  </si>
  <si>
    <t xml:space="preserve">•  The domain with the highest total is reported as the 'Top motivator' for that set.</t>
  </si>
  <si>
    <t xml:space="preserve">This is implemented with formulas only (SUMPRODUCT, INDEX/MATCH) — no values are hardcoded, so the sheet recalculates automatically as answers are entered.</t>
  </si>
  <si>
    <t xml:space="preserve">5. Why the option order is shuffled</t>
  </si>
  <si>
    <t xml:space="preserve">The A/B/C/D position of each domain is deliberately randomized per question (not always 'A = Strategic Thinking'), so respondents cannot learn a pattern and answer by position instead of content. The hidden domain-mapping columns let the formulas score correctly regardless of shuffled position.</t>
  </si>
  <si>
    <t xml:space="preserve">6. Why each set is independent and unique</t>
  </si>
  <si>
    <t xml:space="preserve">Within a category, all 50 questions (10 sets x 5 questions) are unique — no scenario or statement repeats. Every single set of 5 questions still touches all four domains, so any one set alone is enough to produce a directional read; you do not need to combine sets. This lets you hand a different, non-overlapping set to each person while still measuring the same four constructs consistently. Content, scenarios, and vocabulary are distinct across all six age categories.</t>
  </si>
  <si>
    <t xml:space="preserve">7. Important limitations — please read before using this professionally</t>
  </si>
  <si>
    <t xml:space="preserve">•  This is a short, unvalidated instrument (5 items per set). It gives a directional signal, not a clinically or psychometrically validated score.</t>
  </si>
  <si>
    <t xml:space="preserve">•  Because it is ipsative (forced-choice), scores reflect relative priority within one person, not an absolute level that can be validly compared across different people.</t>
  </si>
  <si>
    <t xml:space="preserve">•  Use it as a conversation starter in career counselling, not as a standalone hiring or diagnostic decision.</t>
  </si>
  <si>
    <t xml:space="preserve">8. Tabs in this workbook</t>
  </si>
  <si>
    <t xml:space="preserve">•  Class 6-8, Class 9-10, Class 11-12 — school-context scenarios (classroom, group projects, friends, exams).</t>
  </si>
  <si>
    <t xml:space="preserve">•  Graduates (18-21) — college, majors, internships, placements.</t>
  </si>
  <si>
    <t xml:space="preserve">•  Early Professionals (21-25) — first jobs, onboarding, team projects, reviews.</t>
  </si>
  <si>
    <t xml:space="preserve">•  Professionals (35-55) — leadership, strategy, mentoring, organizational impact.</t>
  </si>
  <si>
    <t xml:space="preserve">Set</t>
  </si>
  <si>
    <t xml:space="preserve">Q</t>
  </si>
  <si>
    <t xml:space="preserve">Situation</t>
  </si>
  <si>
    <t xml:space="preserve">Option A</t>
  </si>
  <si>
    <t xml:space="preserve">Option B</t>
  </si>
  <si>
    <t xml:space="preserve">Option C</t>
  </si>
  <si>
    <t xml:space="preserve">Option D</t>
  </si>
  <si>
    <t xml:space="preserve">Domain A</t>
  </si>
  <si>
    <t xml:space="preserve">Domain B</t>
  </si>
  <si>
    <t xml:space="preserve">Domain C</t>
  </si>
  <si>
    <t xml:space="preserve">Domain D</t>
  </si>
  <si>
    <t xml:space="preserve">Most (A-D)</t>
  </si>
  <si>
    <t xml:space="preserve">Least (A-D)</t>
  </si>
  <si>
    <t xml:space="preserve">Most domain</t>
  </si>
  <si>
    <t xml:space="preserve">Least domain</t>
  </si>
  <si>
    <t xml:space="preserve">Your teacher gives the class a surprise project.</t>
  </si>
  <si>
    <t xml:space="preserve">You'd rather do it together with your friends</t>
  </si>
  <si>
    <t xml:space="preserve">You like figuring out how it works before touching anything</t>
  </si>
  <si>
    <t xml:space="preserve">You raise your hand first to share your opinion</t>
  </si>
  <si>
    <t xml:space="preserve">You keep track of what's left to do</t>
  </si>
  <si>
    <t xml:space="preserve">RB</t>
  </si>
  <si>
    <t xml:space="preserve">ST</t>
  </si>
  <si>
    <t xml:space="preserve">IN</t>
  </si>
  <si>
    <t xml:space="preserve">EX</t>
  </si>
  <si>
    <t xml:space="preserve">You get free time during a school break.</t>
  </si>
  <si>
    <t xml:space="preserve">You enjoy the feeling of handing in finished work</t>
  </si>
  <si>
    <t xml:space="preserve">You want to understand the puzzle fully first</t>
  </si>
  <si>
    <t xml:space="preserve">You enjoy getting others excited about your idea</t>
  </si>
  <si>
    <t xml:space="preserve">You enjoy helping a classmate who is stuck</t>
  </si>
  <si>
    <t xml:space="preserve">Your team is picked for a school competition.</t>
  </si>
  <si>
    <t xml:space="preserve">You naturally take charge when no one else does</t>
  </si>
  <si>
    <t xml:space="preserve">You ask your friends what they think first</t>
  </si>
  <si>
    <t xml:space="preserve">You make sure every part is properly done before moving on</t>
  </si>
  <si>
    <t xml:space="preserve">You start asking a lot of 'why' questions</t>
  </si>
  <si>
    <t xml:space="preserve">You're asked to help decorate the classroom for a festival.</t>
  </si>
  <si>
    <t xml:space="preserve">You enjoy spotting the pattern hidden in it</t>
  </si>
  <si>
    <t xml:space="preserve">You just want to get started and finish it</t>
  </si>
  <si>
    <t xml:space="preserve">You like presenting in front of the class</t>
  </si>
  <si>
    <t xml:space="preserve">You feel happiest when the group gets along</t>
  </si>
  <si>
    <t xml:space="preserve">A new student joins your class.</t>
  </si>
  <si>
    <t xml:space="preserve">You enjoy motivating your team when they feel low</t>
  </si>
  <si>
    <t xml:space="preserve">You like ticking things off your to-do list</t>
  </si>
  <si>
    <t xml:space="preserve">You'd rather think it through quietly first</t>
  </si>
  <si>
    <t xml:space="preserve">You like making sure no one is left out</t>
  </si>
  <si>
    <t xml:space="preserve">Your group has to build a science model.</t>
  </si>
  <si>
    <t xml:space="preserve">You get curious about the reason behind it</t>
  </si>
  <si>
    <t xml:space="preserve">You'd rather talk it through with someone than alone</t>
  </si>
  <si>
    <t xml:space="preserve">You keep working until the task is fully done</t>
  </si>
  <si>
    <t xml:space="preserve">You speak up and tell others what to do</t>
  </si>
  <si>
    <t xml:space="preserve">You get a tricky riddle from a friend.</t>
  </si>
  <si>
    <t xml:space="preserve">You notice when a friend seems upset and check on them</t>
  </si>
  <si>
    <t xml:space="preserve">You like connecting it to something you learned before</t>
  </si>
  <si>
    <t xml:space="preserve">You organize your things before starting</t>
  </si>
  <si>
    <t xml:space="preserve">You like being the one who explains it to the class</t>
  </si>
  <si>
    <t xml:space="preserve">Your class is planning the annual day performance.</t>
  </si>
  <si>
    <t xml:space="preserve">You try to convince your friends to try your idea</t>
  </si>
  <si>
    <t xml:space="preserve">You feel best when everything is completed on time</t>
  </si>
  <si>
    <t xml:space="preserve">You enjoy sharing the experience with others</t>
  </si>
  <si>
    <t xml:space="preserve">You want to explore different ways to solve it</t>
  </si>
  <si>
    <t xml:space="preserve">You're given extra time before an exam.</t>
  </si>
  <si>
    <t xml:space="preserve">You follow the steps carefully one by one</t>
  </si>
  <si>
    <t xml:space="preserve">You check if your friends are doing okay with it too</t>
  </si>
  <si>
    <t xml:space="preserve">You enjoy imagining how it could be done differently</t>
  </si>
  <si>
    <t xml:space="preserve">You enjoy leading the group and giving directions</t>
  </si>
  <si>
    <t xml:space="preserve">Your friend is struggling with homework.</t>
  </si>
  <si>
    <t xml:space="preserve">You like being picked to represent your team</t>
  </si>
  <si>
    <t xml:space="preserve">You like practicing until you get it right</t>
  </si>
  <si>
    <t xml:space="preserve">You like working it out in your head before writing anything</t>
  </si>
  <si>
    <t xml:space="preserve">You want everyone in the group to feel included</t>
  </si>
  <si>
    <t xml:space="preserve">Your class is assigned to clean and organize the library.</t>
  </si>
  <si>
    <t xml:space="preserve">You win a small prize in a school quiz.</t>
  </si>
  <si>
    <t xml:space="preserve">Your best friend moves to another school.</t>
  </si>
  <si>
    <t xml:space="preserve">The teacher asks who wants to be class monitor.</t>
  </si>
  <si>
    <t xml:space="preserve">Your group has to make a poster for Independence Day.</t>
  </si>
  <si>
    <t xml:space="preserve">You are given a puzzle box to solve alone.</t>
  </si>
  <si>
    <t xml:space="preserve">Your team loses a friendly match.</t>
  </si>
  <si>
    <t xml:space="preserve">A younger student asks you for help with homework.</t>
  </si>
  <si>
    <t xml:space="preserve">You are chosen to represent your class in an inter-school event.</t>
  </si>
  <si>
    <t xml:space="preserve">Your class has a free reading period.</t>
  </si>
  <si>
    <t xml:space="preserve">You get to plan a class trip.</t>
  </si>
  <si>
    <t xml:space="preserve">Your group needs to build a volcano model for science.</t>
  </si>
  <si>
    <t xml:space="preserve">You are asked to explain a math problem to the class.</t>
  </si>
  <si>
    <t xml:space="preserve">There's a talent show coming up at school.</t>
  </si>
  <si>
    <t xml:space="preserve">Your friend group can't agree on a game to play.</t>
  </si>
  <si>
    <t xml:space="preserve">You have to finish an art project by tomorrow.</t>
  </si>
  <si>
    <t xml:space="preserve">Your teacher asks for one volunteer to organize the shelf.</t>
  </si>
  <si>
    <t xml:space="preserve">You find a broken toy and want to fix it.</t>
  </si>
  <si>
    <t xml:space="preserve">Your class is split into teams for a quiz contest.</t>
  </si>
  <si>
    <t xml:space="preserve">You are given a map and asked to find the way.</t>
  </si>
  <si>
    <t xml:space="preserve">A classmate is being left out during lunch.</t>
  </si>
  <si>
    <t xml:space="preserve">You get to choose your own topic for a project.</t>
  </si>
  <si>
    <t xml:space="preserve">Your team needs a captain for the sports day relay.</t>
  </si>
  <si>
    <t xml:space="preserve">You are stuck on a hard level in a game.</t>
  </si>
  <si>
    <t xml:space="preserve">Your class is planning a surprise for the teacher's birthday.</t>
  </si>
  <si>
    <t xml:space="preserve">You have a whole weekend with nothing planned.</t>
  </si>
  <si>
    <t xml:space="preserve">You are asked to review your friend's essay.</t>
  </si>
  <si>
    <t xml:space="preserve">Your group has different opinions about the project design.</t>
  </si>
  <si>
    <t xml:space="preserve">You get an extra credit assignment that's optional.</t>
  </si>
  <si>
    <t xml:space="preserve">Your class is asked to plant trees for a green day event.</t>
  </si>
  <si>
    <t xml:space="preserve">You are given a new gadget you've never used.</t>
  </si>
  <si>
    <t xml:space="preserve">Your team is behind schedule on the group project.</t>
  </si>
  <si>
    <t xml:space="preserve">You are asked to be the timekeeper during a class activity.</t>
  </si>
  <si>
    <t xml:space="preserve">Your friend wants advice before a big test.</t>
  </si>
  <si>
    <t xml:space="preserve">You get to design the class notice board.</t>
  </si>
  <si>
    <t xml:space="preserve">Your group is asked to solve a mystery-style puzzle game.</t>
  </si>
  <si>
    <t xml:space="preserve">You are picked to greet visitors on parents' day.</t>
  </si>
  <si>
    <t xml:space="preserve">Your class is asked to debate a topic you know little about.</t>
  </si>
  <si>
    <t xml:space="preserve">You get a chance to teach a skill to your classmates.</t>
  </si>
  <si>
    <t xml:space="preserve">Your team wins first place in a competition.</t>
  </si>
  <si>
    <t xml:space="preserve">Scoring summary — fill Most / Least above for each question, then read results below</t>
  </si>
  <si>
    <t xml:space="preserve">Strategic Thinking</t>
  </si>
  <si>
    <t xml:space="preserve">Relationship Building</t>
  </si>
  <si>
    <t xml:space="preserve">Influencing</t>
  </si>
  <si>
    <t xml:space="preserve">Executing</t>
  </si>
  <si>
    <t xml:space="preserve">Top motivator</t>
  </si>
  <si>
    <t xml:space="preserve">You have to choose optional subjects for the next academic year.</t>
  </si>
  <si>
    <t xml:space="preserve">You track what's left to complete</t>
  </si>
  <si>
    <t xml:space="preserve">You want to understand the reasoning before deciding</t>
  </si>
  <si>
    <t xml:space="preserve">You raise your hand to share ideas early</t>
  </si>
  <si>
    <t xml:space="preserve">You'd rather work through it together with others</t>
  </si>
  <si>
    <t xml:space="preserve">Your group is assigned a project with a tight deadline.</t>
  </si>
  <si>
    <t xml:space="preserve">You offer to help a friend who's struggling</t>
  </si>
  <si>
    <t xml:space="preserve">You research different options before picking one</t>
  </si>
  <si>
    <t xml:space="preserve">You enjoy the satisfaction of handing in finished work</t>
  </si>
  <si>
    <t xml:space="preserve">You like getting others excited about your plan</t>
  </si>
  <si>
    <t xml:space="preserve">You score unexpectedly low in a test.</t>
  </si>
  <si>
    <t xml:space="preserve">You ask others for their opinion before deciding</t>
  </si>
  <si>
    <t xml:space="preserve">You naturally step up when no one else does</t>
  </si>
  <si>
    <t xml:space="preserve">You enjoy digging into the details others skip</t>
  </si>
  <si>
    <t xml:space="preserve">You double-check every part before calling it done</t>
  </si>
  <si>
    <t xml:space="preserve">Your friend asks for help before the board exam.</t>
  </si>
  <si>
    <t xml:space="preserve">You enjoy public speaking opportunities</t>
  </si>
  <si>
    <t xml:space="preserve">You think through the pros and cons carefully first</t>
  </si>
  <si>
    <t xml:space="preserve">You care most about the group staying united</t>
  </si>
  <si>
    <t xml:space="preserve">You are picked to lead the school's annual fest committee.</t>
  </si>
  <si>
    <t xml:space="preserve">You get curious about the 'why' behind it</t>
  </si>
  <si>
    <t xml:space="preserve">You make sure quieter group members are heard</t>
  </si>
  <si>
    <t xml:space="preserve">You like checking things off a clear plan</t>
  </si>
  <si>
    <t xml:space="preserve">You like motivating your team when energy is low</t>
  </si>
  <si>
    <t xml:space="preserve">A teacher asks the class to debate a current issue.</t>
  </si>
  <si>
    <t xml:space="preserve">You speak up and share your opinion first</t>
  </si>
  <si>
    <t xml:space="preserve">You keep working steadily until it's done</t>
  </si>
  <si>
    <t xml:space="preserve">You like connecting it to something you studied before</t>
  </si>
  <si>
    <t xml:space="preserve">You'd rather discuss it with someone than figure it out alone</t>
  </si>
  <si>
    <t xml:space="preserve">You get free time during exam prep leave.</t>
  </si>
  <si>
    <t xml:space="preserve">You like being the one who presents to the class</t>
  </si>
  <si>
    <t xml:space="preserve">You organize your materials before starting</t>
  </si>
  <si>
    <t xml:space="preserve">You notice when a friend seems stressed and check on them</t>
  </si>
  <si>
    <t xml:space="preserve">You prefer analyzing it quietly before acting</t>
  </si>
  <si>
    <t xml:space="preserve">Your team is behind in a school hackathon-style event.</t>
  </si>
  <si>
    <t xml:space="preserve">You enjoy sharing the experience with your friend group</t>
  </si>
  <si>
    <t xml:space="preserve">You enjoy spotting patterns others might miss</t>
  </si>
  <si>
    <t xml:space="preserve">You try to convince others to see it your way</t>
  </si>
  <si>
    <t xml:space="preserve">You feel best when everything is submitted on time</t>
  </si>
  <si>
    <t xml:space="preserve">You have to give a class presentation on a new topic.</t>
  </si>
  <si>
    <t xml:space="preserve">You want to explore multiple approaches before choosing</t>
  </si>
  <si>
    <t xml:space="preserve">You naturally take the lead in group discussions</t>
  </si>
  <si>
    <t xml:space="preserve">You follow a structured process step by step</t>
  </si>
  <si>
    <t xml:space="preserve">You check in on how your friends are handling it</t>
  </si>
  <si>
    <t xml:space="preserve">Your class is asked to plan a farewell for seniors.</t>
  </si>
  <si>
    <t xml:space="preserve">You like working through the logic on your own first</t>
  </si>
  <si>
    <t xml:space="preserve">You enjoy being chosen to represent the group</t>
  </si>
  <si>
    <t xml:space="preserve">You keep practicing until you get it right</t>
  </si>
  <si>
    <t xml:space="preserve">You want everyone in the group to feel comfortable</t>
  </si>
  <si>
    <t xml:space="preserve">You're given a choice between two extracurricular clubs.</t>
  </si>
  <si>
    <t xml:space="preserve">Your group disagrees on how to approach a school project.</t>
  </si>
  <si>
    <t xml:space="preserve">You're asked to represent your school in an inter-school quiz.</t>
  </si>
  <si>
    <t xml:space="preserve">You find a subject unexpectedly difficult this term.</t>
  </si>
  <si>
    <t xml:space="preserve">Your friend group is deciding what to do over the weekend.</t>
  </si>
  <si>
    <t xml:space="preserve">You are asked to mentor a junior student.</t>
  </si>
  <si>
    <t xml:space="preserve">Your team needs someone to coordinate a group study session.</t>
  </si>
  <si>
    <t xml:space="preserve">You get an opportunity to join a coding or robotics club.</t>
  </si>
  <si>
    <t xml:space="preserve">Your class is asked to organize a charity drive.</t>
  </si>
  <si>
    <t xml:space="preserve">You have to prepare for an unexpected pop quiz.</t>
  </si>
  <si>
    <t xml:space="preserve">Your group project partner isn't contributing equally.</t>
  </si>
  <si>
    <t xml:space="preserve">You're asked to pick a topic for your science exhibition.</t>
  </si>
  <si>
    <t xml:space="preserve">Your school announces a debate competition.</t>
  </si>
  <si>
    <t xml:space="preserve">You have a free period with no assignments due.</t>
  </si>
  <si>
    <t xml:space="preserve">Your class is asked to vote for a student council leader.</t>
  </si>
  <si>
    <t xml:space="preserve">You're given feedback that your essay needs improvement.</t>
  </si>
  <si>
    <t xml:space="preserve">Your team is assigned to organize the sports day events.</t>
  </si>
  <si>
    <t xml:space="preserve">You discover a new hobby you're curious about.</t>
  </si>
  <si>
    <t xml:space="preserve">Your friend is nervous about an upcoming exam.</t>
  </si>
  <si>
    <t xml:space="preserve">You're asked to help set up for the school's tech fest.</t>
  </si>
  <si>
    <t xml:space="preserve">Your class has to choose a theme for the annual magazine.</t>
  </si>
  <si>
    <t xml:space="preserve">You get an unexpected extra assignment before a holiday.</t>
  </si>
  <si>
    <t xml:space="preserve">Your group needs to divide tasks for a big project.</t>
  </si>
  <si>
    <t xml:space="preserve">You are asked to give feedback on a classmate's presentation.</t>
  </si>
  <si>
    <t xml:space="preserve">Your school offers an elective you've never tried before.</t>
  </si>
  <si>
    <t xml:space="preserve">You have to decide between studying alone or in a group.</t>
  </si>
  <si>
    <t xml:space="preserve">Your team loses an inter-house competition.</t>
  </si>
  <si>
    <t xml:space="preserve">You're asked to organize a study timetable for your group.</t>
  </si>
  <si>
    <t xml:space="preserve">A friend asks your opinion on which stream to choose after 10th.</t>
  </si>
  <si>
    <t xml:space="preserve">Your class is assigned a group debate on a tough topic.</t>
  </si>
  <si>
    <t xml:space="preserve">You get selected for the school's quiz bowl team.</t>
  </si>
  <si>
    <t xml:space="preserve">Your group project needs a final presenter.</t>
  </si>
  <si>
    <t xml:space="preserve">You're asked to help plan the school's sports day schedule.</t>
  </si>
  <si>
    <t xml:space="preserve">Your friend circle is deciding on a new group activity.</t>
  </si>
  <si>
    <t xml:space="preserve">You have to submit a project a day before the deadline.</t>
  </si>
  <si>
    <t xml:space="preserve">Your class is asked to research a topic they know nothing about.</t>
  </si>
  <si>
    <t xml:space="preserve">You're given a leadership role in a class activity by mistake.</t>
  </si>
  <si>
    <t xml:space="preserve">Your team needs to recover after a poor group project grade.</t>
  </si>
  <si>
    <t xml:space="preserve">You're asked what career path interests you for the first time.</t>
  </si>
  <si>
    <t xml:space="preserve">Your class wins recognition for a group effort.</t>
  </si>
  <si>
    <t xml:space="preserve">You're deciding which stream or subject combination to pursue.</t>
  </si>
  <si>
    <t xml:space="preserve">You're quick to share ideas in a discussion</t>
  </si>
  <si>
    <t xml:space="preserve">You want to weigh every option carefully before deciding</t>
  </si>
  <si>
    <t xml:space="preserve">You track progress closely against a plan</t>
  </si>
  <si>
    <t xml:space="preserve">You'd rather work through it collaboratively</t>
  </si>
  <si>
    <t xml:space="preserve">Your group is assigned a research-based project.</t>
  </si>
  <si>
    <t xml:space="preserve">You offer to help a friend who's under pressure</t>
  </si>
  <si>
    <t xml:space="preserve">You like rallying others around your plan</t>
  </si>
  <si>
    <t xml:space="preserve">You research thoroughly before committing to a choice</t>
  </si>
  <si>
    <t xml:space="preserve">You enjoy the feeling of submitting finished, polished work</t>
  </si>
  <si>
    <t xml:space="preserve">You're preparing for a competitive entrance exam.</t>
  </si>
  <si>
    <t xml:space="preserve">You naturally step up when leadership is needed</t>
  </si>
  <si>
    <t xml:space="preserve">You double-check every detail before calling it complete</t>
  </si>
  <si>
    <t xml:space="preserve">You ask others for input before deciding</t>
  </si>
  <si>
    <t xml:space="preserve">You enjoy digging into the deeper reasoning behind a decision</t>
  </si>
  <si>
    <t xml:space="preserve">Your friend asks for advice on picking a career path.</t>
  </si>
  <si>
    <t xml:space="preserve">You just want to get moving and finish it</t>
  </si>
  <si>
    <t xml:space="preserve">You map out the long-term implications first</t>
  </si>
  <si>
    <t xml:space="preserve">You enjoy opportunities to speak in front of others</t>
  </si>
  <si>
    <t xml:space="preserve">You care most about keeping the group connected</t>
  </si>
  <si>
    <t xml:space="preserve">You're offered a leadership role in a school club.</t>
  </si>
  <si>
    <t xml:space="preserve">You make sure everyone's voice is included</t>
  </si>
  <si>
    <t xml:space="preserve">You like motivating the team when morale dips</t>
  </si>
  <si>
    <t xml:space="preserve">You get curious about how different fields connect</t>
  </si>
  <si>
    <t xml:space="preserve">You like working off a clear, structured plan</t>
  </si>
  <si>
    <t xml:space="preserve">Your group disagrees on the direction for a project.</t>
  </si>
  <si>
    <t xml:space="preserve">You speak up and share your perspective early</t>
  </si>
  <si>
    <t xml:space="preserve">You'd rather talk it through with someone you trust</t>
  </si>
  <si>
    <t xml:space="preserve">You keep pushing steadily until it's complete</t>
  </si>
  <si>
    <t xml:space="preserve">You like building a mental model before acting</t>
  </si>
  <si>
    <t xml:space="preserve">You get free time between two major exams.</t>
  </si>
  <si>
    <t xml:space="preserve">You organize everything before you start</t>
  </si>
  <si>
    <t xml:space="preserve">You like being the one who presents the final call</t>
  </si>
  <si>
    <t xml:space="preserve">You notice when a friend is struggling and reach out</t>
  </si>
  <si>
    <t xml:space="preserve">You prefer analyzing quietly before speaking up</t>
  </si>
  <si>
    <t xml:space="preserve">You're asked to organize a college fair for your school.</t>
  </si>
  <si>
    <t xml:space="preserve">You try to persuade others toward your viewpoint</t>
  </si>
  <si>
    <t xml:space="preserve">You enjoy spotting patterns others might overlook</t>
  </si>
  <si>
    <t xml:space="preserve">You feel most satisfied when things are done on time</t>
  </si>
  <si>
    <t xml:space="preserve">You value the shared experience over doing it alone</t>
  </si>
  <si>
    <t xml:space="preserve">Your team is behind schedule on a big assignment.</t>
  </si>
  <si>
    <t xml:space="preserve">You check in on how your friends are feeling about it</t>
  </si>
  <si>
    <t xml:space="preserve">You want to explore multiple paths before narrowing down</t>
  </si>
  <si>
    <t xml:space="preserve">You naturally take the lead when direction is needed</t>
  </si>
  <si>
    <t xml:space="preserve">You follow a disciplined, step-by-step process</t>
  </si>
  <si>
    <t xml:space="preserve">You're picked to represent your school at an inter-college event.</t>
  </si>
  <si>
    <t xml:space="preserve">You like reasoning it through independently first</t>
  </si>
  <si>
    <t xml:space="preserve">You keep refining until it's right</t>
  </si>
  <si>
    <t xml:space="preserve">You want everyone involved to feel supported</t>
  </si>
  <si>
    <t xml:space="preserve">You discover a subject you're unexpectedly passionate about.</t>
  </si>
  <si>
    <t xml:space="preserve">Your friend group is deciding on college applications together.</t>
  </si>
  <si>
    <t xml:space="preserve">You're asked to mentor a junior in a subject you're strong in.</t>
  </si>
  <si>
    <t xml:space="preserve">Your project team needs someone to present the final work.</t>
  </si>
  <si>
    <t xml:space="preserve">You get an opportunity to shadow a professional in a field you like.</t>
  </si>
  <si>
    <t xml:space="preserve">Your class is asked to debate a controversial current event.</t>
  </si>
  <si>
    <t xml:space="preserve">You have to choose between two extracurricular commitments.</t>
  </si>
  <si>
    <t xml:space="preserve">Your team needs to divide roles for a fest committee.</t>
  </si>
  <si>
    <t xml:space="preserve">You're asked to give feedback on a classmate's project.</t>
  </si>
  <si>
    <t xml:space="preserve">Your friend is stressed about board exam results.</t>
  </si>
  <si>
    <t xml:space="preserve">You get selected for a state-level competition.</t>
  </si>
  <si>
    <t xml:space="preserve">Your group project partner isn't pulling their weight.</t>
  </si>
  <si>
    <t xml:space="preserve">You're deciding whether to take a gap year or not.</t>
  </si>
  <si>
    <t xml:space="preserve">Your school offers a chance to start a new club.</t>
  </si>
  <si>
    <t xml:space="preserve">You have to prepare a presentation with very little notice.</t>
  </si>
  <si>
    <t xml:space="preserve">Your team loses an inter-school competition.</t>
  </si>
  <si>
    <t xml:space="preserve">You're asked to help plan the annual college counselling session.</t>
  </si>
  <si>
    <t xml:space="preserve">Your friend circle disagrees about which entrance exam to prioritize.</t>
  </si>
  <si>
    <t xml:space="preserve">You're given the option to lead a fundraiser event.</t>
  </si>
  <si>
    <t xml:space="preserve">Your class is asked to research career options in a new field.</t>
  </si>
  <si>
    <t xml:space="preserve">You have to decide between studying alone or joining a group.</t>
  </si>
  <si>
    <t xml:space="preserve">You're offered an internship opportunity during the holidays.</t>
  </si>
  <si>
    <t xml:space="preserve">Your team needs to recover after a disappointing project grade.</t>
  </si>
  <si>
    <t xml:space="preserve">You're asked to organize a peer study group before finals.</t>
  </si>
  <si>
    <t xml:space="preserve">Your friend wants your honest opinion on their college essay.</t>
  </si>
  <si>
    <t xml:space="preserve">You get a chance to attend a career counselling workshop.</t>
  </si>
  <si>
    <t xml:space="preserve">Your group needs a final decision-maker for a tough call.</t>
  </si>
  <si>
    <t xml:space="preserve">You're asked to represent your class in a student council election.</t>
  </si>
  <si>
    <t xml:space="preserve">Your school announces a Model United Nations event.</t>
  </si>
  <si>
    <t xml:space="preserve">You're deciding which extracurricular to prioritize before exams.</t>
  </si>
  <si>
    <t xml:space="preserve">Your team is assigned to plan the annual sports meet.</t>
  </si>
  <si>
    <t xml:space="preserve">You're asked to choose a topic for your board exam project.</t>
  </si>
  <si>
    <t xml:space="preserve">A friend asks you to help them prepare for an interview.</t>
  </si>
  <si>
    <t xml:space="preserve">You're offered a spot in a summer enrichment program.</t>
  </si>
  <si>
    <t xml:space="preserve">Your class is asked to debate the pros and cons of a new policy.</t>
  </si>
  <si>
    <t xml:space="preserve">You have to balance exam prep with a club commitment.</t>
  </si>
  <si>
    <t xml:space="preserve">Your group project needs someone to handle unexpected changes.</t>
  </si>
  <si>
    <t xml:space="preserve">You're asked what you want to study after school, seriously, for the first time.</t>
  </si>
  <si>
    <t xml:space="preserve">Your team wins recognition at an inter-school event.</t>
  </si>
  <si>
    <t xml:space="preserve">You're deciding how to spend your last free weekend before exams.</t>
  </si>
  <si>
    <t xml:space="preserve">You're choosing electives for the next semester.</t>
  </si>
  <si>
    <t xml:space="preserve">You track progress closely against milestones</t>
  </si>
  <si>
    <t xml:space="preserve">You'd rather collaborate closely than work alone</t>
  </si>
  <si>
    <t xml:space="preserve">You're quick to contribute ideas in discussions</t>
  </si>
  <si>
    <t xml:space="preserve">You want to understand the bigger picture before committing</t>
  </si>
  <si>
    <t xml:space="preserve">Your group is assigned a semester-long capstone project.</t>
  </si>
  <si>
    <t xml:space="preserve">You research thoroughly before making a decision</t>
  </si>
  <si>
    <t xml:space="preserve">You offer to help a peer who's overwhelmed</t>
  </si>
  <si>
    <t xml:space="preserve">You enjoy the feeling of shipping finished, polished work</t>
  </si>
  <si>
    <t xml:space="preserve">You like rallying others around a shared plan</t>
  </si>
  <si>
    <t xml:space="preserve">You're preparing for campus placement interviews.</t>
  </si>
  <si>
    <t xml:space="preserve">You enjoy exploring the reasoning behind different options</t>
  </si>
  <si>
    <t xml:space="preserve">You ask others for their perspective before deciding</t>
  </si>
  <si>
    <t xml:space="preserve">A junior asks for advice on choosing a major.</t>
  </si>
  <si>
    <t xml:space="preserve">You map out possible outcomes before choosing a path</t>
  </si>
  <si>
    <t xml:space="preserve">You just want to get started and see it through</t>
  </si>
  <si>
    <t xml:space="preserve">You enjoy opportunities to present or pitch</t>
  </si>
  <si>
    <t xml:space="preserve">You care most about the group staying connected</t>
  </si>
  <si>
    <t xml:space="preserve">You're offered a leadership role in a college club.</t>
  </si>
  <si>
    <t xml:space="preserve">You make sure quieter voices are heard</t>
  </si>
  <si>
    <t xml:space="preserve">You get curious about how different ideas connect</t>
  </si>
  <si>
    <t xml:space="preserve">You like energizing the team when motivation dips</t>
  </si>
  <si>
    <t xml:space="preserve">Your project team disagrees on the approach to take.</t>
  </si>
  <si>
    <t xml:space="preserve">You speak up and share your view early</t>
  </si>
  <si>
    <t xml:space="preserve">You like forming your own view before acting</t>
  </si>
  <si>
    <t xml:space="preserve">You keep pushing steadily until it's finished</t>
  </si>
  <si>
    <t xml:space="preserve">You get free time during semester break.</t>
  </si>
  <si>
    <t xml:space="preserve">You prefer analyzing the situation quietly first</t>
  </si>
  <si>
    <t xml:space="preserve">You organize your approach before diving in</t>
  </si>
  <si>
    <t xml:space="preserve">You like being the one who presents to the group</t>
  </si>
  <si>
    <t xml:space="preserve">You notice when a peer is struggling and check in</t>
  </si>
  <si>
    <t xml:space="preserve">You're asked to organize a college fest committee.</t>
  </si>
  <si>
    <t xml:space="preserve">You try to persuade others toward your approach</t>
  </si>
  <si>
    <t xml:space="preserve">You feel most satisfied when deliverables are on time</t>
  </si>
  <si>
    <t xml:space="preserve">You value the shared experience of working together</t>
  </si>
  <si>
    <t xml:space="preserve">Your team is behind schedule on a group assignment.</t>
  </si>
  <si>
    <t xml:space="preserve">You check in on how your teammates are handling it</t>
  </si>
  <si>
    <t xml:space="preserve">You want to weigh multiple approaches before deciding</t>
  </si>
  <si>
    <t xml:space="preserve">You follow a disciplined, methodical process</t>
  </si>
  <si>
    <t xml:space="preserve">You naturally take the lead when direction is unclear</t>
  </si>
  <si>
    <t xml:space="preserve">You're picked to represent your college at an inter-college fest.</t>
  </si>
  <si>
    <t xml:space="preserve">You keep refining your work until it's right</t>
  </si>
  <si>
    <t xml:space="preserve">You enjoy being chosen to represent the team</t>
  </si>
  <si>
    <t xml:space="preserve">You like reasoning it through independently before discussing it</t>
  </si>
  <si>
    <t xml:space="preserve">You discover a subject area you're unexpectedly drawn to.</t>
  </si>
  <si>
    <t xml:space="preserve">Your friend group is deciding on internship applications together.</t>
  </si>
  <si>
    <t xml:space="preserve">You're asked to mentor a first-year student.</t>
  </si>
  <si>
    <t xml:space="preserve">You get an opportunity to shadow a professional in your field.</t>
  </si>
  <si>
    <t xml:space="preserve">Your class is asked to debate a current industry trend.</t>
  </si>
  <si>
    <t xml:space="preserve">You have to choose between two internship offers.</t>
  </si>
  <si>
    <t xml:space="preserve">Your team needs to divide roles for a college event.</t>
  </si>
  <si>
    <t xml:space="preserve">You're asked to give feedback on a teammate's project.</t>
  </si>
  <si>
    <t xml:space="preserve">A friend is stressed about placement season.</t>
  </si>
  <si>
    <t xml:space="preserve">You get selected for a national-level case competition.</t>
  </si>
  <si>
    <t xml:space="preserve">Your project partner isn't pulling their weight.</t>
  </si>
  <si>
    <t xml:space="preserve">You're deciding whether to pursue higher studies or a job.</t>
  </si>
  <si>
    <t xml:space="preserve">Your college offers a chance to start a new student club.</t>
  </si>
  <si>
    <t xml:space="preserve">You have to prepare a pitch with very little notice.</t>
  </si>
  <si>
    <t xml:space="preserve">Your team loses an inter-college competition.</t>
  </si>
  <si>
    <t xml:space="preserve">You're asked to help plan a career fair on campus.</t>
  </si>
  <si>
    <t xml:space="preserve">Your friend circle disagrees about which internship to prioritize.</t>
  </si>
  <si>
    <t xml:space="preserve">You're given the option to lead a college fundraiser.</t>
  </si>
  <si>
    <t xml:space="preserve">Your class is asked to research an emerging industry.</t>
  </si>
  <si>
    <t xml:space="preserve">You have to decide between working solo or joining a study group.</t>
  </si>
  <si>
    <t xml:space="preserve">You're offered your first internship during the holidays.</t>
  </si>
  <si>
    <t xml:space="preserve">A friend wants your honest opinion on their resume.</t>
  </si>
  <si>
    <t xml:space="preserve">You get a chance to attend an industry networking event.</t>
  </si>
  <si>
    <t xml:space="preserve">You're asked to represent your batch in a student council election.</t>
  </si>
  <si>
    <t xml:space="preserve">Your college announces a startup pitch competition.</t>
  </si>
  <si>
    <t xml:space="preserve">You're deciding which extracurricular to prioritize before finals.</t>
  </si>
  <si>
    <t xml:space="preserve">Your team is assigned to plan the annual college fest.</t>
  </si>
  <si>
    <t xml:space="preserve">You're asked to choose a topic for your final year project.</t>
  </si>
  <si>
    <t xml:space="preserve">A friend asks you to help them prepare for a job interview.</t>
  </si>
  <si>
    <t xml:space="preserve">You're offered a spot in a summer research program.</t>
  </si>
  <si>
    <t xml:space="preserve">You have to balance placement prep with a club commitment.</t>
  </si>
  <si>
    <t xml:space="preserve">Your project team needs someone to handle unexpected changes.</t>
  </si>
  <si>
    <t xml:space="preserve">You're asked what kind of role you want after graduation, seriously, for the first time.</t>
  </si>
  <si>
    <t xml:space="preserve">Your team wins recognition at an inter-college event.</t>
  </si>
  <si>
    <t xml:space="preserve">You're deciding how to spend your last free month before starting work.</t>
  </si>
  <si>
    <t xml:space="preserve">You're assigned your first solo project at work.</t>
  </si>
  <si>
    <t xml:space="preserve">You'd rather collaborate closely than work in isolation</t>
  </si>
  <si>
    <t xml:space="preserve">You want to understand the strategic context before acting</t>
  </si>
  <si>
    <t xml:space="preserve">You track progress closely against deadlines</t>
  </si>
  <si>
    <t xml:space="preserve">Your team is given a tight deadline for a client deliverable.</t>
  </si>
  <si>
    <t xml:space="preserve">You like rallying the team around a shared plan</t>
  </si>
  <si>
    <t xml:space="preserve">You enjoy the feeling of shipping finished, high-quality work</t>
  </si>
  <si>
    <t xml:space="preserve">You research thoroughly before proposing a solution</t>
  </si>
  <si>
    <t xml:space="preserve">You offer to help a colleague who's overwhelmed</t>
  </si>
  <si>
    <t xml:space="preserve">You're preparing for your first performance review.</t>
  </si>
  <si>
    <t xml:space="preserve">You enjoy digging into the root cause of a problem</t>
  </si>
  <si>
    <t xml:space="preserve">You double-check every detail before calling it done</t>
  </si>
  <si>
    <t xml:space="preserve">You ask others for their input before deciding</t>
  </si>
  <si>
    <t xml:space="preserve">A new joinee asks you for advice on settling in.</t>
  </si>
  <si>
    <t xml:space="preserve">You just want to get started and deliver</t>
  </si>
  <si>
    <t xml:space="preserve">You care most about keeping the team cohesive</t>
  </si>
  <si>
    <t xml:space="preserve">You enjoy opportunities to pitch or present</t>
  </si>
  <si>
    <t xml:space="preserve">You map out possible risks and outcomes first</t>
  </si>
  <si>
    <t xml:space="preserve">You're offered to lead a small team initiative.</t>
  </si>
  <si>
    <t xml:space="preserve">You make sure quieter teammates are heard in meetings</t>
  </si>
  <si>
    <t xml:space="preserve">You get curious about how the pieces connect</t>
  </si>
  <si>
    <t xml:space="preserve">You like energizing the team when morale dips</t>
  </si>
  <si>
    <t xml:space="preserve">You'd rather talk it through with a trusted colleague</t>
  </si>
  <si>
    <t xml:space="preserve">You keep pushing steadily until the work is done</t>
  </si>
  <si>
    <t xml:space="preserve">You like forming an independent view before discussing it</t>
  </si>
  <si>
    <t xml:space="preserve">You speak up and share your view in meetings</t>
  </si>
  <si>
    <t xml:space="preserve">You get a free afternoon between project deadlines.</t>
  </si>
  <si>
    <t xml:space="preserve">You prefer analyzing the data quietly before speaking up</t>
  </si>
  <si>
    <t xml:space="preserve">You notice when a teammate is struggling and check in</t>
  </si>
  <si>
    <t xml:space="preserve">You like being the one who presents to leadership</t>
  </si>
  <si>
    <t xml:space="preserve">You're asked to organize a team offsite.</t>
  </si>
  <si>
    <t xml:space="preserve">You try to influence others toward your approach</t>
  </si>
  <si>
    <t xml:space="preserve">You enjoy spotting patterns others on the team might miss</t>
  </si>
  <si>
    <t xml:space="preserve">You value building strong working relationships</t>
  </si>
  <si>
    <t xml:space="preserve">Your team is behind schedule on a client deliverable.</t>
  </si>
  <si>
    <t xml:space="preserve">You check in on how your teammates are coping</t>
  </si>
  <si>
    <t xml:space="preserve">You want to weigh multiple approaches before committing</t>
  </si>
  <si>
    <t xml:space="preserve">You're picked to represent your team in a company-wide event.</t>
  </si>
  <si>
    <t xml:space="preserve">You want everyone on the project to feel supported</t>
  </si>
  <si>
    <t xml:space="preserve">You keep refining your output until it's right</t>
  </si>
  <si>
    <t xml:space="preserve">You like reasoning through the problem on your own first</t>
  </si>
  <si>
    <t xml:space="preserve">You discover a skill area you're unexpectedly drawn to.</t>
  </si>
  <si>
    <t xml:space="preserve">Your peer group is deciding whether to apply for a new role together.</t>
  </si>
  <si>
    <t xml:space="preserve">You're asked to mentor a new intern.</t>
  </si>
  <si>
    <t xml:space="preserve">Your project team needs someone to present to leadership.</t>
  </si>
  <si>
    <t xml:space="preserve">You get an opportunity to shadow a senior professional.</t>
  </si>
  <si>
    <t xml:space="preserve">Your team is asked to brainstorm ideas for a new initiative.</t>
  </si>
  <si>
    <t xml:space="preserve">You have to choose between two internal job openings.</t>
  </si>
  <si>
    <t xml:space="preserve">Your team needs to divide roles for an upcoming launch.</t>
  </si>
  <si>
    <t xml:space="preserve">You're asked to give feedback on a colleague's work.</t>
  </si>
  <si>
    <t xml:space="preserve">A colleague is stressed about an upcoming deadline.</t>
  </si>
  <si>
    <t xml:space="preserve">You get selected to join a high-visibility project.</t>
  </si>
  <si>
    <t xml:space="preserve">You're deciding whether to pursue a certification or not.</t>
  </si>
  <si>
    <t xml:space="preserve">Your company offers a chance to start an employee resource group.</t>
  </si>
  <si>
    <t xml:space="preserve">Your team's project doesn't meet expectations in review.</t>
  </si>
  <si>
    <t xml:space="preserve">You're asked to help plan a team building event.</t>
  </si>
  <si>
    <t xml:space="preserve">Your peer group disagrees about which project to prioritize.</t>
  </si>
  <si>
    <t xml:space="preserve">You're given the option to lead a small internal initiative.</t>
  </si>
  <si>
    <t xml:space="preserve">Your team is asked to research a new market or trend.</t>
  </si>
  <si>
    <t xml:space="preserve">You have to decide between working independently or collaborating closely.</t>
  </si>
  <si>
    <t xml:space="preserve">You're offered your first cross-functional project.</t>
  </si>
  <si>
    <t xml:space="preserve">Your team needs to recover after a missed target.</t>
  </si>
  <si>
    <t xml:space="preserve">You're asked to organize a knowledge-sharing session.</t>
  </si>
  <si>
    <t xml:space="preserve">A colleague wants your honest opinion on their work.</t>
  </si>
  <si>
    <t xml:space="preserve">You get a chance to attend an industry conference.</t>
  </si>
  <si>
    <t xml:space="preserve">Your team needs a final decision-maker for a tough call.</t>
  </si>
  <si>
    <t xml:space="preserve">You're asked to represent your team in a company town hall.</t>
  </si>
  <si>
    <t xml:space="preserve">Your company announces an internal innovation challenge.</t>
  </si>
  <si>
    <t xml:space="preserve">You're deciding which project to prioritize before a deadline.</t>
  </si>
  <si>
    <t xml:space="preserve">Your team is assigned to plan a client event.</t>
  </si>
  <si>
    <t xml:space="preserve">You're asked to choose a focus area for your development plan.</t>
  </si>
  <si>
    <t xml:space="preserve">A colleague asks you to help them prepare for an internal interview.</t>
  </si>
  <si>
    <t xml:space="preserve">You're offered a spot in a leadership development program.</t>
  </si>
  <si>
    <t xml:space="preserve">Your team is asked to debate the pros and cons of a new process.</t>
  </si>
  <si>
    <t xml:space="preserve">You have to balance a deadline with a mentoring commitment.</t>
  </si>
  <si>
    <t xml:space="preserve">You're asked what career direction you want, seriously, for the first time at work.</t>
  </si>
  <si>
    <t xml:space="preserve">Your team wins recognition for a successful project.</t>
  </si>
  <si>
    <t xml:space="preserve">You're deciding how to spend your first big bonus or reward.</t>
  </si>
  <si>
    <t xml:space="preserve">You're asked to define the strategy for your team's next quarter.</t>
  </si>
  <si>
    <t xml:space="preserve">You'd rather build consensus than decide alone</t>
  </si>
  <si>
    <t xml:space="preserve">You're quick to contribute a point of view in meetings</t>
  </si>
  <si>
    <t xml:space="preserve">You want to understand the long-term strategic implications first</t>
  </si>
  <si>
    <t xml:space="preserve">Your team is given a high-stakes deadline for a major client.</t>
  </si>
  <si>
    <t xml:space="preserve">You research thoroughly before committing the team to a direction</t>
  </si>
  <si>
    <t xml:space="preserve">You offer to support a colleague who's overwhelmed</t>
  </si>
  <si>
    <t xml:space="preserve">You like rallying the team around a shared vision</t>
  </si>
  <si>
    <t xml:space="preserve">You enjoy the feeling of a project shipped and closed out</t>
  </si>
  <si>
    <t xml:space="preserve">You're preparing to give feedback to a direct report.</t>
  </si>
  <si>
    <t xml:space="preserve">You enjoy digging into the root cause behind a problem</t>
  </si>
  <si>
    <t xml:space="preserve">You double-check every detail before signing off</t>
  </si>
  <si>
    <t xml:space="preserve">A junior colleague asks for career advice.</t>
  </si>
  <si>
    <t xml:space="preserve">You map out risks and scenarios before deciding</t>
  </si>
  <si>
    <t xml:space="preserve">You enjoy opportunities to present or advocate publicly</t>
  </si>
  <si>
    <t xml:space="preserve">You just want to get moving and deliver results</t>
  </si>
  <si>
    <t xml:space="preserve">You care most about keeping the team cohesive and trusted</t>
  </si>
  <si>
    <t xml:space="preserve">You're offered to lead a cross-department initiative.</t>
  </si>
  <si>
    <t xml:space="preserve">You like energizing the team when morale is low</t>
  </si>
  <si>
    <t xml:space="preserve">You get curious about how different parts of the business connect</t>
  </si>
  <si>
    <t xml:space="preserve">You make sure quieter voices are heard in the room</t>
  </si>
  <si>
    <t xml:space="preserve">Your leadership team disagrees on the direction to take.</t>
  </si>
  <si>
    <t xml:space="preserve">You like forming an independent perspective before discussing it</t>
  </si>
  <si>
    <t xml:space="preserve">You keep pushing steadily until the work is complete</t>
  </si>
  <si>
    <t xml:space="preserve">You'd rather talk it through with a trusted peer</t>
  </si>
  <si>
    <t xml:space="preserve">You speak up and share your view early in the discussion</t>
  </si>
  <si>
    <t xml:space="preserve">You get a rare free afternoon between commitments.</t>
  </si>
  <si>
    <t xml:space="preserve">You notice when someone on your team is struggling and check in</t>
  </si>
  <si>
    <t xml:space="preserve">You prefer analyzing the situation quietly before weighing in</t>
  </si>
  <si>
    <t xml:space="preserve">You like being the one who presents to senior leadership</t>
  </si>
  <si>
    <t xml:space="preserve">You organize the approach before committing resources</t>
  </si>
  <si>
    <t xml:space="preserve">You're asked to organize an offsite for your department.</t>
  </si>
  <si>
    <t xml:space="preserve">You try to influence others toward your strategic view</t>
  </si>
  <si>
    <t xml:space="preserve">You feel most satisfied when the team delivers on time</t>
  </si>
  <si>
    <t xml:space="preserve">You value the long-term relationships you build along the way</t>
  </si>
  <si>
    <t xml:space="preserve">Your team is behind schedule on a major deliverable.</t>
  </si>
  <si>
    <t xml:space="preserve">You want to weigh multiple strategic options before committing</t>
  </si>
  <si>
    <t xml:space="preserve">You check in on how your team is coping with the pressure</t>
  </si>
  <si>
    <t xml:space="preserve">You're asked to represent your department at a leadership meeting.</t>
  </si>
  <si>
    <t xml:space="preserve">You enjoy being chosen to represent the organization</t>
  </si>
  <si>
    <t xml:space="preserve">You keep refining the plan until it's right</t>
  </si>
  <si>
    <t xml:space="preserve">You want everyone involved to feel genuinely supported</t>
  </si>
  <si>
    <t xml:space="preserve">You discover a new area of the business you're drawn to.</t>
  </si>
  <si>
    <t xml:space="preserve">Your peer group of managers is deciding on a shared initiative.</t>
  </si>
  <si>
    <t xml:space="preserve">You're asked to mentor a high-potential employee.</t>
  </si>
  <si>
    <t xml:space="preserve">Your team needs someone to present results to senior leadership.</t>
  </si>
  <si>
    <t xml:space="preserve">You get an opportunity to advise a younger colleague's project.</t>
  </si>
  <si>
    <t xml:space="preserve">Your team is asked to brainstorm a new strategic direction.</t>
  </si>
  <si>
    <t xml:space="preserve">You have to choose between two competing priorities.</t>
  </si>
  <si>
    <t xml:space="preserve">Your team needs roles divided for a major transformation project.</t>
  </si>
  <si>
    <t xml:space="preserve">You're asked to give feedback on a peer's proposal.</t>
  </si>
  <si>
    <t xml:space="preserve">A colleague is overwhelmed and asks for your support.</t>
  </si>
  <si>
    <t xml:space="preserve">You get selected to lead a high-visibility organizational project.</t>
  </si>
  <si>
    <t xml:space="preserve">A member of your team isn't performing to expectations.</t>
  </si>
  <si>
    <t xml:space="preserve">You're deciding whether to pursue a bigger role or stay put.</t>
  </si>
  <si>
    <t xml:space="preserve">Your organization offers a chance to sponsor a new initiative.</t>
  </si>
  <si>
    <t xml:space="preserve">You have to prepare a board-level presentation with little notice.</t>
  </si>
  <si>
    <t xml:space="preserve">Your team's project doesn't meet expectations in a review.</t>
  </si>
  <si>
    <t xml:space="preserve">You're asked to help plan a major organizational change.</t>
  </si>
  <si>
    <t xml:space="preserve">Your leadership peers disagree about which priority matters most.</t>
  </si>
  <si>
    <t xml:space="preserve">You're given the option to lead a companywide initiative.</t>
  </si>
  <si>
    <t xml:space="preserve">Your team is asked to research a new strategic opportunity.</t>
  </si>
  <si>
    <t xml:space="preserve">You have to decide between delegating fully or staying hands-on.</t>
  </si>
  <si>
    <t xml:space="preserve">You're offered your first executive-level project.</t>
  </si>
  <si>
    <t xml:space="preserve">Your team needs to recover after missing a major target.</t>
  </si>
  <si>
    <t xml:space="preserve">You're asked to organize a mentorship program for the department.</t>
  </si>
  <si>
    <t xml:space="preserve">A colleague wants your honest opinion on a difficult decision.</t>
  </si>
  <si>
    <t xml:space="preserve">You get a chance to speak at an industry conference.</t>
  </si>
  <si>
    <t xml:space="preserve">Your team needs a final decision-maker on a high-stakes call.</t>
  </si>
  <si>
    <t xml:space="preserve">You're asked to represent your organization publicly.</t>
  </si>
  <si>
    <t xml:space="preserve">Your company announces a major innovation initiative.</t>
  </si>
  <si>
    <t xml:space="preserve">You're deciding which of several priorities to focus on this year.</t>
  </si>
  <si>
    <t xml:space="preserve">Your team is assigned to plan a major client relationship event.</t>
  </si>
  <si>
    <t xml:space="preserve">You're asked to define your own leadership development focus.</t>
  </si>
  <si>
    <t xml:space="preserve">A colleague asks you to help them prepare for a promotion interview.</t>
  </si>
  <si>
    <t xml:space="preserve">You're offered a seat on a strategic advisory committee.</t>
  </si>
  <si>
    <t xml:space="preserve">Your team is asked to debate the pros and cons of a major change.</t>
  </si>
  <si>
    <t xml:space="preserve">You have to balance a major deadline with mentoring commitments.</t>
  </si>
  <si>
    <t xml:space="preserve">Your team needs someone to handle a sudden organizational change.</t>
  </si>
  <si>
    <t xml:space="preserve">You're asked to reflect on what impact you want to leave, seriously, at this stage of your career.</t>
  </si>
  <si>
    <t xml:space="preserve">Your team wins recognition for a major organizational success.</t>
  </si>
  <si>
    <t xml:space="preserve">You're deciding how to spend a rare stretch of unscheduled time.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</si>
</sst>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color rgb="FF0C447C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2C2A"/>
        <bgColor rgb="FF333300"/>
      </patternFill>
    </fill>
    <fill>
      <patternFill patternType="solid">
        <fgColor rgb="FFF1EFE8"/>
        <bgColor rgb="FFFFFFFF"/>
      </patternFill>
    </fill>
    <fill>
      <patternFill patternType="solid">
        <fgColor rgb="FFFFFFFF"/>
        <bgColor rgb="FFF1EFE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F1EF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03300"/>
      <rgbColor rgb="FF333300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48" hidden="false" customHeight="true" outlineLevel="0" collapsed="false">
      <c r="A4" s="3" t="s">
        <v>2</v>
      </c>
    </row>
    <row r="5" customFormat="false" ht="27.75" hidden="false" customHeight="true" outlineLevel="0" collapsed="false">
      <c r="A5" s="3" t="s">
        <v>3</v>
      </c>
    </row>
    <row r="6" customFormat="false" ht="27.75" hidden="false" customHeight="true" outlineLevel="0" collapsed="false">
      <c r="A6" s="3" t="s">
        <v>4</v>
      </c>
    </row>
    <row r="7" customFormat="false" ht="27.75" hidden="false" customHeight="true" outlineLevel="0" collapsed="false">
      <c r="A7" s="3" t="s">
        <v>5</v>
      </c>
    </row>
    <row r="8" customFormat="false" ht="27.75" hidden="false" customHeight="true" outlineLevel="0" collapsed="false">
      <c r="A8" s="3" t="s">
        <v>6</v>
      </c>
    </row>
    <row r="9" customFormat="false" ht="15" hidden="false" customHeight="false" outlineLevel="0" collapsed="false">
      <c r="A9" s="2" t="s">
        <v>7</v>
      </c>
    </row>
    <row r="10" customFormat="false" ht="48" hidden="false" customHeight="true" outlineLevel="0" collapsed="false">
      <c r="A10" s="3" t="s">
        <v>8</v>
      </c>
    </row>
    <row r="11" customFormat="false" ht="15" hidden="false" customHeight="false" outlineLevel="0" collapsed="false">
      <c r="A11" s="2" t="s">
        <v>9</v>
      </c>
    </row>
    <row r="12" customFormat="false" ht="27.75" hidden="false" customHeight="true" outlineLevel="0" collapsed="false">
      <c r="A12" s="3" t="s">
        <v>10</v>
      </c>
    </row>
    <row r="13" customFormat="false" ht="27.75" hidden="false" customHeight="true" outlineLevel="0" collapsed="false">
      <c r="A13" s="3" t="s">
        <v>11</v>
      </c>
    </row>
    <row r="14" customFormat="false" ht="27.75" hidden="false" customHeight="true" outlineLevel="0" collapsed="false">
      <c r="A14" s="3" t="s">
        <v>12</v>
      </c>
    </row>
    <row r="15" customFormat="false" ht="27.75" hidden="false" customHeight="true" outlineLevel="0" collapsed="false">
      <c r="A15" s="3" t="s">
        <v>13</v>
      </c>
    </row>
    <row r="16" customFormat="false" ht="15" hidden="false" customHeight="false" outlineLevel="0" collapsed="false">
      <c r="A16" s="2" t="s">
        <v>14</v>
      </c>
    </row>
    <row r="17" customFormat="false" ht="48" hidden="false" customHeight="true" outlineLevel="0" collapsed="false">
      <c r="A17" s="3" t="s">
        <v>15</v>
      </c>
    </row>
    <row r="18" customFormat="false" ht="27.75" hidden="false" customHeight="true" outlineLevel="0" collapsed="false">
      <c r="A18" s="3" t="s">
        <v>16</v>
      </c>
    </row>
    <row r="19" customFormat="false" ht="27.75" hidden="false" customHeight="true" outlineLevel="0" collapsed="false">
      <c r="A19" s="3" t="s">
        <v>17</v>
      </c>
    </row>
    <row r="20" customFormat="false" ht="27.75" hidden="false" customHeight="true" outlineLevel="0" collapsed="false">
      <c r="A20" s="3" t="s">
        <v>18</v>
      </c>
    </row>
    <row r="21" customFormat="false" ht="27.75" hidden="false" customHeight="true" outlineLevel="0" collapsed="false">
      <c r="A21" s="3" t="s">
        <v>19</v>
      </c>
    </row>
    <row r="22" customFormat="false" ht="48" hidden="false" customHeight="true" outlineLevel="0" collapsed="false">
      <c r="A22" s="3" t="s">
        <v>20</v>
      </c>
    </row>
    <row r="23" customFormat="false" ht="15" hidden="false" customHeight="false" outlineLevel="0" collapsed="false">
      <c r="A23" s="2" t="s">
        <v>21</v>
      </c>
    </row>
    <row r="24" customFormat="false" ht="48" hidden="false" customHeight="true" outlineLevel="0" collapsed="false">
      <c r="A24" s="3" t="s">
        <v>22</v>
      </c>
    </row>
    <row r="25" customFormat="false" ht="15" hidden="false" customHeight="false" outlineLevel="0" collapsed="false">
      <c r="A25" s="2" t="s">
        <v>23</v>
      </c>
    </row>
    <row r="26" customFormat="false" ht="48" hidden="false" customHeight="true" outlineLevel="0" collapsed="false">
      <c r="A26" s="3" t="s">
        <v>24</v>
      </c>
    </row>
    <row r="27" customFormat="false" ht="15" hidden="false" customHeight="false" outlineLevel="0" collapsed="false">
      <c r="A27" s="2" t="s">
        <v>25</v>
      </c>
    </row>
    <row r="28" customFormat="false" ht="27.75" hidden="false" customHeight="true" outlineLevel="0" collapsed="false">
      <c r="A28" s="3" t="s">
        <v>26</v>
      </c>
    </row>
    <row r="29" customFormat="false" ht="27.75" hidden="false" customHeight="true" outlineLevel="0" collapsed="false">
      <c r="A29" s="3" t="s">
        <v>27</v>
      </c>
    </row>
    <row r="30" customFormat="false" ht="27.75" hidden="false" customHeight="true" outlineLevel="0" collapsed="false">
      <c r="A30" s="3" t="s">
        <v>28</v>
      </c>
    </row>
    <row r="31" customFormat="false" ht="15" hidden="false" customHeight="false" outlineLevel="0" collapsed="false">
      <c r="A31" s="2" t="s">
        <v>29</v>
      </c>
    </row>
    <row r="32" customFormat="false" ht="27.75" hidden="false" customHeight="true" outlineLevel="0" collapsed="false">
      <c r="A32" s="3" t="s">
        <v>30</v>
      </c>
    </row>
    <row r="33" customFormat="false" ht="27.75" hidden="false" customHeight="true" outlineLevel="0" collapsed="false">
      <c r="A33" s="3" t="s">
        <v>31</v>
      </c>
    </row>
    <row r="34" customFormat="false" ht="27.75" hidden="false" customHeight="true" outlineLevel="0" collapsed="false">
      <c r="A34" s="3" t="s">
        <v>32</v>
      </c>
    </row>
    <row r="35" customFormat="false" ht="27.75" hidden="false" customHeight="true" outlineLevel="0" collapsed="false">
      <c r="A35" s="3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7" min="4" style="0" width="30"/>
    <col collapsed="false" customWidth="true" hidden="false" outlineLevel="0" max="11" min="8" style="0" width="9"/>
    <col collapsed="false" customWidth="true" hidden="false" outlineLevel="0" max="13" min="12" style="0" width="11"/>
    <col collapsed="false" customWidth="true" hidden="false" outlineLevel="0" max="15" min="14" style="0" width="12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customFormat="false" ht="23.85" hidden="false" customHeight="false" outlineLevel="0" collapsed="false">
      <c r="A2" s="5" t="n">
        <v>1</v>
      </c>
      <c r="B2" s="5" t="n">
        <v>1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53</v>
      </c>
      <c r="H2" s="5" t="s">
        <v>54</v>
      </c>
      <c r="I2" s="5" t="s">
        <v>55</v>
      </c>
      <c r="J2" s="5" t="s">
        <v>56</v>
      </c>
      <c r="K2" s="5" t="s">
        <v>57</v>
      </c>
      <c r="L2" s="5"/>
      <c r="M2" s="5"/>
      <c r="N2" s="5" t="str">
        <f aca="false">IFERROR(INDEX(H2:K2,MATCH(L2,{"A","B","C","D"},0)),"")</f>
        <v/>
      </c>
      <c r="O2" s="5" t="str">
        <f aca="false">IFERROR(INDEX(H2:K2,MATCH(M2,{"A","B","C","D"},0)),"")</f>
        <v/>
      </c>
    </row>
    <row r="3" customFormat="false" ht="23.85" hidden="false" customHeight="false" outlineLevel="0" collapsed="false">
      <c r="A3" s="5" t="n">
        <v>1</v>
      </c>
      <c r="B3" s="5" t="n">
        <v>2</v>
      </c>
      <c r="C3" s="6" t="s">
        <v>58</v>
      </c>
      <c r="D3" s="6" t="s">
        <v>59</v>
      </c>
      <c r="E3" s="6" t="s">
        <v>60</v>
      </c>
      <c r="F3" s="6" t="s">
        <v>61</v>
      </c>
      <c r="G3" s="6" t="s">
        <v>62</v>
      </c>
      <c r="H3" s="5" t="s">
        <v>57</v>
      </c>
      <c r="I3" s="5" t="s">
        <v>55</v>
      </c>
      <c r="J3" s="5" t="s">
        <v>56</v>
      </c>
      <c r="K3" s="5" t="s">
        <v>54</v>
      </c>
      <c r="L3" s="5"/>
      <c r="M3" s="5"/>
      <c r="N3" s="5" t="str">
        <f aca="false">IFERROR(INDEX(H3:K3,MATCH(L3,{"A","B","C","D"},0)),"")</f>
        <v/>
      </c>
      <c r="O3" s="5" t="str">
        <f aca="false">IFERROR(INDEX(H3:K3,MATCH(M3,{"A","B","C","D"},0)),"")</f>
        <v/>
      </c>
    </row>
    <row r="4" customFormat="false" ht="23.85" hidden="false" customHeight="false" outlineLevel="0" collapsed="false">
      <c r="A4" s="5" t="n">
        <v>1</v>
      </c>
      <c r="B4" s="5" t="n">
        <v>3</v>
      </c>
      <c r="C4" s="6" t="s">
        <v>63</v>
      </c>
      <c r="D4" s="6" t="s">
        <v>64</v>
      </c>
      <c r="E4" s="6" t="s">
        <v>65</v>
      </c>
      <c r="F4" s="6" t="s">
        <v>66</v>
      </c>
      <c r="G4" s="6" t="s">
        <v>67</v>
      </c>
      <c r="H4" s="5" t="s">
        <v>56</v>
      </c>
      <c r="I4" s="5" t="s">
        <v>54</v>
      </c>
      <c r="J4" s="5" t="s">
        <v>57</v>
      </c>
      <c r="K4" s="5" t="s">
        <v>55</v>
      </c>
      <c r="L4" s="5"/>
      <c r="M4" s="5"/>
      <c r="N4" s="5" t="str">
        <f aca="false">IFERROR(INDEX(H4:K4,MATCH(L4,{"A","B","C","D"},0)),"")</f>
        <v/>
      </c>
      <c r="O4" s="5" t="str">
        <f aca="false">IFERROR(INDEX(H4:K4,MATCH(M4,{"A","B","C","D"},0)),"")</f>
        <v/>
      </c>
    </row>
    <row r="5" customFormat="false" ht="23.85" hidden="false" customHeight="false" outlineLevel="0" collapsed="false">
      <c r="A5" s="5" t="n">
        <v>1</v>
      </c>
      <c r="B5" s="5" t="n">
        <v>4</v>
      </c>
      <c r="C5" s="6" t="s">
        <v>68</v>
      </c>
      <c r="D5" s="6" t="s">
        <v>69</v>
      </c>
      <c r="E5" s="6" t="s">
        <v>70</v>
      </c>
      <c r="F5" s="6" t="s">
        <v>71</v>
      </c>
      <c r="G5" s="6" t="s">
        <v>72</v>
      </c>
      <c r="H5" s="5" t="s">
        <v>55</v>
      </c>
      <c r="I5" s="5" t="s">
        <v>57</v>
      </c>
      <c r="J5" s="5" t="s">
        <v>56</v>
      </c>
      <c r="K5" s="5" t="s">
        <v>54</v>
      </c>
      <c r="L5" s="5"/>
      <c r="M5" s="5"/>
      <c r="N5" s="5" t="str">
        <f aca="false">IFERROR(INDEX(H5:K5,MATCH(L5,{"A","B","C","D"},0)),"")</f>
        <v/>
      </c>
      <c r="O5" s="5" t="str">
        <f aca="false">IFERROR(INDEX(H5:K5,MATCH(M5,{"A","B","C","D"},0)),"")</f>
        <v/>
      </c>
    </row>
    <row r="6" customFormat="false" ht="23.85" hidden="false" customHeight="false" outlineLevel="0" collapsed="false">
      <c r="A6" s="5" t="n">
        <v>1</v>
      </c>
      <c r="B6" s="5" t="n">
        <v>5</v>
      </c>
      <c r="C6" s="6" t="s">
        <v>73</v>
      </c>
      <c r="D6" s="6" t="s">
        <v>74</v>
      </c>
      <c r="E6" s="6" t="s">
        <v>75</v>
      </c>
      <c r="F6" s="6" t="s">
        <v>76</v>
      </c>
      <c r="G6" s="6" t="s">
        <v>77</v>
      </c>
      <c r="H6" s="5" t="s">
        <v>56</v>
      </c>
      <c r="I6" s="5" t="s">
        <v>57</v>
      </c>
      <c r="J6" s="5" t="s">
        <v>55</v>
      </c>
      <c r="K6" s="5" t="s">
        <v>54</v>
      </c>
      <c r="L6" s="5"/>
      <c r="M6" s="5"/>
      <c r="N6" s="5" t="str">
        <f aca="false">IFERROR(INDEX(H6:K6,MATCH(L6,{"A","B","C","D"},0)),"")</f>
        <v/>
      </c>
      <c r="O6" s="5" t="str">
        <f aca="false">IFERROR(INDEX(H6:K6,MATCH(M6,{"A","B","C","D"},0)),"")</f>
        <v/>
      </c>
    </row>
    <row r="7" customFormat="false" ht="23.85" hidden="false" customHeight="false" outlineLevel="0" collapsed="false">
      <c r="A7" s="7" t="n">
        <v>2</v>
      </c>
      <c r="B7" s="7" t="n">
        <v>1</v>
      </c>
      <c r="C7" s="8" t="s">
        <v>78</v>
      </c>
      <c r="D7" s="8" t="s">
        <v>79</v>
      </c>
      <c r="E7" s="8" t="s">
        <v>80</v>
      </c>
      <c r="F7" s="8" t="s">
        <v>81</v>
      </c>
      <c r="G7" s="8" t="s">
        <v>82</v>
      </c>
      <c r="H7" s="7" t="s">
        <v>55</v>
      </c>
      <c r="I7" s="7" t="s">
        <v>54</v>
      </c>
      <c r="J7" s="7" t="s">
        <v>57</v>
      </c>
      <c r="K7" s="7" t="s">
        <v>56</v>
      </c>
      <c r="L7" s="7"/>
      <c r="M7" s="7"/>
      <c r="N7" s="7" t="str">
        <f aca="false">IFERROR(INDEX(H7:K7,MATCH(L7,{"A","B","C","D"},0)),"")</f>
        <v/>
      </c>
      <c r="O7" s="7" t="str">
        <f aca="false">IFERROR(INDEX(H7:K7,MATCH(M7,{"A","B","C","D"},0)),"")</f>
        <v/>
      </c>
    </row>
    <row r="8" customFormat="false" ht="23.85" hidden="false" customHeight="false" outlineLevel="0" collapsed="false">
      <c r="A8" s="7" t="n">
        <v>2</v>
      </c>
      <c r="B8" s="7" t="n">
        <v>2</v>
      </c>
      <c r="C8" s="8" t="s">
        <v>83</v>
      </c>
      <c r="D8" s="8" t="s">
        <v>84</v>
      </c>
      <c r="E8" s="8" t="s">
        <v>85</v>
      </c>
      <c r="F8" s="8" t="s">
        <v>86</v>
      </c>
      <c r="G8" s="8" t="s">
        <v>87</v>
      </c>
      <c r="H8" s="7" t="s">
        <v>54</v>
      </c>
      <c r="I8" s="7" t="s">
        <v>55</v>
      </c>
      <c r="J8" s="7" t="s">
        <v>57</v>
      </c>
      <c r="K8" s="7" t="s">
        <v>56</v>
      </c>
      <c r="L8" s="7"/>
      <c r="M8" s="7"/>
      <c r="N8" s="7" t="str">
        <f aca="false">IFERROR(INDEX(H8:K8,MATCH(L8,{"A","B","C","D"},0)),"")</f>
        <v/>
      </c>
      <c r="O8" s="7" t="str">
        <f aca="false">IFERROR(INDEX(H8:K8,MATCH(M8,{"A","B","C","D"},0)),"")</f>
        <v/>
      </c>
    </row>
    <row r="9" customFormat="false" ht="23.85" hidden="false" customHeight="false" outlineLevel="0" collapsed="false">
      <c r="A9" s="7" t="n">
        <v>2</v>
      </c>
      <c r="B9" s="7" t="n">
        <v>3</v>
      </c>
      <c r="C9" s="8" t="s">
        <v>88</v>
      </c>
      <c r="D9" s="8" t="s">
        <v>89</v>
      </c>
      <c r="E9" s="8" t="s">
        <v>90</v>
      </c>
      <c r="F9" s="8" t="s">
        <v>91</v>
      </c>
      <c r="G9" s="8" t="s">
        <v>92</v>
      </c>
      <c r="H9" s="7" t="s">
        <v>56</v>
      </c>
      <c r="I9" s="7" t="s">
        <v>57</v>
      </c>
      <c r="J9" s="7" t="s">
        <v>54</v>
      </c>
      <c r="K9" s="7" t="s">
        <v>55</v>
      </c>
      <c r="L9" s="7"/>
      <c r="M9" s="7"/>
      <c r="N9" s="7" t="str">
        <f aca="false">IFERROR(INDEX(H9:K9,MATCH(L9,{"A","B","C","D"},0)),"")</f>
        <v/>
      </c>
      <c r="O9" s="7" t="str">
        <f aca="false">IFERROR(INDEX(H9:K9,MATCH(M9,{"A","B","C","D"},0)),"")</f>
        <v/>
      </c>
    </row>
    <row r="10" customFormat="false" ht="23.85" hidden="false" customHeight="false" outlineLevel="0" collapsed="false">
      <c r="A10" s="7" t="n">
        <v>2</v>
      </c>
      <c r="B10" s="7" t="n">
        <v>4</v>
      </c>
      <c r="C10" s="8" t="s">
        <v>93</v>
      </c>
      <c r="D10" s="8" t="s">
        <v>94</v>
      </c>
      <c r="E10" s="8" t="s">
        <v>95</v>
      </c>
      <c r="F10" s="8" t="s">
        <v>96</v>
      </c>
      <c r="G10" s="8" t="s">
        <v>97</v>
      </c>
      <c r="H10" s="7" t="s">
        <v>57</v>
      </c>
      <c r="I10" s="7" t="s">
        <v>54</v>
      </c>
      <c r="J10" s="7" t="s">
        <v>55</v>
      </c>
      <c r="K10" s="7" t="s">
        <v>56</v>
      </c>
      <c r="L10" s="7"/>
      <c r="M10" s="7"/>
      <c r="N10" s="7" t="str">
        <f aca="false">IFERROR(INDEX(H10:K10,MATCH(L10,{"A","B","C","D"},0)),"")</f>
        <v/>
      </c>
      <c r="O10" s="7" t="str">
        <f aca="false">IFERROR(INDEX(H10:K10,MATCH(M10,{"A","B","C","D"},0)),"")</f>
        <v/>
      </c>
    </row>
    <row r="11" customFormat="false" ht="23.85" hidden="false" customHeight="false" outlineLevel="0" collapsed="false">
      <c r="A11" s="7" t="n">
        <v>2</v>
      </c>
      <c r="B11" s="7" t="n">
        <v>5</v>
      </c>
      <c r="C11" s="8" t="s">
        <v>98</v>
      </c>
      <c r="D11" s="8" t="s">
        <v>99</v>
      </c>
      <c r="E11" s="8" t="s">
        <v>100</v>
      </c>
      <c r="F11" s="8" t="s">
        <v>101</v>
      </c>
      <c r="G11" s="8" t="s">
        <v>102</v>
      </c>
      <c r="H11" s="7" t="s">
        <v>56</v>
      </c>
      <c r="I11" s="7" t="s">
        <v>57</v>
      </c>
      <c r="J11" s="7" t="s">
        <v>55</v>
      </c>
      <c r="K11" s="7" t="s">
        <v>54</v>
      </c>
      <c r="L11" s="7"/>
      <c r="M11" s="7"/>
      <c r="N11" s="7" t="str">
        <f aca="false">IFERROR(INDEX(H11:K11,MATCH(L11,{"A","B","C","D"},0)),"")</f>
        <v/>
      </c>
      <c r="O11" s="7" t="str">
        <f aca="false">IFERROR(INDEX(H11:K11,MATCH(M11,{"A","B","C","D"},0)),"")</f>
        <v/>
      </c>
    </row>
    <row r="12" customFormat="false" ht="23.85" hidden="false" customHeight="false" outlineLevel="0" collapsed="false">
      <c r="A12" s="5" t="n">
        <v>3</v>
      </c>
      <c r="B12" s="5" t="n">
        <v>1</v>
      </c>
      <c r="C12" s="6" t="s">
        <v>103</v>
      </c>
      <c r="D12" s="6" t="s">
        <v>51</v>
      </c>
      <c r="E12" s="6" t="s">
        <v>52</v>
      </c>
      <c r="F12" s="6" t="s">
        <v>50</v>
      </c>
      <c r="G12" s="6" t="s">
        <v>53</v>
      </c>
      <c r="H12" s="5" t="s">
        <v>55</v>
      </c>
      <c r="I12" s="5" t="s">
        <v>56</v>
      </c>
      <c r="J12" s="5" t="s">
        <v>54</v>
      </c>
      <c r="K12" s="5" t="s">
        <v>57</v>
      </c>
      <c r="L12" s="5"/>
      <c r="M12" s="5"/>
      <c r="N12" s="5" t="str">
        <f aca="false">IFERROR(INDEX(H12:K12,MATCH(L12,{"A","B","C","D"},0)),"")</f>
        <v/>
      </c>
      <c r="O12" s="5" t="str">
        <f aca="false">IFERROR(INDEX(H12:K12,MATCH(M12,{"A","B","C","D"},0)),"")</f>
        <v/>
      </c>
    </row>
    <row r="13" customFormat="false" ht="23.85" hidden="false" customHeight="false" outlineLevel="0" collapsed="false">
      <c r="A13" s="5" t="n">
        <v>3</v>
      </c>
      <c r="B13" s="5" t="n">
        <v>2</v>
      </c>
      <c r="C13" s="6" t="s">
        <v>104</v>
      </c>
      <c r="D13" s="6" t="s">
        <v>61</v>
      </c>
      <c r="E13" s="6" t="s">
        <v>60</v>
      </c>
      <c r="F13" s="6" t="s">
        <v>59</v>
      </c>
      <c r="G13" s="6" t="s">
        <v>62</v>
      </c>
      <c r="H13" s="5" t="s">
        <v>56</v>
      </c>
      <c r="I13" s="5" t="s">
        <v>55</v>
      </c>
      <c r="J13" s="5" t="s">
        <v>57</v>
      </c>
      <c r="K13" s="5" t="s">
        <v>54</v>
      </c>
      <c r="L13" s="5"/>
      <c r="M13" s="5"/>
      <c r="N13" s="5" t="str">
        <f aca="false">IFERROR(INDEX(H13:K13,MATCH(L13,{"A","B","C","D"},0)),"")</f>
        <v/>
      </c>
      <c r="O13" s="5" t="str">
        <f aca="false">IFERROR(INDEX(H13:K13,MATCH(M13,{"A","B","C","D"},0)),"")</f>
        <v/>
      </c>
    </row>
    <row r="14" customFormat="false" ht="23.85" hidden="false" customHeight="false" outlineLevel="0" collapsed="false">
      <c r="A14" s="5" t="n">
        <v>3</v>
      </c>
      <c r="B14" s="5" t="n">
        <v>3</v>
      </c>
      <c r="C14" s="6" t="s">
        <v>105</v>
      </c>
      <c r="D14" s="6" t="s">
        <v>67</v>
      </c>
      <c r="E14" s="6" t="s">
        <v>66</v>
      </c>
      <c r="F14" s="6" t="s">
        <v>65</v>
      </c>
      <c r="G14" s="6" t="s">
        <v>64</v>
      </c>
      <c r="H14" s="5" t="s">
        <v>55</v>
      </c>
      <c r="I14" s="5" t="s">
        <v>57</v>
      </c>
      <c r="J14" s="5" t="s">
        <v>54</v>
      </c>
      <c r="K14" s="5" t="s">
        <v>56</v>
      </c>
      <c r="L14" s="5"/>
      <c r="M14" s="5"/>
      <c r="N14" s="5" t="str">
        <f aca="false">IFERROR(INDEX(H14:K14,MATCH(L14,{"A","B","C","D"},0)),"")</f>
        <v/>
      </c>
      <c r="O14" s="5" t="str">
        <f aca="false">IFERROR(INDEX(H14:K14,MATCH(M14,{"A","B","C","D"},0)),"")</f>
        <v/>
      </c>
    </row>
    <row r="15" customFormat="false" ht="23.85" hidden="false" customHeight="false" outlineLevel="0" collapsed="false">
      <c r="A15" s="5" t="n">
        <v>3</v>
      </c>
      <c r="B15" s="5" t="n">
        <v>4</v>
      </c>
      <c r="C15" s="6" t="s">
        <v>106</v>
      </c>
      <c r="D15" s="6" t="s">
        <v>71</v>
      </c>
      <c r="E15" s="6" t="s">
        <v>70</v>
      </c>
      <c r="F15" s="6" t="s">
        <v>72</v>
      </c>
      <c r="G15" s="6" t="s">
        <v>69</v>
      </c>
      <c r="H15" s="5" t="s">
        <v>56</v>
      </c>
      <c r="I15" s="5" t="s">
        <v>57</v>
      </c>
      <c r="J15" s="5" t="s">
        <v>54</v>
      </c>
      <c r="K15" s="5" t="s">
        <v>55</v>
      </c>
      <c r="L15" s="5"/>
      <c r="M15" s="5"/>
      <c r="N15" s="5" t="str">
        <f aca="false">IFERROR(INDEX(H15:K15,MATCH(L15,{"A","B","C","D"},0)),"")</f>
        <v/>
      </c>
      <c r="O15" s="5" t="str">
        <f aca="false">IFERROR(INDEX(H15:K15,MATCH(M15,{"A","B","C","D"},0)),"")</f>
        <v/>
      </c>
    </row>
    <row r="16" customFormat="false" ht="23.85" hidden="false" customHeight="false" outlineLevel="0" collapsed="false">
      <c r="A16" s="5" t="n">
        <v>3</v>
      </c>
      <c r="B16" s="5" t="n">
        <v>5</v>
      </c>
      <c r="C16" s="6" t="s">
        <v>107</v>
      </c>
      <c r="D16" s="6" t="s">
        <v>74</v>
      </c>
      <c r="E16" s="6" t="s">
        <v>75</v>
      </c>
      <c r="F16" s="6" t="s">
        <v>76</v>
      </c>
      <c r="G16" s="6" t="s">
        <v>77</v>
      </c>
      <c r="H16" s="5" t="s">
        <v>56</v>
      </c>
      <c r="I16" s="5" t="s">
        <v>57</v>
      </c>
      <c r="J16" s="5" t="s">
        <v>55</v>
      </c>
      <c r="K16" s="5" t="s">
        <v>54</v>
      </c>
      <c r="L16" s="5"/>
      <c r="M16" s="5"/>
      <c r="N16" s="5" t="str">
        <f aca="false">IFERROR(INDEX(H16:K16,MATCH(L16,{"A","B","C","D"},0)),"")</f>
        <v/>
      </c>
      <c r="O16" s="5" t="str">
        <f aca="false">IFERROR(INDEX(H16:K16,MATCH(M16,{"A","B","C","D"},0)),"")</f>
        <v/>
      </c>
    </row>
    <row r="17" customFormat="false" ht="23.85" hidden="false" customHeight="false" outlineLevel="0" collapsed="false">
      <c r="A17" s="7" t="n">
        <v>4</v>
      </c>
      <c r="B17" s="7" t="n">
        <v>1</v>
      </c>
      <c r="C17" s="8" t="s">
        <v>108</v>
      </c>
      <c r="D17" s="8" t="s">
        <v>82</v>
      </c>
      <c r="E17" s="8" t="s">
        <v>81</v>
      </c>
      <c r="F17" s="8" t="s">
        <v>79</v>
      </c>
      <c r="G17" s="8" t="s">
        <v>80</v>
      </c>
      <c r="H17" s="7" t="s">
        <v>56</v>
      </c>
      <c r="I17" s="7" t="s">
        <v>57</v>
      </c>
      <c r="J17" s="7" t="s">
        <v>55</v>
      </c>
      <c r="K17" s="7" t="s">
        <v>54</v>
      </c>
      <c r="L17" s="7"/>
      <c r="M17" s="7"/>
      <c r="N17" s="7" t="str">
        <f aca="false">IFERROR(INDEX(H17:K17,MATCH(L17,{"A","B","C","D"},0)),"")</f>
        <v/>
      </c>
      <c r="O17" s="7" t="str">
        <f aca="false">IFERROR(INDEX(H17:K17,MATCH(M17,{"A","B","C","D"},0)),"")</f>
        <v/>
      </c>
    </row>
    <row r="18" customFormat="false" ht="23.85" hidden="false" customHeight="false" outlineLevel="0" collapsed="false">
      <c r="A18" s="7" t="n">
        <v>4</v>
      </c>
      <c r="B18" s="7" t="n">
        <v>2</v>
      </c>
      <c r="C18" s="8" t="s">
        <v>109</v>
      </c>
      <c r="D18" s="8" t="s">
        <v>86</v>
      </c>
      <c r="E18" s="8" t="s">
        <v>84</v>
      </c>
      <c r="F18" s="8" t="s">
        <v>85</v>
      </c>
      <c r="G18" s="8" t="s">
        <v>87</v>
      </c>
      <c r="H18" s="7" t="s">
        <v>57</v>
      </c>
      <c r="I18" s="7" t="s">
        <v>54</v>
      </c>
      <c r="J18" s="7" t="s">
        <v>55</v>
      </c>
      <c r="K18" s="7" t="s">
        <v>56</v>
      </c>
      <c r="L18" s="7"/>
      <c r="M18" s="7"/>
      <c r="N18" s="7" t="str">
        <f aca="false">IFERROR(INDEX(H18:K18,MATCH(L18,{"A","B","C","D"},0)),"")</f>
        <v/>
      </c>
      <c r="O18" s="7" t="str">
        <f aca="false">IFERROR(INDEX(H18:K18,MATCH(M18,{"A","B","C","D"},0)),"")</f>
        <v/>
      </c>
    </row>
    <row r="19" customFormat="false" ht="23.85" hidden="false" customHeight="false" outlineLevel="0" collapsed="false">
      <c r="A19" s="7" t="n">
        <v>4</v>
      </c>
      <c r="B19" s="7" t="n">
        <v>3</v>
      </c>
      <c r="C19" s="8" t="s">
        <v>110</v>
      </c>
      <c r="D19" s="8" t="s">
        <v>90</v>
      </c>
      <c r="E19" s="8" t="s">
        <v>89</v>
      </c>
      <c r="F19" s="8" t="s">
        <v>92</v>
      </c>
      <c r="G19" s="8" t="s">
        <v>91</v>
      </c>
      <c r="H19" s="7" t="s">
        <v>57</v>
      </c>
      <c r="I19" s="7" t="s">
        <v>56</v>
      </c>
      <c r="J19" s="7" t="s">
        <v>55</v>
      </c>
      <c r="K19" s="7" t="s">
        <v>54</v>
      </c>
      <c r="L19" s="7"/>
      <c r="M19" s="7"/>
      <c r="N19" s="7" t="str">
        <f aca="false">IFERROR(INDEX(H19:K19,MATCH(L19,{"A","B","C","D"},0)),"")</f>
        <v/>
      </c>
      <c r="O19" s="7" t="str">
        <f aca="false">IFERROR(INDEX(H19:K19,MATCH(M19,{"A","B","C","D"},0)),"")</f>
        <v/>
      </c>
    </row>
    <row r="20" customFormat="false" ht="23.85" hidden="false" customHeight="false" outlineLevel="0" collapsed="false">
      <c r="A20" s="7" t="n">
        <v>4</v>
      </c>
      <c r="B20" s="7" t="n">
        <v>4</v>
      </c>
      <c r="C20" s="8" t="s">
        <v>111</v>
      </c>
      <c r="D20" s="8" t="s">
        <v>95</v>
      </c>
      <c r="E20" s="8" t="s">
        <v>96</v>
      </c>
      <c r="F20" s="8" t="s">
        <v>97</v>
      </c>
      <c r="G20" s="8" t="s">
        <v>94</v>
      </c>
      <c r="H20" s="7" t="s">
        <v>54</v>
      </c>
      <c r="I20" s="7" t="s">
        <v>55</v>
      </c>
      <c r="J20" s="7" t="s">
        <v>56</v>
      </c>
      <c r="K20" s="7" t="s">
        <v>57</v>
      </c>
      <c r="L20" s="7"/>
      <c r="M20" s="7"/>
      <c r="N20" s="7" t="str">
        <f aca="false">IFERROR(INDEX(H20:K20,MATCH(L20,{"A","B","C","D"},0)),"")</f>
        <v/>
      </c>
      <c r="O20" s="7" t="str">
        <f aca="false">IFERROR(INDEX(H20:K20,MATCH(M20,{"A","B","C","D"},0)),"")</f>
        <v/>
      </c>
    </row>
    <row r="21" customFormat="false" ht="23.85" hidden="false" customHeight="false" outlineLevel="0" collapsed="false">
      <c r="A21" s="7" t="n">
        <v>4</v>
      </c>
      <c r="B21" s="7" t="n">
        <v>5</v>
      </c>
      <c r="C21" s="8" t="s">
        <v>112</v>
      </c>
      <c r="D21" s="8" t="s">
        <v>102</v>
      </c>
      <c r="E21" s="8" t="s">
        <v>100</v>
      </c>
      <c r="F21" s="8" t="s">
        <v>99</v>
      </c>
      <c r="G21" s="8" t="s">
        <v>101</v>
      </c>
      <c r="H21" s="7" t="s">
        <v>54</v>
      </c>
      <c r="I21" s="7" t="s">
        <v>57</v>
      </c>
      <c r="J21" s="7" t="s">
        <v>56</v>
      </c>
      <c r="K21" s="7" t="s">
        <v>55</v>
      </c>
      <c r="L21" s="7"/>
      <c r="M21" s="7"/>
      <c r="N21" s="7" t="str">
        <f aca="false">IFERROR(INDEX(H21:K21,MATCH(L21,{"A","B","C","D"},0)),"")</f>
        <v/>
      </c>
      <c r="O21" s="7" t="str">
        <f aca="false">IFERROR(INDEX(H21:K21,MATCH(M21,{"A","B","C","D"},0)),"")</f>
        <v/>
      </c>
    </row>
    <row r="22" customFormat="false" ht="23.85" hidden="false" customHeight="false" outlineLevel="0" collapsed="false">
      <c r="A22" s="5" t="n">
        <v>5</v>
      </c>
      <c r="B22" s="5" t="n">
        <v>1</v>
      </c>
      <c r="C22" s="6" t="s">
        <v>113</v>
      </c>
      <c r="D22" s="6" t="s">
        <v>53</v>
      </c>
      <c r="E22" s="6" t="s">
        <v>51</v>
      </c>
      <c r="F22" s="6" t="s">
        <v>52</v>
      </c>
      <c r="G22" s="6" t="s">
        <v>50</v>
      </c>
      <c r="H22" s="5" t="s">
        <v>57</v>
      </c>
      <c r="I22" s="5" t="s">
        <v>55</v>
      </c>
      <c r="J22" s="5" t="s">
        <v>56</v>
      </c>
      <c r="K22" s="5" t="s">
        <v>54</v>
      </c>
      <c r="L22" s="5"/>
      <c r="M22" s="5"/>
      <c r="N22" s="5" t="str">
        <f aca="false">IFERROR(INDEX(H22:K22,MATCH(L22,{"A","B","C","D"},0)),"")</f>
        <v/>
      </c>
      <c r="O22" s="5" t="str">
        <f aca="false">IFERROR(INDEX(H22:K22,MATCH(M22,{"A","B","C","D"},0)),"")</f>
        <v/>
      </c>
    </row>
    <row r="23" customFormat="false" ht="23.85" hidden="false" customHeight="false" outlineLevel="0" collapsed="false">
      <c r="A23" s="5" t="n">
        <v>5</v>
      </c>
      <c r="B23" s="5" t="n">
        <v>2</v>
      </c>
      <c r="C23" s="6" t="s">
        <v>114</v>
      </c>
      <c r="D23" s="6" t="s">
        <v>60</v>
      </c>
      <c r="E23" s="6" t="s">
        <v>61</v>
      </c>
      <c r="F23" s="6" t="s">
        <v>59</v>
      </c>
      <c r="G23" s="6" t="s">
        <v>62</v>
      </c>
      <c r="H23" s="5" t="s">
        <v>55</v>
      </c>
      <c r="I23" s="5" t="s">
        <v>56</v>
      </c>
      <c r="J23" s="5" t="s">
        <v>57</v>
      </c>
      <c r="K23" s="5" t="s">
        <v>54</v>
      </c>
      <c r="L23" s="5"/>
      <c r="M23" s="5"/>
      <c r="N23" s="5" t="str">
        <f aca="false">IFERROR(INDEX(H23:K23,MATCH(L23,{"A","B","C","D"},0)),"")</f>
        <v/>
      </c>
      <c r="O23" s="5" t="str">
        <f aca="false">IFERROR(INDEX(H23:K23,MATCH(M23,{"A","B","C","D"},0)),"")</f>
        <v/>
      </c>
    </row>
    <row r="24" customFormat="false" ht="23.85" hidden="false" customHeight="false" outlineLevel="0" collapsed="false">
      <c r="A24" s="5" t="n">
        <v>5</v>
      </c>
      <c r="B24" s="5" t="n">
        <v>3</v>
      </c>
      <c r="C24" s="6" t="s">
        <v>115</v>
      </c>
      <c r="D24" s="6" t="s">
        <v>67</v>
      </c>
      <c r="E24" s="6" t="s">
        <v>65</v>
      </c>
      <c r="F24" s="6" t="s">
        <v>66</v>
      </c>
      <c r="G24" s="6" t="s">
        <v>64</v>
      </c>
      <c r="H24" s="5" t="s">
        <v>55</v>
      </c>
      <c r="I24" s="5" t="s">
        <v>54</v>
      </c>
      <c r="J24" s="5" t="s">
        <v>57</v>
      </c>
      <c r="K24" s="5" t="s">
        <v>56</v>
      </c>
      <c r="L24" s="5"/>
      <c r="M24" s="5"/>
      <c r="N24" s="5" t="str">
        <f aca="false">IFERROR(INDEX(H24:K24,MATCH(L24,{"A","B","C","D"},0)),"")</f>
        <v/>
      </c>
      <c r="O24" s="5" t="str">
        <f aca="false">IFERROR(INDEX(H24:K24,MATCH(M24,{"A","B","C","D"},0)),"")</f>
        <v/>
      </c>
    </row>
    <row r="25" customFormat="false" ht="23.85" hidden="false" customHeight="false" outlineLevel="0" collapsed="false">
      <c r="A25" s="5" t="n">
        <v>5</v>
      </c>
      <c r="B25" s="5" t="n">
        <v>4</v>
      </c>
      <c r="C25" s="6" t="s">
        <v>116</v>
      </c>
      <c r="D25" s="6" t="s">
        <v>69</v>
      </c>
      <c r="E25" s="6" t="s">
        <v>72</v>
      </c>
      <c r="F25" s="6" t="s">
        <v>71</v>
      </c>
      <c r="G25" s="6" t="s">
        <v>70</v>
      </c>
      <c r="H25" s="5" t="s">
        <v>55</v>
      </c>
      <c r="I25" s="5" t="s">
        <v>54</v>
      </c>
      <c r="J25" s="5" t="s">
        <v>56</v>
      </c>
      <c r="K25" s="5" t="s">
        <v>57</v>
      </c>
      <c r="L25" s="5"/>
      <c r="M25" s="5"/>
      <c r="N25" s="5" t="str">
        <f aca="false">IFERROR(INDEX(H25:K25,MATCH(L25,{"A","B","C","D"},0)),"")</f>
        <v/>
      </c>
      <c r="O25" s="5" t="str">
        <f aca="false">IFERROR(INDEX(H25:K25,MATCH(M25,{"A","B","C","D"},0)),"")</f>
        <v/>
      </c>
    </row>
    <row r="26" customFormat="false" ht="23.85" hidden="false" customHeight="false" outlineLevel="0" collapsed="false">
      <c r="A26" s="5" t="n">
        <v>5</v>
      </c>
      <c r="B26" s="5" t="n">
        <v>5</v>
      </c>
      <c r="C26" s="6" t="s">
        <v>117</v>
      </c>
      <c r="D26" s="6" t="s">
        <v>76</v>
      </c>
      <c r="E26" s="6" t="s">
        <v>77</v>
      </c>
      <c r="F26" s="6" t="s">
        <v>74</v>
      </c>
      <c r="G26" s="6" t="s">
        <v>75</v>
      </c>
      <c r="H26" s="5" t="s">
        <v>55</v>
      </c>
      <c r="I26" s="5" t="s">
        <v>54</v>
      </c>
      <c r="J26" s="5" t="s">
        <v>56</v>
      </c>
      <c r="K26" s="5" t="s">
        <v>57</v>
      </c>
      <c r="L26" s="5"/>
      <c r="M26" s="5"/>
      <c r="N26" s="5" t="str">
        <f aca="false">IFERROR(INDEX(H26:K26,MATCH(L26,{"A","B","C","D"},0)),"")</f>
        <v/>
      </c>
      <c r="O26" s="5" t="str">
        <f aca="false">IFERROR(INDEX(H26:K26,MATCH(M26,{"A","B","C","D"},0)),"")</f>
        <v/>
      </c>
    </row>
    <row r="27" customFormat="false" ht="23.85" hidden="false" customHeight="false" outlineLevel="0" collapsed="false">
      <c r="A27" s="7" t="n">
        <v>6</v>
      </c>
      <c r="B27" s="7" t="n">
        <v>1</v>
      </c>
      <c r="C27" s="8" t="s">
        <v>118</v>
      </c>
      <c r="D27" s="8" t="s">
        <v>82</v>
      </c>
      <c r="E27" s="8" t="s">
        <v>81</v>
      </c>
      <c r="F27" s="8" t="s">
        <v>79</v>
      </c>
      <c r="G27" s="8" t="s">
        <v>80</v>
      </c>
      <c r="H27" s="7" t="s">
        <v>56</v>
      </c>
      <c r="I27" s="7" t="s">
        <v>57</v>
      </c>
      <c r="J27" s="7" t="s">
        <v>55</v>
      </c>
      <c r="K27" s="7" t="s">
        <v>54</v>
      </c>
      <c r="L27" s="7"/>
      <c r="M27" s="7"/>
      <c r="N27" s="7" t="str">
        <f aca="false">IFERROR(INDEX(H27:K27,MATCH(L27,{"A","B","C","D"},0)),"")</f>
        <v/>
      </c>
      <c r="O27" s="7" t="str">
        <f aca="false">IFERROR(INDEX(H27:K27,MATCH(M27,{"A","B","C","D"},0)),"")</f>
        <v/>
      </c>
    </row>
    <row r="28" customFormat="false" ht="23.85" hidden="false" customHeight="false" outlineLevel="0" collapsed="false">
      <c r="A28" s="7" t="n">
        <v>6</v>
      </c>
      <c r="B28" s="7" t="n">
        <v>2</v>
      </c>
      <c r="C28" s="8" t="s">
        <v>119</v>
      </c>
      <c r="D28" s="8" t="s">
        <v>87</v>
      </c>
      <c r="E28" s="8" t="s">
        <v>86</v>
      </c>
      <c r="F28" s="8" t="s">
        <v>84</v>
      </c>
      <c r="G28" s="8" t="s">
        <v>85</v>
      </c>
      <c r="H28" s="7" t="s">
        <v>56</v>
      </c>
      <c r="I28" s="7" t="s">
        <v>57</v>
      </c>
      <c r="J28" s="7" t="s">
        <v>54</v>
      </c>
      <c r="K28" s="7" t="s">
        <v>55</v>
      </c>
      <c r="L28" s="7"/>
      <c r="M28" s="7"/>
      <c r="N28" s="7" t="str">
        <f aca="false">IFERROR(INDEX(H28:K28,MATCH(L28,{"A","B","C","D"},0)),"")</f>
        <v/>
      </c>
      <c r="O28" s="7" t="str">
        <f aca="false">IFERROR(INDEX(H28:K28,MATCH(M28,{"A","B","C","D"},0)),"")</f>
        <v/>
      </c>
    </row>
    <row r="29" customFormat="false" ht="23.85" hidden="false" customHeight="false" outlineLevel="0" collapsed="false">
      <c r="A29" s="7" t="n">
        <v>6</v>
      </c>
      <c r="B29" s="7" t="n">
        <v>3</v>
      </c>
      <c r="C29" s="8" t="s">
        <v>120</v>
      </c>
      <c r="D29" s="8" t="s">
        <v>92</v>
      </c>
      <c r="E29" s="8" t="s">
        <v>91</v>
      </c>
      <c r="F29" s="8" t="s">
        <v>89</v>
      </c>
      <c r="G29" s="8" t="s">
        <v>90</v>
      </c>
      <c r="H29" s="7" t="s">
        <v>55</v>
      </c>
      <c r="I29" s="7" t="s">
        <v>54</v>
      </c>
      <c r="J29" s="7" t="s">
        <v>56</v>
      </c>
      <c r="K29" s="7" t="s">
        <v>57</v>
      </c>
      <c r="L29" s="7"/>
      <c r="M29" s="7"/>
      <c r="N29" s="7" t="str">
        <f aca="false">IFERROR(INDEX(H29:K29,MATCH(L29,{"A","B","C","D"},0)),"")</f>
        <v/>
      </c>
      <c r="O29" s="7" t="str">
        <f aca="false">IFERROR(INDEX(H29:K29,MATCH(M29,{"A","B","C","D"},0)),"")</f>
        <v/>
      </c>
    </row>
    <row r="30" customFormat="false" ht="23.85" hidden="false" customHeight="false" outlineLevel="0" collapsed="false">
      <c r="A30" s="7" t="n">
        <v>6</v>
      </c>
      <c r="B30" s="7" t="n">
        <v>4</v>
      </c>
      <c r="C30" s="8" t="s">
        <v>121</v>
      </c>
      <c r="D30" s="8" t="s">
        <v>95</v>
      </c>
      <c r="E30" s="8" t="s">
        <v>97</v>
      </c>
      <c r="F30" s="8" t="s">
        <v>94</v>
      </c>
      <c r="G30" s="8" t="s">
        <v>96</v>
      </c>
      <c r="H30" s="7" t="s">
        <v>54</v>
      </c>
      <c r="I30" s="7" t="s">
        <v>56</v>
      </c>
      <c r="J30" s="7" t="s">
        <v>57</v>
      </c>
      <c r="K30" s="7" t="s">
        <v>55</v>
      </c>
      <c r="L30" s="7"/>
      <c r="M30" s="7"/>
      <c r="N30" s="7" t="str">
        <f aca="false">IFERROR(INDEX(H30:K30,MATCH(L30,{"A","B","C","D"},0)),"")</f>
        <v/>
      </c>
      <c r="O30" s="7" t="str">
        <f aca="false">IFERROR(INDEX(H30:K30,MATCH(M30,{"A","B","C","D"},0)),"")</f>
        <v/>
      </c>
    </row>
    <row r="31" customFormat="false" ht="23.85" hidden="false" customHeight="false" outlineLevel="0" collapsed="false">
      <c r="A31" s="7" t="n">
        <v>6</v>
      </c>
      <c r="B31" s="7" t="n">
        <v>5</v>
      </c>
      <c r="C31" s="8" t="s">
        <v>122</v>
      </c>
      <c r="D31" s="8" t="s">
        <v>101</v>
      </c>
      <c r="E31" s="8" t="s">
        <v>99</v>
      </c>
      <c r="F31" s="8" t="s">
        <v>102</v>
      </c>
      <c r="G31" s="8" t="s">
        <v>100</v>
      </c>
      <c r="H31" s="7" t="s">
        <v>55</v>
      </c>
      <c r="I31" s="7" t="s">
        <v>56</v>
      </c>
      <c r="J31" s="7" t="s">
        <v>54</v>
      </c>
      <c r="K31" s="7" t="s">
        <v>57</v>
      </c>
      <c r="L31" s="7"/>
      <c r="M31" s="7"/>
      <c r="N31" s="7" t="str">
        <f aca="false">IFERROR(INDEX(H31:K31,MATCH(L31,{"A","B","C","D"},0)),"")</f>
        <v/>
      </c>
      <c r="O31" s="7" t="str">
        <f aca="false">IFERROR(INDEX(H31:K31,MATCH(M31,{"A","B","C","D"},0)),"")</f>
        <v/>
      </c>
    </row>
    <row r="32" customFormat="false" ht="23.85" hidden="false" customHeight="false" outlineLevel="0" collapsed="false">
      <c r="A32" s="5" t="n">
        <v>7</v>
      </c>
      <c r="B32" s="5" t="n">
        <v>1</v>
      </c>
      <c r="C32" s="6" t="s">
        <v>123</v>
      </c>
      <c r="D32" s="6" t="s">
        <v>52</v>
      </c>
      <c r="E32" s="6" t="s">
        <v>53</v>
      </c>
      <c r="F32" s="6" t="s">
        <v>50</v>
      </c>
      <c r="G32" s="6" t="s">
        <v>51</v>
      </c>
      <c r="H32" s="5" t="s">
        <v>56</v>
      </c>
      <c r="I32" s="5" t="s">
        <v>57</v>
      </c>
      <c r="J32" s="5" t="s">
        <v>54</v>
      </c>
      <c r="K32" s="5" t="s">
        <v>55</v>
      </c>
      <c r="L32" s="5"/>
      <c r="M32" s="5"/>
      <c r="N32" s="5" t="str">
        <f aca="false">IFERROR(INDEX(H32:K32,MATCH(L32,{"A","B","C","D"},0)),"")</f>
        <v/>
      </c>
      <c r="O32" s="5" t="str">
        <f aca="false">IFERROR(INDEX(H32:K32,MATCH(M32,{"A","B","C","D"},0)),"")</f>
        <v/>
      </c>
    </row>
    <row r="33" customFormat="false" ht="23.85" hidden="false" customHeight="false" outlineLevel="0" collapsed="false">
      <c r="A33" s="5" t="n">
        <v>7</v>
      </c>
      <c r="B33" s="5" t="n">
        <v>2</v>
      </c>
      <c r="C33" s="6" t="s">
        <v>124</v>
      </c>
      <c r="D33" s="6" t="s">
        <v>60</v>
      </c>
      <c r="E33" s="6" t="s">
        <v>59</v>
      </c>
      <c r="F33" s="6" t="s">
        <v>61</v>
      </c>
      <c r="G33" s="6" t="s">
        <v>62</v>
      </c>
      <c r="H33" s="5" t="s">
        <v>55</v>
      </c>
      <c r="I33" s="5" t="s">
        <v>57</v>
      </c>
      <c r="J33" s="5" t="s">
        <v>56</v>
      </c>
      <c r="K33" s="5" t="s">
        <v>54</v>
      </c>
      <c r="L33" s="5"/>
      <c r="M33" s="5"/>
      <c r="N33" s="5" t="str">
        <f aca="false">IFERROR(INDEX(H33:K33,MATCH(L33,{"A","B","C","D"},0)),"")</f>
        <v/>
      </c>
      <c r="O33" s="5" t="str">
        <f aca="false">IFERROR(INDEX(H33:K33,MATCH(M33,{"A","B","C","D"},0)),"")</f>
        <v/>
      </c>
    </row>
    <row r="34" customFormat="false" ht="23.85" hidden="false" customHeight="false" outlineLevel="0" collapsed="false">
      <c r="A34" s="5" t="n">
        <v>7</v>
      </c>
      <c r="B34" s="5" t="n">
        <v>3</v>
      </c>
      <c r="C34" s="6" t="s">
        <v>125</v>
      </c>
      <c r="D34" s="6" t="s">
        <v>64</v>
      </c>
      <c r="E34" s="6" t="s">
        <v>65</v>
      </c>
      <c r="F34" s="6" t="s">
        <v>67</v>
      </c>
      <c r="G34" s="6" t="s">
        <v>66</v>
      </c>
      <c r="H34" s="5" t="s">
        <v>56</v>
      </c>
      <c r="I34" s="5" t="s">
        <v>54</v>
      </c>
      <c r="J34" s="5" t="s">
        <v>55</v>
      </c>
      <c r="K34" s="5" t="s">
        <v>57</v>
      </c>
      <c r="L34" s="5"/>
      <c r="M34" s="5"/>
      <c r="N34" s="5" t="str">
        <f aca="false">IFERROR(INDEX(H34:K34,MATCH(L34,{"A","B","C","D"},0)),"")</f>
        <v/>
      </c>
      <c r="O34" s="5" t="str">
        <f aca="false">IFERROR(INDEX(H34:K34,MATCH(M34,{"A","B","C","D"},0)),"")</f>
        <v/>
      </c>
    </row>
    <row r="35" customFormat="false" ht="23.85" hidden="false" customHeight="false" outlineLevel="0" collapsed="false">
      <c r="A35" s="5" t="n">
        <v>7</v>
      </c>
      <c r="B35" s="5" t="n">
        <v>4</v>
      </c>
      <c r="C35" s="6" t="s">
        <v>126</v>
      </c>
      <c r="D35" s="6" t="s">
        <v>70</v>
      </c>
      <c r="E35" s="6" t="s">
        <v>69</v>
      </c>
      <c r="F35" s="6" t="s">
        <v>71</v>
      </c>
      <c r="G35" s="6" t="s">
        <v>72</v>
      </c>
      <c r="H35" s="5" t="s">
        <v>57</v>
      </c>
      <c r="I35" s="5" t="s">
        <v>55</v>
      </c>
      <c r="J35" s="5" t="s">
        <v>56</v>
      </c>
      <c r="K35" s="5" t="s">
        <v>54</v>
      </c>
      <c r="L35" s="5"/>
      <c r="M35" s="5"/>
      <c r="N35" s="5" t="str">
        <f aca="false">IFERROR(INDEX(H35:K35,MATCH(L35,{"A","B","C","D"},0)),"")</f>
        <v/>
      </c>
      <c r="O35" s="5" t="str">
        <f aca="false">IFERROR(INDEX(H35:K35,MATCH(M35,{"A","B","C","D"},0)),"")</f>
        <v/>
      </c>
    </row>
    <row r="36" customFormat="false" ht="23.85" hidden="false" customHeight="false" outlineLevel="0" collapsed="false">
      <c r="A36" s="5" t="n">
        <v>7</v>
      </c>
      <c r="B36" s="5" t="n">
        <v>5</v>
      </c>
      <c r="C36" s="6" t="s">
        <v>127</v>
      </c>
      <c r="D36" s="6" t="s">
        <v>76</v>
      </c>
      <c r="E36" s="6" t="s">
        <v>77</v>
      </c>
      <c r="F36" s="6" t="s">
        <v>75</v>
      </c>
      <c r="G36" s="6" t="s">
        <v>74</v>
      </c>
      <c r="H36" s="5" t="s">
        <v>55</v>
      </c>
      <c r="I36" s="5" t="s">
        <v>54</v>
      </c>
      <c r="J36" s="5" t="s">
        <v>57</v>
      </c>
      <c r="K36" s="5" t="s">
        <v>56</v>
      </c>
      <c r="L36" s="5"/>
      <c r="M36" s="5"/>
      <c r="N36" s="5" t="str">
        <f aca="false">IFERROR(INDEX(H36:K36,MATCH(L36,{"A","B","C","D"},0)),"")</f>
        <v/>
      </c>
      <c r="O36" s="5" t="str">
        <f aca="false">IFERROR(INDEX(H36:K36,MATCH(M36,{"A","B","C","D"},0)),"")</f>
        <v/>
      </c>
    </row>
    <row r="37" customFormat="false" ht="23.85" hidden="false" customHeight="false" outlineLevel="0" collapsed="false">
      <c r="A37" s="7" t="n">
        <v>8</v>
      </c>
      <c r="B37" s="7" t="n">
        <v>1</v>
      </c>
      <c r="C37" s="8" t="s">
        <v>128</v>
      </c>
      <c r="D37" s="8" t="s">
        <v>82</v>
      </c>
      <c r="E37" s="8" t="s">
        <v>81</v>
      </c>
      <c r="F37" s="8" t="s">
        <v>80</v>
      </c>
      <c r="G37" s="8" t="s">
        <v>79</v>
      </c>
      <c r="H37" s="7" t="s">
        <v>56</v>
      </c>
      <c r="I37" s="7" t="s">
        <v>57</v>
      </c>
      <c r="J37" s="7" t="s">
        <v>54</v>
      </c>
      <c r="K37" s="7" t="s">
        <v>55</v>
      </c>
      <c r="L37" s="7"/>
      <c r="M37" s="7"/>
      <c r="N37" s="7" t="str">
        <f aca="false">IFERROR(INDEX(H37:K37,MATCH(L37,{"A","B","C","D"},0)),"")</f>
        <v/>
      </c>
      <c r="O37" s="7" t="str">
        <f aca="false">IFERROR(INDEX(H37:K37,MATCH(M37,{"A","B","C","D"},0)),"")</f>
        <v/>
      </c>
    </row>
    <row r="38" customFormat="false" ht="23.85" hidden="false" customHeight="false" outlineLevel="0" collapsed="false">
      <c r="A38" s="7" t="n">
        <v>8</v>
      </c>
      <c r="B38" s="7" t="n">
        <v>2</v>
      </c>
      <c r="C38" s="8" t="s">
        <v>129</v>
      </c>
      <c r="D38" s="8" t="s">
        <v>84</v>
      </c>
      <c r="E38" s="8" t="s">
        <v>87</v>
      </c>
      <c r="F38" s="8" t="s">
        <v>86</v>
      </c>
      <c r="G38" s="8" t="s">
        <v>85</v>
      </c>
      <c r="H38" s="7" t="s">
        <v>54</v>
      </c>
      <c r="I38" s="7" t="s">
        <v>56</v>
      </c>
      <c r="J38" s="7" t="s">
        <v>57</v>
      </c>
      <c r="K38" s="7" t="s">
        <v>55</v>
      </c>
      <c r="L38" s="7"/>
      <c r="M38" s="7"/>
      <c r="N38" s="7" t="str">
        <f aca="false">IFERROR(INDEX(H38:K38,MATCH(L38,{"A","B","C","D"},0)),"")</f>
        <v/>
      </c>
      <c r="O38" s="7" t="str">
        <f aca="false">IFERROR(INDEX(H38:K38,MATCH(M38,{"A","B","C","D"},0)),"")</f>
        <v/>
      </c>
    </row>
    <row r="39" customFormat="false" ht="23.85" hidden="false" customHeight="false" outlineLevel="0" collapsed="false">
      <c r="A39" s="7" t="n">
        <v>8</v>
      </c>
      <c r="B39" s="7" t="n">
        <v>3</v>
      </c>
      <c r="C39" s="8" t="s">
        <v>130</v>
      </c>
      <c r="D39" s="8" t="s">
        <v>91</v>
      </c>
      <c r="E39" s="8" t="s">
        <v>89</v>
      </c>
      <c r="F39" s="8" t="s">
        <v>90</v>
      </c>
      <c r="G39" s="8" t="s">
        <v>92</v>
      </c>
      <c r="H39" s="7" t="s">
        <v>54</v>
      </c>
      <c r="I39" s="7" t="s">
        <v>56</v>
      </c>
      <c r="J39" s="7" t="s">
        <v>57</v>
      </c>
      <c r="K39" s="7" t="s">
        <v>55</v>
      </c>
      <c r="L39" s="7"/>
      <c r="M39" s="7"/>
      <c r="N39" s="7" t="str">
        <f aca="false">IFERROR(INDEX(H39:K39,MATCH(L39,{"A","B","C","D"},0)),"")</f>
        <v/>
      </c>
      <c r="O39" s="7" t="str">
        <f aca="false">IFERROR(INDEX(H39:K39,MATCH(M39,{"A","B","C","D"},0)),"")</f>
        <v/>
      </c>
    </row>
    <row r="40" customFormat="false" ht="23.85" hidden="false" customHeight="false" outlineLevel="0" collapsed="false">
      <c r="A40" s="7" t="n">
        <v>8</v>
      </c>
      <c r="B40" s="7" t="n">
        <v>4</v>
      </c>
      <c r="C40" s="8" t="s">
        <v>131</v>
      </c>
      <c r="D40" s="8" t="s">
        <v>95</v>
      </c>
      <c r="E40" s="8" t="s">
        <v>97</v>
      </c>
      <c r="F40" s="8" t="s">
        <v>94</v>
      </c>
      <c r="G40" s="8" t="s">
        <v>96</v>
      </c>
      <c r="H40" s="7" t="s">
        <v>54</v>
      </c>
      <c r="I40" s="7" t="s">
        <v>56</v>
      </c>
      <c r="J40" s="7" t="s">
        <v>57</v>
      </c>
      <c r="K40" s="7" t="s">
        <v>55</v>
      </c>
      <c r="L40" s="7"/>
      <c r="M40" s="7"/>
      <c r="N40" s="7" t="str">
        <f aca="false">IFERROR(INDEX(H40:K40,MATCH(L40,{"A","B","C","D"},0)),"")</f>
        <v/>
      </c>
      <c r="O40" s="7" t="str">
        <f aca="false">IFERROR(INDEX(H40:K40,MATCH(M40,{"A","B","C","D"},0)),"")</f>
        <v/>
      </c>
    </row>
    <row r="41" customFormat="false" ht="23.85" hidden="false" customHeight="false" outlineLevel="0" collapsed="false">
      <c r="A41" s="7" t="n">
        <v>8</v>
      </c>
      <c r="B41" s="7" t="n">
        <v>5</v>
      </c>
      <c r="C41" s="8" t="s">
        <v>132</v>
      </c>
      <c r="D41" s="8" t="s">
        <v>101</v>
      </c>
      <c r="E41" s="8" t="s">
        <v>102</v>
      </c>
      <c r="F41" s="8" t="s">
        <v>99</v>
      </c>
      <c r="G41" s="8" t="s">
        <v>100</v>
      </c>
      <c r="H41" s="7" t="s">
        <v>55</v>
      </c>
      <c r="I41" s="7" t="s">
        <v>54</v>
      </c>
      <c r="J41" s="7" t="s">
        <v>56</v>
      </c>
      <c r="K41" s="7" t="s">
        <v>57</v>
      </c>
      <c r="L41" s="7"/>
      <c r="M41" s="7"/>
      <c r="N41" s="7" t="str">
        <f aca="false">IFERROR(INDEX(H41:K41,MATCH(L41,{"A","B","C","D"},0)),"")</f>
        <v/>
      </c>
      <c r="O41" s="7" t="str">
        <f aca="false">IFERROR(INDEX(H41:K41,MATCH(M41,{"A","B","C","D"},0)),"")</f>
        <v/>
      </c>
    </row>
    <row r="42" customFormat="false" ht="23.85" hidden="false" customHeight="false" outlineLevel="0" collapsed="false">
      <c r="A42" s="5" t="n">
        <v>9</v>
      </c>
      <c r="B42" s="5" t="n">
        <v>1</v>
      </c>
      <c r="C42" s="6" t="s">
        <v>133</v>
      </c>
      <c r="D42" s="6" t="s">
        <v>52</v>
      </c>
      <c r="E42" s="6" t="s">
        <v>51</v>
      </c>
      <c r="F42" s="6" t="s">
        <v>53</v>
      </c>
      <c r="G42" s="6" t="s">
        <v>50</v>
      </c>
      <c r="H42" s="5" t="s">
        <v>56</v>
      </c>
      <c r="I42" s="5" t="s">
        <v>55</v>
      </c>
      <c r="J42" s="5" t="s">
        <v>57</v>
      </c>
      <c r="K42" s="5" t="s">
        <v>54</v>
      </c>
      <c r="L42" s="5"/>
      <c r="M42" s="5"/>
      <c r="N42" s="5" t="str">
        <f aca="false">IFERROR(INDEX(H42:K42,MATCH(L42,{"A","B","C","D"},0)),"")</f>
        <v/>
      </c>
      <c r="O42" s="5" t="str">
        <f aca="false">IFERROR(INDEX(H42:K42,MATCH(M42,{"A","B","C","D"},0)),"")</f>
        <v/>
      </c>
    </row>
    <row r="43" customFormat="false" ht="23.85" hidden="false" customHeight="false" outlineLevel="0" collapsed="false">
      <c r="A43" s="5" t="n">
        <v>9</v>
      </c>
      <c r="B43" s="5" t="n">
        <v>2</v>
      </c>
      <c r="C43" s="6" t="s">
        <v>134</v>
      </c>
      <c r="D43" s="6" t="s">
        <v>59</v>
      </c>
      <c r="E43" s="6" t="s">
        <v>62</v>
      </c>
      <c r="F43" s="6" t="s">
        <v>61</v>
      </c>
      <c r="G43" s="6" t="s">
        <v>60</v>
      </c>
      <c r="H43" s="5" t="s">
        <v>57</v>
      </c>
      <c r="I43" s="5" t="s">
        <v>54</v>
      </c>
      <c r="J43" s="5" t="s">
        <v>56</v>
      </c>
      <c r="K43" s="5" t="s">
        <v>55</v>
      </c>
      <c r="L43" s="5"/>
      <c r="M43" s="5"/>
      <c r="N43" s="5" t="str">
        <f aca="false">IFERROR(INDEX(H43:K43,MATCH(L43,{"A","B","C","D"},0)),"")</f>
        <v/>
      </c>
      <c r="O43" s="5" t="str">
        <f aca="false">IFERROR(INDEX(H43:K43,MATCH(M43,{"A","B","C","D"},0)),"")</f>
        <v/>
      </c>
    </row>
    <row r="44" customFormat="false" ht="23.85" hidden="false" customHeight="false" outlineLevel="0" collapsed="false">
      <c r="A44" s="5" t="n">
        <v>9</v>
      </c>
      <c r="B44" s="5" t="n">
        <v>3</v>
      </c>
      <c r="C44" s="6" t="s">
        <v>135</v>
      </c>
      <c r="D44" s="6" t="s">
        <v>67</v>
      </c>
      <c r="E44" s="6" t="s">
        <v>64</v>
      </c>
      <c r="F44" s="6" t="s">
        <v>66</v>
      </c>
      <c r="G44" s="6" t="s">
        <v>65</v>
      </c>
      <c r="H44" s="5" t="s">
        <v>55</v>
      </c>
      <c r="I44" s="5" t="s">
        <v>56</v>
      </c>
      <c r="J44" s="5" t="s">
        <v>57</v>
      </c>
      <c r="K44" s="5" t="s">
        <v>54</v>
      </c>
      <c r="L44" s="5"/>
      <c r="M44" s="5"/>
      <c r="N44" s="5" t="str">
        <f aca="false">IFERROR(INDEX(H44:K44,MATCH(L44,{"A","B","C","D"},0)),"")</f>
        <v/>
      </c>
      <c r="O44" s="5" t="str">
        <f aca="false">IFERROR(INDEX(H44:K44,MATCH(M44,{"A","B","C","D"},0)),"")</f>
        <v/>
      </c>
    </row>
    <row r="45" customFormat="false" ht="23.85" hidden="false" customHeight="false" outlineLevel="0" collapsed="false">
      <c r="A45" s="5" t="n">
        <v>9</v>
      </c>
      <c r="B45" s="5" t="n">
        <v>4</v>
      </c>
      <c r="C45" s="6" t="s">
        <v>136</v>
      </c>
      <c r="D45" s="6" t="s">
        <v>71</v>
      </c>
      <c r="E45" s="6" t="s">
        <v>69</v>
      </c>
      <c r="F45" s="6" t="s">
        <v>72</v>
      </c>
      <c r="G45" s="6" t="s">
        <v>70</v>
      </c>
      <c r="H45" s="5" t="s">
        <v>56</v>
      </c>
      <c r="I45" s="5" t="s">
        <v>55</v>
      </c>
      <c r="J45" s="5" t="s">
        <v>54</v>
      </c>
      <c r="K45" s="5" t="s">
        <v>57</v>
      </c>
      <c r="L45" s="5"/>
      <c r="M45" s="5"/>
      <c r="N45" s="5" t="str">
        <f aca="false">IFERROR(INDEX(H45:K45,MATCH(L45,{"A","B","C","D"},0)),"")</f>
        <v/>
      </c>
      <c r="O45" s="5" t="str">
        <f aca="false">IFERROR(INDEX(H45:K45,MATCH(M45,{"A","B","C","D"},0)),"")</f>
        <v/>
      </c>
    </row>
    <row r="46" customFormat="false" ht="23.85" hidden="false" customHeight="false" outlineLevel="0" collapsed="false">
      <c r="A46" s="5" t="n">
        <v>9</v>
      </c>
      <c r="B46" s="5" t="n">
        <v>5</v>
      </c>
      <c r="C46" s="6" t="s">
        <v>137</v>
      </c>
      <c r="D46" s="6" t="s">
        <v>74</v>
      </c>
      <c r="E46" s="6" t="s">
        <v>76</v>
      </c>
      <c r="F46" s="6" t="s">
        <v>77</v>
      </c>
      <c r="G46" s="6" t="s">
        <v>75</v>
      </c>
      <c r="H46" s="5" t="s">
        <v>56</v>
      </c>
      <c r="I46" s="5" t="s">
        <v>55</v>
      </c>
      <c r="J46" s="5" t="s">
        <v>54</v>
      </c>
      <c r="K46" s="5" t="s">
        <v>57</v>
      </c>
      <c r="L46" s="5"/>
      <c r="M46" s="5"/>
      <c r="N46" s="5" t="str">
        <f aca="false">IFERROR(INDEX(H46:K46,MATCH(L46,{"A","B","C","D"},0)),"")</f>
        <v/>
      </c>
      <c r="O46" s="5" t="str">
        <f aca="false">IFERROR(INDEX(H46:K46,MATCH(M46,{"A","B","C","D"},0)),"")</f>
        <v/>
      </c>
    </row>
    <row r="47" customFormat="false" ht="23.85" hidden="false" customHeight="false" outlineLevel="0" collapsed="false">
      <c r="A47" s="7" t="n">
        <v>10</v>
      </c>
      <c r="B47" s="7" t="n">
        <v>1</v>
      </c>
      <c r="C47" s="8" t="s">
        <v>138</v>
      </c>
      <c r="D47" s="8" t="s">
        <v>81</v>
      </c>
      <c r="E47" s="8" t="s">
        <v>79</v>
      </c>
      <c r="F47" s="8" t="s">
        <v>82</v>
      </c>
      <c r="G47" s="8" t="s">
        <v>80</v>
      </c>
      <c r="H47" s="7" t="s">
        <v>57</v>
      </c>
      <c r="I47" s="7" t="s">
        <v>55</v>
      </c>
      <c r="J47" s="7" t="s">
        <v>56</v>
      </c>
      <c r="K47" s="7" t="s">
        <v>54</v>
      </c>
      <c r="L47" s="7"/>
      <c r="M47" s="7"/>
      <c r="N47" s="7" t="str">
        <f aca="false">IFERROR(INDEX(H47:K47,MATCH(L47,{"A","B","C","D"},0)),"")</f>
        <v/>
      </c>
      <c r="O47" s="7" t="str">
        <f aca="false">IFERROR(INDEX(H47:K47,MATCH(M47,{"A","B","C","D"},0)),"")</f>
        <v/>
      </c>
    </row>
    <row r="48" customFormat="false" ht="23.85" hidden="false" customHeight="false" outlineLevel="0" collapsed="false">
      <c r="A48" s="7" t="n">
        <v>10</v>
      </c>
      <c r="B48" s="7" t="n">
        <v>2</v>
      </c>
      <c r="C48" s="8" t="s">
        <v>139</v>
      </c>
      <c r="D48" s="8" t="s">
        <v>85</v>
      </c>
      <c r="E48" s="8" t="s">
        <v>84</v>
      </c>
      <c r="F48" s="8" t="s">
        <v>87</v>
      </c>
      <c r="G48" s="8" t="s">
        <v>86</v>
      </c>
      <c r="H48" s="7" t="s">
        <v>55</v>
      </c>
      <c r="I48" s="7" t="s">
        <v>54</v>
      </c>
      <c r="J48" s="7" t="s">
        <v>56</v>
      </c>
      <c r="K48" s="7" t="s">
        <v>57</v>
      </c>
      <c r="L48" s="7"/>
      <c r="M48" s="7"/>
      <c r="N48" s="7" t="str">
        <f aca="false">IFERROR(INDEX(H48:K48,MATCH(L48,{"A","B","C","D"},0)),"")</f>
        <v/>
      </c>
      <c r="O48" s="7" t="str">
        <f aca="false">IFERROR(INDEX(H48:K48,MATCH(M48,{"A","B","C","D"},0)),"")</f>
        <v/>
      </c>
    </row>
    <row r="49" customFormat="false" ht="23.85" hidden="false" customHeight="false" outlineLevel="0" collapsed="false">
      <c r="A49" s="7" t="n">
        <v>10</v>
      </c>
      <c r="B49" s="7" t="n">
        <v>3</v>
      </c>
      <c r="C49" s="8" t="s">
        <v>140</v>
      </c>
      <c r="D49" s="8" t="s">
        <v>92</v>
      </c>
      <c r="E49" s="8" t="s">
        <v>89</v>
      </c>
      <c r="F49" s="8" t="s">
        <v>91</v>
      </c>
      <c r="G49" s="8" t="s">
        <v>90</v>
      </c>
      <c r="H49" s="7" t="s">
        <v>55</v>
      </c>
      <c r="I49" s="7" t="s">
        <v>56</v>
      </c>
      <c r="J49" s="7" t="s">
        <v>54</v>
      </c>
      <c r="K49" s="7" t="s">
        <v>57</v>
      </c>
      <c r="L49" s="7"/>
      <c r="M49" s="7"/>
      <c r="N49" s="7" t="str">
        <f aca="false">IFERROR(INDEX(H49:K49,MATCH(L49,{"A","B","C","D"},0)),"")</f>
        <v/>
      </c>
      <c r="O49" s="7" t="str">
        <f aca="false">IFERROR(INDEX(H49:K49,MATCH(M49,{"A","B","C","D"},0)),"")</f>
        <v/>
      </c>
    </row>
    <row r="50" customFormat="false" ht="23.85" hidden="false" customHeight="false" outlineLevel="0" collapsed="false">
      <c r="A50" s="7" t="n">
        <v>10</v>
      </c>
      <c r="B50" s="7" t="n">
        <v>4</v>
      </c>
      <c r="C50" s="8" t="s">
        <v>141</v>
      </c>
      <c r="D50" s="8" t="s">
        <v>97</v>
      </c>
      <c r="E50" s="8" t="s">
        <v>96</v>
      </c>
      <c r="F50" s="8" t="s">
        <v>95</v>
      </c>
      <c r="G50" s="8" t="s">
        <v>94</v>
      </c>
      <c r="H50" s="7" t="s">
        <v>56</v>
      </c>
      <c r="I50" s="7" t="s">
        <v>55</v>
      </c>
      <c r="J50" s="7" t="s">
        <v>54</v>
      </c>
      <c r="K50" s="7" t="s">
        <v>57</v>
      </c>
      <c r="L50" s="7"/>
      <c r="M50" s="7"/>
      <c r="N50" s="7" t="str">
        <f aca="false">IFERROR(INDEX(H50:K50,MATCH(L50,{"A","B","C","D"},0)),"")</f>
        <v/>
      </c>
      <c r="O50" s="7" t="str">
        <f aca="false">IFERROR(INDEX(H50:K50,MATCH(M50,{"A","B","C","D"},0)),"")</f>
        <v/>
      </c>
    </row>
    <row r="51" customFormat="false" ht="23.85" hidden="false" customHeight="false" outlineLevel="0" collapsed="false">
      <c r="A51" s="7" t="n">
        <v>10</v>
      </c>
      <c r="B51" s="7" t="n">
        <v>5</v>
      </c>
      <c r="C51" s="8" t="s">
        <v>142</v>
      </c>
      <c r="D51" s="8" t="s">
        <v>100</v>
      </c>
      <c r="E51" s="8" t="s">
        <v>99</v>
      </c>
      <c r="F51" s="8" t="s">
        <v>101</v>
      </c>
      <c r="G51" s="8" t="s">
        <v>102</v>
      </c>
      <c r="H51" s="7" t="s">
        <v>57</v>
      </c>
      <c r="I51" s="7" t="s">
        <v>56</v>
      </c>
      <c r="J51" s="7" t="s">
        <v>55</v>
      </c>
      <c r="K51" s="7" t="s">
        <v>54</v>
      </c>
      <c r="L51" s="7"/>
      <c r="M51" s="7"/>
      <c r="N51" s="7" t="str">
        <f aca="false">IFERROR(INDEX(H51:K51,MATCH(L51,{"A","B","C","D"},0)),"")</f>
        <v/>
      </c>
      <c r="O51" s="7" t="str">
        <f aca="false">IFERROR(INDEX(H51:K51,MATCH(M51,{"A","B","C","D"},0)),"")</f>
        <v/>
      </c>
    </row>
    <row r="54" customFormat="false" ht="15" hidden="false" customHeight="false" outlineLevel="0" collapsed="false">
      <c r="A54" s="9" t="s">
        <v>143</v>
      </c>
      <c r="B54" s="9"/>
      <c r="C54" s="9"/>
      <c r="D54" s="9"/>
      <c r="E54" s="9"/>
      <c r="F54" s="9"/>
    </row>
    <row r="55" customFormat="false" ht="46.25" hidden="false" customHeight="false" outlineLevel="0" collapsed="false">
      <c r="A55" s="10" t="s">
        <v>34</v>
      </c>
      <c r="B55" s="10" t="s">
        <v>144</v>
      </c>
      <c r="C55" s="10" t="s">
        <v>145</v>
      </c>
      <c r="D55" s="10" t="s">
        <v>146</v>
      </c>
      <c r="E55" s="10" t="s">
        <v>147</v>
      </c>
      <c r="F55" s="10" t="s">
        <v>148</v>
      </c>
    </row>
    <row r="56" customFormat="false" ht="15" hidden="false" customHeight="false" outlineLevel="0" collapsed="false">
      <c r="A56" s="11" t="n">
        <v>1</v>
      </c>
      <c r="B56" s="12" t="n">
        <f aca="false">SUMPRODUCT(($A$2:$A$51=$A56)*($N$2:$N$51="ST"))-SUMPRODUCT(($A$2:$A$51=$A56)*($O$2:$O$51="ST"))</f>
        <v>0</v>
      </c>
      <c r="C56" s="12" t="n">
        <f aca="false">SUMPRODUCT(($A$2:$A$51=$A56)*($N$2:$N$51="RB"))-SUMPRODUCT(($A$2:$A$51=$A56)*($O$2:$O$51="RB"))</f>
        <v>0</v>
      </c>
      <c r="D56" s="12" t="n">
        <f aca="false">SUMPRODUCT(($A$2:$A$51=$A56)*($N$2:$N$51="IN"))-SUMPRODUCT(($A$2:$A$51=$A56)*($O$2:$O$51="IN"))</f>
        <v>0</v>
      </c>
      <c r="E56" s="12" t="n">
        <f aca="false">SUMPRODUCT(($A$2:$A$51=$A56)*($N$2:$N$51="EX"))-SUMPRODUCT(($A$2:$A$51=$A56)*($O$2:$O$51="EX"))</f>
        <v>0</v>
      </c>
      <c r="F56" s="12" t="str">
        <f aca="false">IF(COUNT(B56:E56)=0,"",INDEX({"Strategic Thinking";"Relationship Building";"Influencing";"Executing"},MATCH(MAX(B56:E56),B56:E56,0)))</f>
        <v>Strategic Thinking</v>
      </c>
    </row>
    <row r="57" customFormat="false" ht="15" hidden="false" customHeight="false" outlineLevel="0" collapsed="false">
      <c r="A57" s="11" t="n">
        <v>2</v>
      </c>
      <c r="B57" s="12" t="n">
        <f aca="false">SUMPRODUCT(($A$2:$A$51=$A57)*($N$2:$N$51="ST"))-SUMPRODUCT(($A$2:$A$51=$A57)*($O$2:$O$51="ST"))</f>
        <v>0</v>
      </c>
      <c r="C57" s="12" t="n">
        <f aca="false">SUMPRODUCT(($A$2:$A$51=$A57)*($N$2:$N$51="RB"))-SUMPRODUCT(($A$2:$A$51=$A57)*($O$2:$O$51="RB"))</f>
        <v>0</v>
      </c>
      <c r="D57" s="12" t="n">
        <f aca="false">SUMPRODUCT(($A$2:$A$51=$A57)*($N$2:$N$51="IN"))-SUMPRODUCT(($A$2:$A$51=$A57)*($O$2:$O$51="IN"))</f>
        <v>0</v>
      </c>
      <c r="E57" s="12" t="n">
        <f aca="false">SUMPRODUCT(($A$2:$A$51=$A57)*($N$2:$N$51="EX"))-SUMPRODUCT(($A$2:$A$51=$A57)*($O$2:$O$51="EX"))</f>
        <v>0</v>
      </c>
      <c r="F57" s="12" t="str">
        <f aca="false">IF(COUNT(B57:E57)=0,"",INDEX({"Strategic Thinking";"Relationship Building";"Influencing";"Executing"},MATCH(MAX(B57:E57),B57:E57,0)))</f>
        <v>Strategic Thinking</v>
      </c>
    </row>
    <row r="58" customFormat="false" ht="15" hidden="false" customHeight="false" outlineLevel="0" collapsed="false">
      <c r="A58" s="11" t="n">
        <v>3</v>
      </c>
      <c r="B58" s="12" t="n">
        <f aca="false">SUMPRODUCT(($A$2:$A$51=$A58)*($N$2:$N$51="ST"))-SUMPRODUCT(($A$2:$A$51=$A58)*($O$2:$O$51="ST"))</f>
        <v>0</v>
      </c>
      <c r="C58" s="12" t="n">
        <f aca="false">SUMPRODUCT(($A$2:$A$51=$A58)*($N$2:$N$51="RB"))-SUMPRODUCT(($A$2:$A$51=$A58)*($O$2:$O$51="RB"))</f>
        <v>0</v>
      </c>
      <c r="D58" s="12" t="n">
        <f aca="false">SUMPRODUCT(($A$2:$A$51=$A58)*($N$2:$N$51="IN"))-SUMPRODUCT(($A$2:$A$51=$A58)*($O$2:$O$51="IN"))</f>
        <v>0</v>
      </c>
      <c r="E58" s="12" t="n">
        <f aca="false">SUMPRODUCT(($A$2:$A$51=$A58)*($N$2:$N$51="EX"))-SUMPRODUCT(($A$2:$A$51=$A58)*($O$2:$O$51="EX"))</f>
        <v>0</v>
      </c>
      <c r="F58" s="12" t="str">
        <f aca="false">IF(COUNT(B58:E58)=0,"",INDEX({"Strategic Thinking";"Relationship Building";"Influencing";"Executing"},MATCH(MAX(B58:E58),B58:E58,0)))</f>
        <v>Strategic Thinking</v>
      </c>
    </row>
    <row r="59" customFormat="false" ht="15" hidden="false" customHeight="false" outlineLevel="0" collapsed="false">
      <c r="A59" s="11" t="n">
        <v>4</v>
      </c>
      <c r="B59" s="12" t="n">
        <f aca="false">SUMPRODUCT(($A$2:$A$51=$A59)*($N$2:$N$51="ST"))-SUMPRODUCT(($A$2:$A$51=$A59)*($O$2:$O$51="ST"))</f>
        <v>0</v>
      </c>
      <c r="C59" s="12" t="n">
        <f aca="false">SUMPRODUCT(($A$2:$A$51=$A59)*($N$2:$N$51="RB"))-SUMPRODUCT(($A$2:$A$51=$A59)*($O$2:$O$51="RB"))</f>
        <v>0</v>
      </c>
      <c r="D59" s="12" t="n">
        <f aca="false">SUMPRODUCT(($A$2:$A$51=$A59)*($N$2:$N$51="IN"))-SUMPRODUCT(($A$2:$A$51=$A59)*($O$2:$O$51="IN"))</f>
        <v>0</v>
      </c>
      <c r="E59" s="12" t="n">
        <f aca="false">SUMPRODUCT(($A$2:$A$51=$A59)*($N$2:$N$51="EX"))-SUMPRODUCT(($A$2:$A$51=$A59)*($O$2:$O$51="EX"))</f>
        <v>0</v>
      </c>
      <c r="F59" s="12" t="str">
        <f aca="false">IF(COUNT(B59:E59)=0,"",INDEX({"Strategic Thinking";"Relationship Building";"Influencing";"Executing"},MATCH(MAX(B59:E59),B59:E59,0)))</f>
        <v>Strategic Thinking</v>
      </c>
    </row>
    <row r="60" customFormat="false" ht="15" hidden="false" customHeight="false" outlineLevel="0" collapsed="false">
      <c r="A60" s="11" t="n">
        <v>5</v>
      </c>
      <c r="B60" s="12" t="n">
        <f aca="false">SUMPRODUCT(($A$2:$A$51=$A60)*($N$2:$N$51="ST"))-SUMPRODUCT(($A$2:$A$51=$A60)*($O$2:$O$51="ST"))</f>
        <v>0</v>
      </c>
      <c r="C60" s="12" t="n">
        <f aca="false">SUMPRODUCT(($A$2:$A$51=$A60)*($N$2:$N$51="RB"))-SUMPRODUCT(($A$2:$A$51=$A60)*($O$2:$O$51="RB"))</f>
        <v>0</v>
      </c>
      <c r="D60" s="12" t="n">
        <f aca="false">SUMPRODUCT(($A$2:$A$51=$A60)*($N$2:$N$51="IN"))-SUMPRODUCT(($A$2:$A$51=$A60)*($O$2:$O$51="IN"))</f>
        <v>0</v>
      </c>
      <c r="E60" s="12" t="n">
        <f aca="false">SUMPRODUCT(($A$2:$A$51=$A60)*($N$2:$N$51="EX"))-SUMPRODUCT(($A$2:$A$51=$A60)*($O$2:$O$51="EX"))</f>
        <v>0</v>
      </c>
      <c r="F60" s="12" t="str">
        <f aca="false">IF(COUNT(B60:E60)=0,"",INDEX({"Strategic Thinking";"Relationship Building";"Influencing";"Executing"},MATCH(MAX(B60:E60),B60:E60,0)))</f>
        <v>Strategic Thinking</v>
      </c>
    </row>
    <row r="61" customFormat="false" ht="15" hidden="false" customHeight="false" outlineLevel="0" collapsed="false">
      <c r="A61" s="11" t="n">
        <v>6</v>
      </c>
      <c r="B61" s="12" t="n">
        <f aca="false">SUMPRODUCT(($A$2:$A$51=$A61)*($N$2:$N$51="ST"))-SUMPRODUCT(($A$2:$A$51=$A61)*($O$2:$O$51="ST"))</f>
        <v>0</v>
      </c>
      <c r="C61" s="12" t="n">
        <f aca="false">SUMPRODUCT(($A$2:$A$51=$A61)*($N$2:$N$51="RB"))-SUMPRODUCT(($A$2:$A$51=$A61)*($O$2:$O$51="RB"))</f>
        <v>0</v>
      </c>
      <c r="D61" s="12" t="n">
        <f aca="false">SUMPRODUCT(($A$2:$A$51=$A61)*($N$2:$N$51="IN"))-SUMPRODUCT(($A$2:$A$51=$A61)*($O$2:$O$51="IN"))</f>
        <v>0</v>
      </c>
      <c r="E61" s="12" t="n">
        <f aca="false">SUMPRODUCT(($A$2:$A$51=$A61)*($N$2:$N$51="EX"))-SUMPRODUCT(($A$2:$A$51=$A61)*($O$2:$O$51="EX"))</f>
        <v>0</v>
      </c>
      <c r="F61" s="12" t="str">
        <f aca="false">IF(COUNT(B61:E61)=0,"",INDEX({"Strategic Thinking";"Relationship Building";"Influencing";"Executing"},MATCH(MAX(B61:E61),B61:E61,0)))</f>
        <v>Strategic Thinking</v>
      </c>
    </row>
    <row r="62" customFormat="false" ht="15" hidden="false" customHeight="false" outlineLevel="0" collapsed="false">
      <c r="A62" s="11" t="n">
        <v>7</v>
      </c>
      <c r="B62" s="12" t="n">
        <f aca="false">SUMPRODUCT(($A$2:$A$51=$A62)*($N$2:$N$51="ST"))-SUMPRODUCT(($A$2:$A$51=$A62)*($O$2:$O$51="ST"))</f>
        <v>0</v>
      </c>
      <c r="C62" s="12" t="n">
        <f aca="false">SUMPRODUCT(($A$2:$A$51=$A62)*($N$2:$N$51="RB"))-SUMPRODUCT(($A$2:$A$51=$A62)*($O$2:$O$51="RB"))</f>
        <v>0</v>
      </c>
      <c r="D62" s="12" t="n">
        <f aca="false">SUMPRODUCT(($A$2:$A$51=$A62)*($N$2:$N$51="IN"))-SUMPRODUCT(($A$2:$A$51=$A62)*($O$2:$O$51="IN"))</f>
        <v>0</v>
      </c>
      <c r="E62" s="12" t="n">
        <f aca="false">SUMPRODUCT(($A$2:$A$51=$A62)*($N$2:$N$51="EX"))-SUMPRODUCT(($A$2:$A$51=$A62)*($O$2:$O$51="EX"))</f>
        <v>0</v>
      </c>
      <c r="F62" s="12" t="str">
        <f aca="false">IF(COUNT(B62:E62)=0,"",INDEX({"Strategic Thinking";"Relationship Building";"Influencing";"Executing"},MATCH(MAX(B62:E62),B62:E62,0)))</f>
        <v>Strategic Thinking</v>
      </c>
    </row>
    <row r="63" customFormat="false" ht="15" hidden="false" customHeight="false" outlineLevel="0" collapsed="false">
      <c r="A63" s="11" t="n">
        <v>8</v>
      </c>
      <c r="B63" s="12" t="n">
        <f aca="false">SUMPRODUCT(($A$2:$A$51=$A63)*($N$2:$N$51="ST"))-SUMPRODUCT(($A$2:$A$51=$A63)*($O$2:$O$51="ST"))</f>
        <v>0</v>
      </c>
      <c r="C63" s="12" t="n">
        <f aca="false">SUMPRODUCT(($A$2:$A$51=$A63)*($N$2:$N$51="RB"))-SUMPRODUCT(($A$2:$A$51=$A63)*($O$2:$O$51="RB"))</f>
        <v>0</v>
      </c>
      <c r="D63" s="12" t="n">
        <f aca="false">SUMPRODUCT(($A$2:$A$51=$A63)*($N$2:$N$51="IN"))-SUMPRODUCT(($A$2:$A$51=$A63)*($O$2:$O$51="IN"))</f>
        <v>0</v>
      </c>
      <c r="E63" s="12" t="n">
        <f aca="false">SUMPRODUCT(($A$2:$A$51=$A63)*($N$2:$N$51="EX"))-SUMPRODUCT(($A$2:$A$51=$A63)*($O$2:$O$51="EX"))</f>
        <v>0</v>
      </c>
      <c r="F63" s="12" t="str">
        <f aca="false">IF(COUNT(B63:E63)=0,"",INDEX({"Strategic Thinking";"Relationship Building";"Influencing";"Executing"},MATCH(MAX(B63:E63),B63:E63,0)))</f>
        <v>Strategic Thinking</v>
      </c>
    </row>
    <row r="64" customFormat="false" ht="15" hidden="false" customHeight="false" outlineLevel="0" collapsed="false">
      <c r="A64" s="11" t="n">
        <v>9</v>
      </c>
      <c r="B64" s="12" t="n">
        <f aca="false">SUMPRODUCT(($A$2:$A$51=$A64)*($N$2:$N$51="ST"))-SUMPRODUCT(($A$2:$A$51=$A64)*($O$2:$O$51="ST"))</f>
        <v>0</v>
      </c>
      <c r="C64" s="12" t="n">
        <f aca="false">SUMPRODUCT(($A$2:$A$51=$A64)*($N$2:$N$51="RB"))-SUMPRODUCT(($A$2:$A$51=$A64)*($O$2:$O$51="RB"))</f>
        <v>0</v>
      </c>
      <c r="D64" s="12" t="n">
        <f aca="false">SUMPRODUCT(($A$2:$A$51=$A64)*($N$2:$N$51="IN"))-SUMPRODUCT(($A$2:$A$51=$A64)*($O$2:$O$51="IN"))</f>
        <v>0</v>
      </c>
      <c r="E64" s="12" t="n">
        <f aca="false">SUMPRODUCT(($A$2:$A$51=$A64)*($N$2:$N$51="EX"))-SUMPRODUCT(($A$2:$A$51=$A64)*($O$2:$O$51="EX"))</f>
        <v>0</v>
      </c>
      <c r="F64" s="12" t="str">
        <f aca="false">IF(COUNT(B64:E64)=0,"",INDEX({"Strategic Thinking";"Relationship Building";"Influencing";"Executing"},MATCH(MAX(B64:E64),B64:E64,0)))</f>
        <v>Strategic Thinking</v>
      </c>
    </row>
    <row r="65" customFormat="false" ht="15" hidden="false" customHeight="false" outlineLevel="0" collapsed="false">
      <c r="A65" s="11" t="n">
        <v>10</v>
      </c>
      <c r="B65" s="12" t="n">
        <f aca="false">SUMPRODUCT(($A$2:$A$51=$A65)*($N$2:$N$51="ST"))-SUMPRODUCT(($A$2:$A$51=$A65)*($O$2:$O$51="ST"))</f>
        <v>0</v>
      </c>
      <c r="C65" s="12" t="n">
        <f aca="false">SUMPRODUCT(($A$2:$A$51=$A65)*($N$2:$N$51="RB"))-SUMPRODUCT(($A$2:$A$51=$A65)*($O$2:$O$51="RB"))</f>
        <v>0</v>
      </c>
      <c r="D65" s="12" t="n">
        <f aca="false">SUMPRODUCT(($A$2:$A$51=$A65)*($N$2:$N$51="IN"))-SUMPRODUCT(($A$2:$A$51=$A65)*($O$2:$O$51="IN"))</f>
        <v>0</v>
      </c>
      <c r="E65" s="12" t="n">
        <f aca="false">SUMPRODUCT(($A$2:$A$51=$A65)*($N$2:$N$51="EX"))-SUMPRODUCT(($A$2:$A$51=$A65)*($O$2:$O$51="EX"))</f>
        <v>0</v>
      </c>
      <c r="F65" s="12" t="str">
        <f aca="false">IF(COUNT(B65:E65)=0,"",INDEX({"Strategic Thinking";"Relationship Building";"Influencing";"Executing"},MATCH(MAX(B65:E65),B65:E65,0)))</f>
        <v>Strategic Thinking</v>
      </c>
    </row>
  </sheetData>
  <mergeCells count="1">
    <mergeCell ref="A54:F54"/>
  </mergeCells>
  <dataValidations count="1">
    <dataValidation allowBlank="true" error="Enter A, B, C or D" errorStyle="stop" errorTitle="Invalid entry" operator="between" showDropDown="false" showErrorMessage="true" showInputMessage="false" sqref="L2:M5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7" min="4" style="0" width="30"/>
    <col collapsed="false" customWidth="true" hidden="false" outlineLevel="0" max="11" min="8" style="0" width="9"/>
    <col collapsed="false" customWidth="true" hidden="false" outlineLevel="0" max="13" min="12" style="0" width="11"/>
    <col collapsed="false" customWidth="true" hidden="false" outlineLevel="0" max="15" min="14" style="0" width="12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customFormat="false" ht="23.85" hidden="false" customHeight="false" outlineLevel="0" collapsed="false">
      <c r="A2" s="5" t="n">
        <v>1</v>
      </c>
      <c r="B2" s="5" t="n">
        <v>1</v>
      </c>
      <c r="C2" s="6" t="s">
        <v>149</v>
      </c>
      <c r="D2" s="6" t="s">
        <v>150</v>
      </c>
      <c r="E2" s="6" t="s">
        <v>151</v>
      </c>
      <c r="F2" s="6" t="s">
        <v>152</v>
      </c>
      <c r="G2" s="6" t="s">
        <v>153</v>
      </c>
      <c r="H2" s="5" t="s">
        <v>57</v>
      </c>
      <c r="I2" s="5" t="s">
        <v>55</v>
      </c>
      <c r="J2" s="5" t="s">
        <v>56</v>
      </c>
      <c r="K2" s="5" t="s">
        <v>54</v>
      </c>
      <c r="L2" s="5"/>
      <c r="M2" s="5"/>
      <c r="N2" s="5" t="str">
        <f aca="false">IFERROR(INDEX(H2:K2,MATCH(L2,{"A","B","C","D"},0)),"")</f>
        <v/>
      </c>
      <c r="O2" s="5" t="str">
        <f aca="false">IFERROR(INDEX(H2:K2,MATCH(M2,{"A","B","C","D"},0)),"")</f>
        <v/>
      </c>
    </row>
    <row r="3" customFormat="false" ht="23.85" hidden="false" customHeight="false" outlineLevel="0" collapsed="false">
      <c r="A3" s="5" t="n">
        <v>1</v>
      </c>
      <c r="B3" s="5" t="n">
        <v>2</v>
      </c>
      <c r="C3" s="6" t="s">
        <v>154</v>
      </c>
      <c r="D3" s="6" t="s">
        <v>155</v>
      </c>
      <c r="E3" s="6" t="s">
        <v>156</v>
      </c>
      <c r="F3" s="6" t="s">
        <v>157</v>
      </c>
      <c r="G3" s="6" t="s">
        <v>158</v>
      </c>
      <c r="H3" s="5" t="s">
        <v>54</v>
      </c>
      <c r="I3" s="5" t="s">
        <v>55</v>
      </c>
      <c r="J3" s="5" t="s">
        <v>57</v>
      </c>
      <c r="K3" s="5" t="s">
        <v>56</v>
      </c>
      <c r="L3" s="5"/>
      <c r="M3" s="5"/>
      <c r="N3" s="5" t="str">
        <f aca="false">IFERROR(INDEX(H3:K3,MATCH(L3,{"A","B","C","D"},0)),"")</f>
        <v/>
      </c>
      <c r="O3" s="5" t="str">
        <f aca="false">IFERROR(INDEX(H3:K3,MATCH(M3,{"A","B","C","D"},0)),"")</f>
        <v/>
      </c>
    </row>
    <row r="4" customFormat="false" ht="23.85" hidden="false" customHeight="false" outlineLevel="0" collapsed="false">
      <c r="A4" s="5" t="n">
        <v>1</v>
      </c>
      <c r="B4" s="5" t="n">
        <v>3</v>
      </c>
      <c r="C4" s="6" t="s">
        <v>159</v>
      </c>
      <c r="D4" s="6" t="s">
        <v>160</v>
      </c>
      <c r="E4" s="6" t="s">
        <v>161</v>
      </c>
      <c r="F4" s="6" t="s">
        <v>162</v>
      </c>
      <c r="G4" s="6" t="s">
        <v>163</v>
      </c>
      <c r="H4" s="5" t="s">
        <v>54</v>
      </c>
      <c r="I4" s="5" t="s">
        <v>56</v>
      </c>
      <c r="J4" s="5" t="s">
        <v>55</v>
      </c>
      <c r="K4" s="5" t="s">
        <v>57</v>
      </c>
      <c r="L4" s="5"/>
      <c r="M4" s="5"/>
      <c r="N4" s="5" t="str">
        <f aca="false">IFERROR(INDEX(H4:K4,MATCH(L4,{"A","B","C","D"},0)),"")</f>
        <v/>
      </c>
      <c r="O4" s="5" t="str">
        <f aca="false">IFERROR(INDEX(H4:K4,MATCH(M4,{"A","B","C","D"},0)),"")</f>
        <v/>
      </c>
    </row>
    <row r="5" customFormat="false" ht="23.85" hidden="false" customHeight="false" outlineLevel="0" collapsed="false">
      <c r="A5" s="5" t="n">
        <v>1</v>
      </c>
      <c r="B5" s="5" t="n">
        <v>4</v>
      </c>
      <c r="C5" s="6" t="s">
        <v>164</v>
      </c>
      <c r="D5" s="6" t="s">
        <v>165</v>
      </c>
      <c r="E5" s="6" t="s">
        <v>166</v>
      </c>
      <c r="F5" s="6" t="s">
        <v>70</v>
      </c>
      <c r="G5" s="6" t="s">
        <v>167</v>
      </c>
      <c r="H5" s="5" t="s">
        <v>56</v>
      </c>
      <c r="I5" s="5" t="s">
        <v>55</v>
      </c>
      <c r="J5" s="5" t="s">
        <v>57</v>
      </c>
      <c r="K5" s="5" t="s">
        <v>54</v>
      </c>
      <c r="L5" s="5"/>
      <c r="M5" s="5"/>
      <c r="N5" s="5" t="str">
        <f aca="false">IFERROR(INDEX(H5:K5,MATCH(L5,{"A","B","C","D"},0)),"")</f>
        <v/>
      </c>
      <c r="O5" s="5" t="str">
        <f aca="false">IFERROR(INDEX(H5:K5,MATCH(M5,{"A","B","C","D"},0)),"")</f>
        <v/>
      </c>
    </row>
    <row r="6" customFormat="false" ht="23.85" hidden="false" customHeight="false" outlineLevel="0" collapsed="false">
      <c r="A6" s="5" t="n">
        <v>1</v>
      </c>
      <c r="B6" s="5" t="n">
        <v>5</v>
      </c>
      <c r="C6" s="6" t="s">
        <v>168</v>
      </c>
      <c r="D6" s="6" t="s">
        <v>169</v>
      </c>
      <c r="E6" s="6" t="s">
        <v>170</v>
      </c>
      <c r="F6" s="6" t="s">
        <v>171</v>
      </c>
      <c r="G6" s="6" t="s">
        <v>172</v>
      </c>
      <c r="H6" s="5" t="s">
        <v>55</v>
      </c>
      <c r="I6" s="5" t="s">
        <v>54</v>
      </c>
      <c r="J6" s="5" t="s">
        <v>57</v>
      </c>
      <c r="K6" s="5" t="s">
        <v>56</v>
      </c>
      <c r="L6" s="5"/>
      <c r="M6" s="5"/>
      <c r="N6" s="5" t="str">
        <f aca="false">IFERROR(INDEX(H6:K6,MATCH(L6,{"A","B","C","D"},0)),"")</f>
        <v/>
      </c>
      <c r="O6" s="5" t="str">
        <f aca="false">IFERROR(INDEX(H6:K6,MATCH(M6,{"A","B","C","D"},0)),"")</f>
        <v/>
      </c>
    </row>
    <row r="7" customFormat="false" ht="23.85" hidden="false" customHeight="false" outlineLevel="0" collapsed="false">
      <c r="A7" s="7" t="n">
        <v>2</v>
      </c>
      <c r="B7" s="7" t="n">
        <v>1</v>
      </c>
      <c r="C7" s="8" t="s">
        <v>173</v>
      </c>
      <c r="D7" s="8" t="s">
        <v>174</v>
      </c>
      <c r="E7" s="8" t="s">
        <v>175</v>
      </c>
      <c r="F7" s="8" t="s">
        <v>176</v>
      </c>
      <c r="G7" s="8" t="s">
        <v>177</v>
      </c>
      <c r="H7" s="7" t="s">
        <v>56</v>
      </c>
      <c r="I7" s="7" t="s">
        <v>57</v>
      </c>
      <c r="J7" s="7" t="s">
        <v>55</v>
      </c>
      <c r="K7" s="7" t="s">
        <v>54</v>
      </c>
      <c r="L7" s="7"/>
      <c r="M7" s="7"/>
      <c r="N7" s="7" t="str">
        <f aca="false">IFERROR(INDEX(H7:K7,MATCH(L7,{"A","B","C","D"},0)),"")</f>
        <v/>
      </c>
      <c r="O7" s="7" t="str">
        <f aca="false">IFERROR(INDEX(H7:K7,MATCH(M7,{"A","B","C","D"},0)),"")</f>
        <v/>
      </c>
    </row>
    <row r="8" customFormat="false" ht="23.85" hidden="false" customHeight="false" outlineLevel="0" collapsed="false">
      <c r="A8" s="7" t="n">
        <v>2</v>
      </c>
      <c r="B8" s="7" t="n">
        <v>2</v>
      </c>
      <c r="C8" s="8" t="s">
        <v>178</v>
      </c>
      <c r="D8" s="8" t="s">
        <v>179</v>
      </c>
      <c r="E8" s="8" t="s">
        <v>180</v>
      </c>
      <c r="F8" s="8" t="s">
        <v>181</v>
      </c>
      <c r="G8" s="8" t="s">
        <v>182</v>
      </c>
      <c r="H8" s="7" t="s">
        <v>56</v>
      </c>
      <c r="I8" s="7" t="s">
        <v>57</v>
      </c>
      <c r="J8" s="7" t="s">
        <v>54</v>
      </c>
      <c r="K8" s="7" t="s">
        <v>55</v>
      </c>
      <c r="L8" s="7"/>
      <c r="M8" s="7"/>
      <c r="N8" s="7" t="str">
        <f aca="false">IFERROR(INDEX(H8:K8,MATCH(L8,{"A","B","C","D"},0)),"")</f>
        <v/>
      </c>
      <c r="O8" s="7" t="str">
        <f aca="false">IFERROR(INDEX(H8:K8,MATCH(M8,{"A","B","C","D"},0)),"")</f>
        <v/>
      </c>
    </row>
    <row r="9" customFormat="false" ht="23.85" hidden="false" customHeight="false" outlineLevel="0" collapsed="false">
      <c r="A9" s="7" t="n">
        <v>2</v>
      </c>
      <c r="B9" s="7" t="n">
        <v>3</v>
      </c>
      <c r="C9" s="8" t="s">
        <v>183</v>
      </c>
      <c r="D9" s="8" t="s">
        <v>184</v>
      </c>
      <c r="E9" s="8" t="s">
        <v>185</v>
      </c>
      <c r="F9" s="8" t="s">
        <v>186</v>
      </c>
      <c r="G9" s="8" t="s">
        <v>187</v>
      </c>
      <c r="H9" s="7" t="s">
        <v>54</v>
      </c>
      <c r="I9" s="7" t="s">
        <v>55</v>
      </c>
      <c r="J9" s="7" t="s">
        <v>56</v>
      </c>
      <c r="K9" s="7" t="s">
        <v>57</v>
      </c>
      <c r="L9" s="7"/>
      <c r="M9" s="7"/>
      <c r="N9" s="7" t="str">
        <f aca="false">IFERROR(INDEX(H9:K9,MATCH(L9,{"A","B","C","D"},0)),"")</f>
        <v/>
      </c>
      <c r="O9" s="7" t="str">
        <f aca="false">IFERROR(INDEX(H9:K9,MATCH(M9,{"A","B","C","D"},0)),"")</f>
        <v/>
      </c>
    </row>
    <row r="10" customFormat="false" ht="23.85" hidden="false" customHeight="false" outlineLevel="0" collapsed="false">
      <c r="A10" s="7" t="n">
        <v>2</v>
      </c>
      <c r="B10" s="7" t="n">
        <v>4</v>
      </c>
      <c r="C10" s="8" t="s">
        <v>188</v>
      </c>
      <c r="D10" s="8" t="s">
        <v>189</v>
      </c>
      <c r="E10" s="8" t="s">
        <v>190</v>
      </c>
      <c r="F10" s="8" t="s">
        <v>191</v>
      </c>
      <c r="G10" s="8" t="s">
        <v>192</v>
      </c>
      <c r="H10" s="7" t="s">
        <v>55</v>
      </c>
      <c r="I10" s="7" t="s">
        <v>56</v>
      </c>
      <c r="J10" s="7" t="s">
        <v>57</v>
      </c>
      <c r="K10" s="7" t="s">
        <v>54</v>
      </c>
      <c r="L10" s="7"/>
      <c r="M10" s="7"/>
      <c r="N10" s="7" t="str">
        <f aca="false">IFERROR(INDEX(H10:K10,MATCH(L10,{"A","B","C","D"},0)),"")</f>
        <v/>
      </c>
      <c r="O10" s="7" t="str">
        <f aca="false">IFERROR(INDEX(H10:K10,MATCH(M10,{"A","B","C","D"},0)),"")</f>
        <v/>
      </c>
    </row>
    <row r="11" customFormat="false" ht="23.85" hidden="false" customHeight="false" outlineLevel="0" collapsed="false">
      <c r="A11" s="7" t="n">
        <v>2</v>
      </c>
      <c r="B11" s="7" t="n">
        <v>5</v>
      </c>
      <c r="C11" s="8" t="s">
        <v>193</v>
      </c>
      <c r="D11" s="8" t="s">
        <v>194</v>
      </c>
      <c r="E11" s="8" t="s">
        <v>195</v>
      </c>
      <c r="F11" s="8" t="s">
        <v>196</v>
      </c>
      <c r="G11" s="8" t="s">
        <v>197</v>
      </c>
      <c r="H11" s="7" t="s">
        <v>55</v>
      </c>
      <c r="I11" s="7" t="s">
        <v>56</v>
      </c>
      <c r="J11" s="7" t="s">
        <v>57</v>
      </c>
      <c r="K11" s="7" t="s">
        <v>54</v>
      </c>
      <c r="L11" s="7"/>
      <c r="M11" s="7"/>
      <c r="N11" s="7" t="str">
        <f aca="false">IFERROR(INDEX(H11:K11,MATCH(L11,{"A","B","C","D"},0)),"")</f>
        <v/>
      </c>
      <c r="O11" s="7" t="str">
        <f aca="false">IFERROR(INDEX(H11:K11,MATCH(M11,{"A","B","C","D"},0)),"")</f>
        <v/>
      </c>
    </row>
    <row r="12" customFormat="false" ht="23.85" hidden="false" customHeight="false" outlineLevel="0" collapsed="false">
      <c r="A12" s="5" t="n">
        <v>3</v>
      </c>
      <c r="B12" s="5" t="n">
        <v>1</v>
      </c>
      <c r="C12" s="6" t="s">
        <v>198</v>
      </c>
      <c r="D12" s="6" t="s">
        <v>150</v>
      </c>
      <c r="E12" s="6" t="s">
        <v>153</v>
      </c>
      <c r="F12" s="6" t="s">
        <v>151</v>
      </c>
      <c r="G12" s="6" t="s">
        <v>152</v>
      </c>
      <c r="H12" s="5" t="s">
        <v>57</v>
      </c>
      <c r="I12" s="5" t="s">
        <v>54</v>
      </c>
      <c r="J12" s="5" t="s">
        <v>55</v>
      </c>
      <c r="K12" s="5" t="s">
        <v>56</v>
      </c>
      <c r="L12" s="5"/>
      <c r="M12" s="5"/>
      <c r="N12" s="5" t="str">
        <f aca="false">IFERROR(INDEX(H12:K12,MATCH(L12,{"A","B","C","D"},0)),"")</f>
        <v/>
      </c>
      <c r="O12" s="5" t="str">
        <f aca="false">IFERROR(INDEX(H12:K12,MATCH(M12,{"A","B","C","D"},0)),"")</f>
        <v/>
      </c>
    </row>
    <row r="13" customFormat="false" ht="23.85" hidden="false" customHeight="false" outlineLevel="0" collapsed="false">
      <c r="A13" s="5" t="n">
        <v>3</v>
      </c>
      <c r="B13" s="5" t="n">
        <v>2</v>
      </c>
      <c r="C13" s="6" t="s">
        <v>199</v>
      </c>
      <c r="D13" s="6" t="s">
        <v>158</v>
      </c>
      <c r="E13" s="6" t="s">
        <v>156</v>
      </c>
      <c r="F13" s="6" t="s">
        <v>155</v>
      </c>
      <c r="G13" s="6" t="s">
        <v>157</v>
      </c>
      <c r="H13" s="5" t="s">
        <v>56</v>
      </c>
      <c r="I13" s="5" t="s">
        <v>55</v>
      </c>
      <c r="J13" s="5" t="s">
        <v>54</v>
      </c>
      <c r="K13" s="5" t="s">
        <v>57</v>
      </c>
      <c r="L13" s="5"/>
      <c r="M13" s="5"/>
      <c r="N13" s="5" t="str">
        <f aca="false">IFERROR(INDEX(H13:K13,MATCH(L13,{"A","B","C","D"},0)),"")</f>
        <v/>
      </c>
      <c r="O13" s="5" t="str">
        <f aca="false">IFERROR(INDEX(H13:K13,MATCH(M13,{"A","B","C","D"},0)),"")</f>
        <v/>
      </c>
    </row>
    <row r="14" customFormat="false" ht="23.85" hidden="false" customHeight="false" outlineLevel="0" collapsed="false">
      <c r="A14" s="5" t="n">
        <v>3</v>
      </c>
      <c r="B14" s="5" t="n">
        <v>3</v>
      </c>
      <c r="C14" s="6" t="s">
        <v>200</v>
      </c>
      <c r="D14" s="6" t="s">
        <v>162</v>
      </c>
      <c r="E14" s="6" t="s">
        <v>163</v>
      </c>
      <c r="F14" s="6" t="s">
        <v>161</v>
      </c>
      <c r="G14" s="6" t="s">
        <v>160</v>
      </c>
      <c r="H14" s="5" t="s">
        <v>55</v>
      </c>
      <c r="I14" s="5" t="s">
        <v>57</v>
      </c>
      <c r="J14" s="5" t="s">
        <v>56</v>
      </c>
      <c r="K14" s="5" t="s">
        <v>54</v>
      </c>
      <c r="L14" s="5"/>
      <c r="M14" s="5"/>
      <c r="N14" s="5" t="str">
        <f aca="false">IFERROR(INDEX(H14:K14,MATCH(L14,{"A","B","C","D"},0)),"")</f>
        <v/>
      </c>
      <c r="O14" s="5" t="str">
        <f aca="false">IFERROR(INDEX(H14:K14,MATCH(M14,{"A","B","C","D"},0)),"")</f>
        <v/>
      </c>
    </row>
    <row r="15" customFormat="false" ht="23.85" hidden="false" customHeight="false" outlineLevel="0" collapsed="false">
      <c r="A15" s="5" t="n">
        <v>3</v>
      </c>
      <c r="B15" s="5" t="n">
        <v>4</v>
      </c>
      <c r="C15" s="6" t="s">
        <v>201</v>
      </c>
      <c r="D15" s="6" t="s">
        <v>165</v>
      </c>
      <c r="E15" s="6" t="s">
        <v>166</v>
      </c>
      <c r="F15" s="6" t="s">
        <v>70</v>
      </c>
      <c r="G15" s="6" t="s">
        <v>167</v>
      </c>
      <c r="H15" s="5" t="s">
        <v>56</v>
      </c>
      <c r="I15" s="5" t="s">
        <v>55</v>
      </c>
      <c r="J15" s="5" t="s">
        <v>57</v>
      </c>
      <c r="K15" s="5" t="s">
        <v>54</v>
      </c>
      <c r="L15" s="5"/>
      <c r="M15" s="5"/>
      <c r="N15" s="5" t="str">
        <f aca="false">IFERROR(INDEX(H15:K15,MATCH(L15,{"A","B","C","D"},0)),"")</f>
        <v/>
      </c>
      <c r="O15" s="5" t="str">
        <f aca="false">IFERROR(INDEX(H15:K15,MATCH(M15,{"A","B","C","D"},0)),"")</f>
        <v/>
      </c>
    </row>
    <row r="16" customFormat="false" ht="23.85" hidden="false" customHeight="false" outlineLevel="0" collapsed="false">
      <c r="A16" s="5" t="n">
        <v>3</v>
      </c>
      <c r="B16" s="5" t="n">
        <v>5</v>
      </c>
      <c r="C16" s="6" t="s">
        <v>202</v>
      </c>
      <c r="D16" s="6" t="s">
        <v>170</v>
      </c>
      <c r="E16" s="6" t="s">
        <v>172</v>
      </c>
      <c r="F16" s="6" t="s">
        <v>169</v>
      </c>
      <c r="G16" s="6" t="s">
        <v>171</v>
      </c>
      <c r="H16" s="5" t="s">
        <v>54</v>
      </c>
      <c r="I16" s="5" t="s">
        <v>56</v>
      </c>
      <c r="J16" s="5" t="s">
        <v>55</v>
      </c>
      <c r="K16" s="5" t="s">
        <v>57</v>
      </c>
      <c r="L16" s="5"/>
      <c r="M16" s="5"/>
      <c r="N16" s="5" t="str">
        <f aca="false">IFERROR(INDEX(H16:K16,MATCH(L16,{"A","B","C","D"},0)),"")</f>
        <v/>
      </c>
      <c r="O16" s="5" t="str">
        <f aca="false">IFERROR(INDEX(H16:K16,MATCH(M16,{"A","B","C","D"},0)),"")</f>
        <v/>
      </c>
    </row>
    <row r="17" customFormat="false" ht="23.85" hidden="false" customHeight="false" outlineLevel="0" collapsed="false">
      <c r="A17" s="7" t="n">
        <v>4</v>
      </c>
      <c r="B17" s="7" t="n">
        <v>1</v>
      </c>
      <c r="C17" s="8" t="s">
        <v>203</v>
      </c>
      <c r="D17" s="8" t="s">
        <v>177</v>
      </c>
      <c r="E17" s="8" t="s">
        <v>174</v>
      </c>
      <c r="F17" s="8" t="s">
        <v>176</v>
      </c>
      <c r="G17" s="8" t="s">
        <v>175</v>
      </c>
      <c r="H17" s="7" t="s">
        <v>54</v>
      </c>
      <c r="I17" s="7" t="s">
        <v>56</v>
      </c>
      <c r="J17" s="7" t="s">
        <v>55</v>
      </c>
      <c r="K17" s="7" t="s">
        <v>57</v>
      </c>
      <c r="L17" s="7"/>
      <c r="M17" s="7"/>
      <c r="N17" s="7" t="str">
        <f aca="false">IFERROR(INDEX(H17:K17,MATCH(L17,{"A","B","C","D"},0)),"")</f>
        <v/>
      </c>
      <c r="O17" s="7" t="str">
        <f aca="false">IFERROR(INDEX(H17:K17,MATCH(M17,{"A","B","C","D"},0)),"")</f>
        <v/>
      </c>
    </row>
    <row r="18" customFormat="false" ht="23.85" hidden="false" customHeight="false" outlineLevel="0" collapsed="false">
      <c r="A18" s="7" t="n">
        <v>4</v>
      </c>
      <c r="B18" s="7" t="n">
        <v>2</v>
      </c>
      <c r="C18" s="8" t="s">
        <v>204</v>
      </c>
      <c r="D18" s="8" t="s">
        <v>181</v>
      </c>
      <c r="E18" s="8" t="s">
        <v>182</v>
      </c>
      <c r="F18" s="8" t="s">
        <v>180</v>
      </c>
      <c r="G18" s="8" t="s">
        <v>179</v>
      </c>
      <c r="H18" s="7" t="s">
        <v>54</v>
      </c>
      <c r="I18" s="7" t="s">
        <v>55</v>
      </c>
      <c r="J18" s="7" t="s">
        <v>57</v>
      </c>
      <c r="K18" s="7" t="s">
        <v>56</v>
      </c>
      <c r="L18" s="7"/>
      <c r="M18" s="7"/>
      <c r="N18" s="7" t="str">
        <f aca="false">IFERROR(INDEX(H18:K18,MATCH(L18,{"A","B","C","D"},0)),"")</f>
        <v/>
      </c>
      <c r="O18" s="7" t="str">
        <f aca="false">IFERROR(INDEX(H18:K18,MATCH(M18,{"A","B","C","D"},0)),"")</f>
        <v/>
      </c>
    </row>
    <row r="19" customFormat="false" ht="23.85" hidden="false" customHeight="false" outlineLevel="0" collapsed="false">
      <c r="A19" s="7" t="n">
        <v>4</v>
      </c>
      <c r="B19" s="7" t="n">
        <v>3</v>
      </c>
      <c r="C19" s="8" t="s">
        <v>205</v>
      </c>
      <c r="D19" s="8" t="s">
        <v>186</v>
      </c>
      <c r="E19" s="8" t="s">
        <v>184</v>
      </c>
      <c r="F19" s="8" t="s">
        <v>185</v>
      </c>
      <c r="G19" s="8" t="s">
        <v>187</v>
      </c>
      <c r="H19" s="7" t="s">
        <v>56</v>
      </c>
      <c r="I19" s="7" t="s">
        <v>54</v>
      </c>
      <c r="J19" s="7" t="s">
        <v>55</v>
      </c>
      <c r="K19" s="7" t="s">
        <v>57</v>
      </c>
      <c r="L19" s="7"/>
      <c r="M19" s="7"/>
      <c r="N19" s="7" t="str">
        <f aca="false">IFERROR(INDEX(H19:K19,MATCH(L19,{"A","B","C","D"},0)),"")</f>
        <v/>
      </c>
      <c r="O19" s="7" t="str">
        <f aca="false">IFERROR(INDEX(H19:K19,MATCH(M19,{"A","B","C","D"},0)),"")</f>
        <v/>
      </c>
    </row>
    <row r="20" customFormat="false" ht="23.85" hidden="false" customHeight="false" outlineLevel="0" collapsed="false">
      <c r="A20" s="7" t="n">
        <v>4</v>
      </c>
      <c r="B20" s="7" t="n">
        <v>4</v>
      </c>
      <c r="C20" s="8" t="s">
        <v>206</v>
      </c>
      <c r="D20" s="8" t="s">
        <v>189</v>
      </c>
      <c r="E20" s="8" t="s">
        <v>190</v>
      </c>
      <c r="F20" s="8" t="s">
        <v>192</v>
      </c>
      <c r="G20" s="8" t="s">
        <v>191</v>
      </c>
      <c r="H20" s="7" t="s">
        <v>55</v>
      </c>
      <c r="I20" s="7" t="s">
        <v>56</v>
      </c>
      <c r="J20" s="7" t="s">
        <v>54</v>
      </c>
      <c r="K20" s="7" t="s">
        <v>57</v>
      </c>
      <c r="L20" s="7"/>
      <c r="M20" s="7"/>
      <c r="N20" s="7" t="str">
        <f aca="false">IFERROR(INDEX(H20:K20,MATCH(L20,{"A","B","C","D"},0)),"")</f>
        <v/>
      </c>
      <c r="O20" s="7" t="str">
        <f aca="false">IFERROR(INDEX(H20:K20,MATCH(M20,{"A","B","C","D"},0)),"")</f>
        <v/>
      </c>
    </row>
    <row r="21" customFormat="false" ht="23.85" hidden="false" customHeight="false" outlineLevel="0" collapsed="false">
      <c r="A21" s="7" t="n">
        <v>4</v>
      </c>
      <c r="B21" s="7" t="n">
        <v>5</v>
      </c>
      <c r="C21" s="8" t="s">
        <v>207</v>
      </c>
      <c r="D21" s="8" t="s">
        <v>196</v>
      </c>
      <c r="E21" s="8" t="s">
        <v>195</v>
      </c>
      <c r="F21" s="8" t="s">
        <v>197</v>
      </c>
      <c r="G21" s="8" t="s">
        <v>194</v>
      </c>
      <c r="H21" s="7" t="s">
        <v>57</v>
      </c>
      <c r="I21" s="7" t="s">
        <v>56</v>
      </c>
      <c r="J21" s="7" t="s">
        <v>54</v>
      </c>
      <c r="K21" s="7" t="s">
        <v>55</v>
      </c>
      <c r="L21" s="7"/>
      <c r="M21" s="7"/>
      <c r="N21" s="7" t="str">
        <f aca="false">IFERROR(INDEX(H21:K21,MATCH(L21,{"A","B","C","D"},0)),"")</f>
        <v/>
      </c>
      <c r="O21" s="7" t="str">
        <f aca="false">IFERROR(INDEX(H21:K21,MATCH(M21,{"A","B","C","D"},0)),"")</f>
        <v/>
      </c>
    </row>
    <row r="22" customFormat="false" ht="23.85" hidden="false" customHeight="false" outlineLevel="0" collapsed="false">
      <c r="A22" s="5" t="n">
        <v>5</v>
      </c>
      <c r="B22" s="5" t="n">
        <v>1</v>
      </c>
      <c r="C22" s="6" t="s">
        <v>208</v>
      </c>
      <c r="D22" s="6" t="s">
        <v>152</v>
      </c>
      <c r="E22" s="6" t="s">
        <v>151</v>
      </c>
      <c r="F22" s="6" t="s">
        <v>153</v>
      </c>
      <c r="G22" s="6" t="s">
        <v>150</v>
      </c>
      <c r="H22" s="5" t="s">
        <v>56</v>
      </c>
      <c r="I22" s="5" t="s">
        <v>55</v>
      </c>
      <c r="J22" s="5" t="s">
        <v>54</v>
      </c>
      <c r="K22" s="5" t="s">
        <v>57</v>
      </c>
      <c r="L22" s="5"/>
      <c r="M22" s="5"/>
      <c r="N22" s="5" t="str">
        <f aca="false">IFERROR(INDEX(H22:K22,MATCH(L22,{"A","B","C","D"},0)),"")</f>
        <v/>
      </c>
      <c r="O22" s="5" t="str">
        <f aca="false">IFERROR(INDEX(H22:K22,MATCH(M22,{"A","B","C","D"},0)),"")</f>
        <v/>
      </c>
    </row>
    <row r="23" customFormat="false" ht="23.85" hidden="false" customHeight="false" outlineLevel="0" collapsed="false">
      <c r="A23" s="5" t="n">
        <v>5</v>
      </c>
      <c r="B23" s="5" t="n">
        <v>2</v>
      </c>
      <c r="C23" s="6" t="s">
        <v>209</v>
      </c>
      <c r="D23" s="6" t="s">
        <v>158</v>
      </c>
      <c r="E23" s="6" t="s">
        <v>157</v>
      </c>
      <c r="F23" s="6" t="s">
        <v>155</v>
      </c>
      <c r="G23" s="6" t="s">
        <v>156</v>
      </c>
      <c r="H23" s="5" t="s">
        <v>56</v>
      </c>
      <c r="I23" s="5" t="s">
        <v>57</v>
      </c>
      <c r="J23" s="5" t="s">
        <v>54</v>
      </c>
      <c r="K23" s="5" t="s">
        <v>55</v>
      </c>
      <c r="L23" s="5"/>
      <c r="M23" s="5"/>
      <c r="N23" s="5" t="str">
        <f aca="false">IFERROR(INDEX(H23:K23,MATCH(L23,{"A","B","C","D"},0)),"")</f>
        <v/>
      </c>
      <c r="O23" s="5" t="str">
        <f aca="false">IFERROR(INDEX(H23:K23,MATCH(M23,{"A","B","C","D"},0)),"")</f>
        <v/>
      </c>
    </row>
    <row r="24" customFormat="false" ht="23.85" hidden="false" customHeight="false" outlineLevel="0" collapsed="false">
      <c r="A24" s="5" t="n">
        <v>5</v>
      </c>
      <c r="B24" s="5" t="n">
        <v>3</v>
      </c>
      <c r="C24" s="6" t="s">
        <v>210</v>
      </c>
      <c r="D24" s="6" t="s">
        <v>160</v>
      </c>
      <c r="E24" s="6" t="s">
        <v>161</v>
      </c>
      <c r="F24" s="6" t="s">
        <v>163</v>
      </c>
      <c r="G24" s="6" t="s">
        <v>162</v>
      </c>
      <c r="H24" s="5" t="s">
        <v>54</v>
      </c>
      <c r="I24" s="5" t="s">
        <v>56</v>
      </c>
      <c r="J24" s="5" t="s">
        <v>57</v>
      </c>
      <c r="K24" s="5" t="s">
        <v>55</v>
      </c>
      <c r="L24" s="5"/>
      <c r="M24" s="5"/>
      <c r="N24" s="5" t="str">
        <f aca="false">IFERROR(INDEX(H24:K24,MATCH(L24,{"A","B","C","D"},0)),"")</f>
        <v/>
      </c>
      <c r="O24" s="5" t="str">
        <f aca="false">IFERROR(INDEX(H24:K24,MATCH(M24,{"A","B","C","D"},0)),"")</f>
        <v/>
      </c>
    </row>
    <row r="25" customFormat="false" ht="23.85" hidden="false" customHeight="false" outlineLevel="0" collapsed="false">
      <c r="A25" s="5" t="n">
        <v>5</v>
      </c>
      <c r="B25" s="5" t="n">
        <v>4</v>
      </c>
      <c r="C25" s="6" t="s">
        <v>211</v>
      </c>
      <c r="D25" s="6" t="s">
        <v>70</v>
      </c>
      <c r="E25" s="6" t="s">
        <v>165</v>
      </c>
      <c r="F25" s="6" t="s">
        <v>167</v>
      </c>
      <c r="G25" s="6" t="s">
        <v>166</v>
      </c>
      <c r="H25" s="5" t="s">
        <v>57</v>
      </c>
      <c r="I25" s="5" t="s">
        <v>56</v>
      </c>
      <c r="J25" s="5" t="s">
        <v>54</v>
      </c>
      <c r="K25" s="5" t="s">
        <v>55</v>
      </c>
      <c r="L25" s="5"/>
      <c r="M25" s="5"/>
      <c r="N25" s="5" t="str">
        <f aca="false">IFERROR(INDEX(H25:K25,MATCH(L25,{"A","B","C","D"},0)),"")</f>
        <v/>
      </c>
      <c r="O25" s="5" t="str">
        <f aca="false">IFERROR(INDEX(H25:K25,MATCH(M25,{"A","B","C","D"},0)),"")</f>
        <v/>
      </c>
    </row>
    <row r="26" customFormat="false" ht="23.85" hidden="false" customHeight="false" outlineLevel="0" collapsed="false">
      <c r="A26" s="5" t="n">
        <v>5</v>
      </c>
      <c r="B26" s="5" t="n">
        <v>5</v>
      </c>
      <c r="C26" s="6" t="s">
        <v>212</v>
      </c>
      <c r="D26" s="6" t="s">
        <v>172</v>
      </c>
      <c r="E26" s="6" t="s">
        <v>169</v>
      </c>
      <c r="F26" s="6" t="s">
        <v>171</v>
      </c>
      <c r="G26" s="6" t="s">
        <v>170</v>
      </c>
      <c r="H26" s="5" t="s">
        <v>56</v>
      </c>
      <c r="I26" s="5" t="s">
        <v>55</v>
      </c>
      <c r="J26" s="5" t="s">
        <v>57</v>
      </c>
      <c r="K26" s="5" t="s">
        <v>54</v>
      </c>
      <c r="L26" s="5"/>
      <c r="M26" s="5"/>
      <c r="N26" s="5" t="str">
        <f aca="false">IFERROR(INDEX(H26:K26,MATCH(L26,{"A","B","C","D"},0)),"")</f>
        <v/>
      </c>
      <c r="O26" s="5" t="str">
        <f aca="false">IFERROR(INDEX(H26:K26,MATCH(M26,{"A","B","C","D"},0)),"")</f>
        <v/>
      </c>
    </row>
    <row r="27" customFormat="false" ht="23.85" hidden="false" customHeight="false" outlineLevel="0" collapsed="false">
      <c r="A27" s="7" t="n">
        <v>6</v>
      </c>
      <c r="B27" s="7" t="n">
        <v>1</v>
      </c>
      <c r="C27" s="8" t="s">
        <v>213</v>
      </c>
      <c r="D27" s="8" t="s">
        <v>177</v>
      </c>
      <c r="E27" s="8" t="s">
        <v>174</v>
      </c>
      <c r="F27" s="8" t="s">
        <v>176</v>
      </c>
      <c r="G27" s="8" t="s">
        <v>175</v>
      </c>
      <c r="H27" s="7" t="s">
        <v>54</v>
      </c>
      <c r="I27" s="7" t="s">
        <v>56</v>
      </c>
      <c r="J27" s="7" t="s">
        <v>55</v>
      </c>
      <c r="K27" s="7" t="s">
        <v>57</v>
      </c>
      <c r="L27" s="7"/>
      <c r="M27" s="7"/>
      <c r="N27" s="7" t="str">
        <f aca="false">IFERROR(INDEX(H27:K27,MATCH(L27,{"A","B","C","D"},0)),"")</f>
        <v/>
      </c>
      <c r="O27" s="7" t="str">
        <f aca="false">IFERROR(INDEX(H27:K27,MATCH(M27,{"A","B","C","D"},0)),"")</f>
        <v/>
      </c>
    </row>
    <row r="28" customFormat="false" ht="23.85" hidden="false" customHeight="false" outlineLevel="0" collapsed="false">
      <c r="A28" s="7" t="n">
        <v>6</v>
      </c>
      <c r="B28" s="7" t="n">
        <v>2</v>
      </c>
      <c r="C28" s="8" t="s">
        <v>214</v>
      </c>
      <c r="D28" s="8" t="s">
        <v>180</v>
      </c>
      <c r="E28" s="8" t="s">
        <v>179</v>
      </c>
      <c r="F28" s="8" t="s">
        <v>181</v>
      </c>
      <c r="G28" s="8" t="s">
        <v>182</v>
      </c>
      <c r="H28" s="7" t="s">
        <v>57</v>
      </c>
      <c r="I28" s="7" t="s">
        <v>56</v>
      </c>
      <c r="J28" s="7" t="s">
        <v>54</v>
      </c>
      <c r="K28" s="7" t="s">
        <v>55</v>
      </c>
      <c r="L28" s="7"/>
      <c r="M28" s="7"/>
      <c r="N28" s="7" t="str">
        <f aca="false">IFERROR(INDEX(H28:K28,MATCH(L28,{"A","B","C","D"},0)),"")</f>
        <v/>
      </c>
      <c r="O28" s="7" t="str">
        <f aca="false">IFERROR(INDEX(H28:K28,MATCH(M28,{"A","B","C","D"},0)),"")</f>
        <v/>
      </c>
    </row>
    <row r="29" customFormat="false" ht="23.85" hidden="false" customHeight="false" outlineLevel="0" collapsed="false">
      <c r="A29" s="7" t="n">
        <v>6</v>
      </c>
      <c r="B29" s="7" t="n">
        <v>3</v>
      </c>
      <c r="C29" s="8" t="s">
        <v>215</v>
      </c>
      <c r="D29" s="8" t="s">
        <v>186</v>
      </c>
      <c r="E29" s="8" t="s">
        <v>184</v>
      </c>
      <c r="F29" s="8" t="s">
        <v>185</v>
      </c>
      <c r="G29" s="8" t="s">
        <v>187</v>
      </c>
      <c r="H29" s="7" t="s">
        <v>56</v>
      </c>
      <c r="I29" s="7" t="s">
        <v>54</v>
      </c>
      <c r="J29" s="7" t="s">
        <v>55</v>
      </c>
      <c r="K29" s="7" t="s">
        <v>57</v>
      </c>
      <c r="L29" s="7"/>
      <c r="M29" s="7"/>
      <c r="N29" s="7" t="str">
        <f aca="false">IFERROR(INDEX(H29:K29,MATCH(L29,{"A","B","C","D"},0)),"")</f>
        <v/>
      </c>
      <c r="O29" s="7" t="str">
        <f aca="false">IFERROR(INDEX(H29:K29,MATCH(M29,{"A","B","C","D"},0)),"")</f>
        <v/>
      </c>
    </row>
    <row r="30" customFormat="false" ht="23.85" hidden="false" customHeight="false" outlineLevel="0" collapsed="false">
      <c r="A30" s="7" t="n">
        <v>6</v>
      </c>
      <c r="B30" s="7" t="n">
        <v>4</v>
      </c>
      <c r="C30" s="8" t="s">
        <v>216</v>
      </c>
      <c r="D30" s="8" t="s">
        <v>191</v>
      </c>
      <c r="E30" s="8" t="s">
        <v>190</v>
      </c>
      <c r="F30" s="8" t="s">
        <v>189</v>
      </c>
      <c r="G30" s="8" t="s">
        <v>192</v>
      </c>
      <c r="H30" s="7" t="s">
        <v>57</v>
      </c>
      <c r="I30" s="7" t="s">
        <v>56</v>
      </c>
      <c r="J30" s="7" t="s">
        <v>55</v>
      </c>
      <c r="K30" s="7" t="s">
        <v>54</v>
      </c>
      <c r="L30" s="7"/>
      <c r="M30" s="7"/>
      <c r="N30" s="7" t="str">
        <f aca="false">IFERROR(INDEX(H30:K30,MATCH(L30,{"A","B","C","D"},0)),"")</f>
        <v/>
      </c>
      <c r="O30" s="7" t="str">
        <f aca="false">IFERROR(INDEX(H30:K30,MATCH(M30,{"A","B","C","D"},0)),"")</f>
        <v/>
      </c>
    </row>
    <row r="31" customFormat="false" ht="23.85" hidden="false" customHeight="false" outlineLevel="0" collapsed="false">
      <c r="A31" s="7" t="n">
        <v>6</v>
      </c>
      <c r="B31" s="7" t="n">
        <v>5</v>
      </c>
      <c r="C31" s="8" t="s">
        <v>217</v>
      </c>
      <c r="D31" s="8" t="s">
        <v>194</v>
      </c>
      <c r="E31" s="8" t="s">
        <v>197</v>
      </c>
      <c r="F31" s="8" t="s">
        <v>195</v>
      </c>
      <c r="G31" s="8" t="s">
        <v>196</v>
      </c>
      <c r="H31" s="7" t="s">
        <v>55</v>
      </c>
      <c r="I31" s="7" t="s">
        <v>54</v>
      </c>
      <c r="J31" s="7" t="s">
        <v>56</v>
      </c>
      <c r="K31" s="7" t="s">
        <v>57</v>
      </c>
      <c r="L31" s="7"/>
      <c r="M31" s="7"/>
      <c r="N31" s="7" t="str">
        <f aca="false">IFERROR(INDEX(H31:K31,MATCH(L31,{"A","B","C","D"},0)),"")</f>
        <v/>
      </c>
      <c r="O31" s="7" t="str">
        <f aca="false">IFERROR(INDEX(H31:K31,MATCH(M31,{"A","B","C","D"},0)),"")</f>
        <v/>
      </c>
    </row>
    <row r="32" customFormat="false" ht="23.85" hidden="false" customHeight="false" outlineLevel="0" collapsed="false">
      <c r="A32" s="5" t="n">
        <v>7</v>
      </c>
      <c r="B32" s="5" t="n">
        <v>1</v>
      </c>
      <c r="C32" s="6" t="s">
        <v>218</v>
      </c>
      <c r="D32" s="6" t="s">
        <v>151</v>
      </c>
      <c r="E32" s="6" t="s">
        <v>153</v>
      </c>
      <c r="F32" s="6" t="s">
        <v>152</v>
      </c>
      <c r="G32" s="6" t="s">
        <v>150</v>
      </c>
      <c r="H32" s="5" t="s">
        <v>55</v>
      </c>
      <c r="I32" s="5" t="s">
        <v>54</v>
      </c>
      <c r="J32" s="5" t="s">
        <v>56</v>
      </c>
      <c r="K32" s="5" t="s">
        <v>57</v>
      </c>
      <c r="L32" s="5"/>
      <c r="M32" s="5"/>
      <c r="N32" s="5" t="str">
        <f aca="false">IFERROR(INDEX(H32:K32,MATCH(L32,{"A","B","C","D"},0)),"")</f>
        <v/>
      </c>
      <c r="O32" s="5" t="str">
        <f aca="false">IFERROR(INDEX(H32:K32,MATCH(M32,{"A","B","C","D"},0)),"")</f>
        <v/>
      </c>
    </row>
    <row r="33" customFormat="false" ht="23.85" hidden="false" customHeight="false" outlineLevel="0" collapsed="false">
      <c r="A33" s="5" t="n">
        <v>7</v>
      </c>
      <c r="B33" s="5" t="n">
        <v>2</v>
      </c>
      <c r="C33" s="6" t="s">
        <v>219</v>
      </c>
      <c r="D33" s="6" t="s">
        <v>157</v>
      </c>
      <c r="E33" s="6" t="s">
        <v>156</v>
      </c>
      <c r="F33" s="6" t="s">
        <v>155</v>
      </c>
      <c r="G33" s="6" t="s">
        <v>158</v>
      </c>
      <c r="H33" s="5" t="s">
        <v>57</v>
      </c>
      <c r="I33" s="5" t="s">
        <v>55</v>
      </c>
      <c r="J33" s="5" t="s">
        <v>54</v>
      </c>
      <c r="K33" s="5" t="s">
        <v>56</v>
      </c>
      <c r="L33" s="5"/>
      <c r="M33" s="5"/>
      <c r="N33" s="5" t="str">
        <f aca="false">IFERROR(INDEX(H33:K33,MATCH(L33,{"A","B","C","D"},0)),"")</f>
        <v/>
      </c>
      <c r="O33" s="5" t="str">
        <f aca="false">IFERROR(INDEX(H33:K33,MATCH(M33,{"A","B","C","D"},0)),"")</f>
        <v/>
      </c>
    </row>
    <row r="34" customFormat="false" ht="23.85" hidden="false" customHeight="false" outlineLevel="0" collapsed="false">
      <c r="A34" s="5" t="n">
        <v>7</v>
      </c>
      <c r="B34" s="5" t="n">
        <v>3</v>
      </c>
      <c r="C34" s="6" t="s">
        <v>220</v>
      </c>
      <c r="D34" s="6" t="s">
        <v>161</v>
      </c>
      <c r="E34" s="6" t="s">
        <v>162</v>
      </c>
      <c r="F34" s="6" t="s">
        <v>160</v>
      </c>
      <c r="G34" s="6" t="s">
        <v>163</v>
      </c>
      <c r="H34" s="5" t="s">
        <v>56</v>
      </c>
      <c r="I34" s="5" t="s">
        <v>55</v>
      </c>
      <c r="J34" s="5" t="s">
        <v>54</v>
      </c>
      <c r="K34" s="5" t="s">
        <v>57</v>
      </c>
      <c r="L34" s="5"/>
      <c r="M34" s="5"/>
      <c r="N34" s="5" t="str">
        <f aca="false">IFERROR(INDEX(H34:K34,MATCH(L34,{"A","B","C","D"},0)),"")</f>
        <v/>
      </c>
      <c r="O34" s="5" t="str">
        <f aca="false">IFERROR(INDEX(H34:K34,MATCH(M34,{"A","B","C","D"},0)),"")</f>
        <v/>
      </c>
    </row>
    <row r="35" customFormat="false" ht="23.85" hidden="false" customHeight="false" outlineLevel="0" collapsed="false">
      <c r="A35" s="5" t="n">
        <v>7</v>
      </c>
      <c r="B35" s="5" t="n">
        <v>4</v>
      </c>
      <c r="C35" s="6" t="s">
        <v>221</v>
      </c>
      <c r="D35" s="6" t="s">
        <v>70</v>
      </c>
      <c r="E35" s="6" t="s">
        <v>167</v>
      </c>
      <c r="F35" s="6" t="s">
        <v>166</v>
      </c>
      <c r="G35" s="6" t="s">
        <v>165</v>
      </c>
      <c r="H35" s="5" t="s">
        <v>57</v>
      </c>
      <c r="I35" s="5" t="s">
        <v>54</v>
      </c>
      <c r="J35" s="5" t="s">
        <v>55</v>
      </c>
      <c r="K35" s="5" t="s">
        <v>56</v>
      </c>
      <c r="L35" s="5"/>
      <c r="M35" s="5"/>
      <c r="N35" s="5" t="str">
        <f aca="false">IFERROR(INDEX(H35:K35,MATCH(L35,{"A","B","C","D"},0)),"")</f>
        <v/>
      </c>
      <c r="O35" s="5" t="str">
        <f aca="false">IFERROR(INDEX(H35:K35,MATCH(M35,{"A","B","C","D"},0)),"")</f>
        <v/>
      </c>
    </row>
    <row r="36" customFormat="false" ht="23.85" hidden="false" customHeight="false" outlineLevel="0" collapsed="false">
      <c r="A36" s="5" t="n">
        <v>7</v>
      </c>
      <c r="B36" s="5" t="n">
        <v>5</v>
      </c>
      <c r="C36" s="6" t="s">
        <v>222</v>
      </c>
      <c r="D36" s="6" t="s">
        <v>172</v>
      </c>
      <c r="E36" s="6" t="s">
        <v>170</v>
      </c>
      <c r="F36" s="6" t="s">
        <v>171</v>
      </c>
      <c r="G36" s="6" t="s">
        <v>169</v>
      </c>
      <c r="H36" s="5" t="s">
        <v>56</v>
      </c>
      <c r="I36" s="5" t="s">
        <v>54</v>
      </c>
      <c r="J36" s="5" t="s">
        <v>57</v>
      </c>
      <c r="K36" s="5" t="s">
        <v>55</v>
      </c>
      <c r="L36" s="5"/>
      <c r="M36" s="5"/>
      <c r="N36" s="5" t="str">
        <f aca="false">IFERROR(INDEX(H36:K36,MATCH(L36,{"A","B","C","D"},0)),"")</f>
        <v/>
      </c>
      <c r="O36" s="5" t="str">
        <f aca="false">IFERROR(INDEX(H36:K36,MATCH(M36,{"A","B","C","D"},0)),"")</f>
        <v/>
      </c>
    </row>
    <row r="37" customFormat="false" ht="23.85" hidden="false" customHeight="false" outlineLevel="0" collapsed="false">
      <c r="A37" s="7" t="n">
        <v>8</v>
      </c>
      <c r="B37" s="7" t="n">
        <v>1</v>
      </c>
      <c r="C37" s="8" t="s">
        <v>223</v>
      </c>
      <c r="D37" s="8" t="s">
        <v>174</v>
      </c>
      <c r="E37" s="8" t="s">
        <v>176</v>
      </c>
      <c r="F37" s="8" t="s">
        <v>177</v>
      </c>
      <c r="G37" s="8" t="s">
        <v>175</v>
      </c>
      <c r="H37" s="7" t="s">
        <v>56</v>
      </c>
      <c r="I37" s="7" t="s">
        <v>55</v>
      </c>
      <c r="J37" s="7" t="s">
        <v>54</v>
      </c>
      <c r="K37" s="7" t="s">
        <v>57</v>
      </c>
      <c r="L37" s="7"/>
      <c r="M37" s="7"/>
      <c r="N37" s="7" t="str">
        <f aca="false">IFERROR(INDEX(H37:K37,MATCH(L37,{"A","B","C","D"},0)),"")</f>
        <v/>
      </c>
      <c r="O37" s="7" t="str">
        <f aca="false">IFERROR(INDEX(H37:K37,MATCH(M37,{"A","B","C","D"},0)),"")</f>
        <v/>
      </c>
    </row>
    <row r="38" customFormat="false" ht="23.85" hidden="false" customHeight="false" outlineLevel="0" collapsed="false">
      <c r="A38" s="7" t="n">
        <v>8</v>
      </c>
      <c r="B38" s="7" t="n">
        <v>2</v>
      </c>
      <c r="C38" s="8" t="s">
        <v>224</v>
      </c>
      <c r="D38" s="8" t="s">
        <v>180</v>
      </c>
      <c r="E38" s="8" t="s">
        <v>181</v>
      </c>
      <c r="F38" s="8" t="s">
        <v>179</v>
      </c>
      <c r="G38" s="8" t="s">
        <v>182</v>
      </c>
      <c r="H38" s="7" t="s">
        <v>57</v>
      </c>
      <c r="I38" s="7" t="s">
        <v>54</v>
      </c>
      <c r="J38" s="7" t="s">
        <v>56</v>
      </c>
      <c r="K38" s="7" t="s">
        <v>55</v>
      </c>
      <c r="L38" s="7"/>
      <c r="M38" s="7"/>
      <c r="N38" s="7" t="str">
        <f aca="false">IFERROR(INDEX(H38:K38,MATCH(L38,{"A","B","C","D"},0)),"")</f>
        <v/>
      </c>
      <c r="O38" s="7" t="str">
        <f aca="false">IFERROR(INDEX(H38:K38,MATCH(M38,{"A","B","C","D"},0)),"")</f>
        <v/>
      </c>
    </row>
    <row r="39" customFormat="false" ht="23.85" hidden="false" customHeight="false" outlineLevel="0" collapsed="false">
      <c r="A39" s="7" t="n">
        <v>8</v>
      </c>
      <c r="B39" s="7" t="n">
        <v>3</v>
      </c>
      <c r="C39" s="8" t="s">
        <v>225</v>
      </c>
      <c r="D39" s="8" t="s">
        <v>186</v>
      </c>
      <c r="E39" s="8" t="s">
        <v>184</v>
      </c>
      <c r="F39" s="8" t="s">
        <v>187</v>
      </c>
      <c r="G39" s="8" t="s">
        <v>185</v>
      </c>
      <c r="H39" s="7" t="s">
        <v>56</v>
      </c>
      <c r="I39" s="7" t="s">
        <v>54</v>
      </c>
      <c r="J39" s="7" t="s">
        <v>57</v>
      </c>
      <c r="K39" s="7" t="s">
        <v>55</v>
      </c>
      <c r="L39" s="7"/>
      <c r="M39" s="7"/>
      <c r="N39" s="7" t="str">
        <f aca="false">IFERROR(INDEX(H39:K39,MATCH(L39,{"A","B","C","D"},0)),"")</f>
        <v/>
      </c>
      <c r="O39" s="7" t="str">
        <f aca="false">IFERROR(INDEX(H39:K39,MATCH(M39,{"A","B","C","D"},0)),"")</f>
        <v/>
      </c>
    </row>
    <row r="40" customFormat="false" ht="23.85" hidden="false" customHeight="false" outlineLevel="0" collapsed="false">
      <c r="A40" s="7" t="n">
        <v>8</v>
      </c>
      <c r="B40" s="7" t="n">
        <v>4</v>
      </c>
      <c r="C40" s="8" t="s">
        <v>226</v>
      </c>
      <c r="D40" s="8" t="s">
        <v>191</v>
      </c>
      <c r="E40" s="8" t="s">
        <v>190</v>
      </c>
      <c r="F40" s="8" t="s">
        <v>189</v>
      </c>
      <c r="G40" s="8" t="s">
        <v>192</v>
      </c>
      <c r="H40" s="7" t="s">
        <v>57</v>
      </c>
      <c r="I40" s="7" t="s">
        <v>56</v>
      </c>
      <c r="J40" s="7" t="s">
        <v>55</v>
      </c>
      <c r="K40" s="7" t="s">
        <v>54</v>
      </c>
      <c r="L40" s="7"/>
      <c r="M40" s="7"/>
      <c r="N40" s="7" t="str">
        <f aca="false">IFERROR(INDEX(H40:K40,MATCH(L40,{"A","B","C","D"},0)),"")</f>
        <v/>
      </c>
      <c r="O40" s="7" t="str">
        <f aca="false">IFERROR(INDEX(H40:K40,MATCH(M40,{"A","B","C","D"},0)),"")</f>
        <v/>
      </c>
    </row>
    <row r="41" customFormat="false" ht="23.85" hidden="false" customHeight="false" outlineLevel="0" collapsed="false">
      <c r="A41" s="7" t="n">
        <v>8</v>
      </c>
      <c r="B41" s="7" t="n">
        <v>5</v>
      </c>
      <c r="C41" s="8" t="s">
        <v>227</v>
      </c>
      <c r="D41" s="8" t="s">
        <v>197</v>
      </c>
      <c r="E41" s="8" t="s">
        <v>196</v>
      </c>
      <c r="F41" s="8" t="s">
        <v>194</v>
      </c>
      <c r="G41" s="8" t="s">
        <v>195</v>
      </c>
      <c r="H41" s="7" t="s">
        <v>54</v>
      </c>
      <c r="I41" s="7" t="s">
        <v>57</v>
      </c>
      <c r="J41" s="7" t="s">
        <v>55</v>
      </c>
      <c r="K41" s="7" t="s">
        <v>56</v>
      </c>
      <c r="L41" s="7"/>
      <c r="M41" s="7"/>
      <c r="N41" s="7" t="str">
        <f aca="false">IFERROR(INDEX(H41:K41,MATCH(L41,{"A","B","C","D"},0)),"")</f>
        <v/>
      </c>
      <c r="O41" s="7" t="str">
        <f aca="false">IFERROR(INDEX(H41:K41,MATCH(M41,{"A","B","C","D"},0)),"")</f>
        <v/>
      </c>
    </row>
    <row r="42" customFormat="false" ht="23.85" hidden="false" customHeight="false" outlineLevel="0" collapsed="false">
      <c r="A42" s="5" t="n">
        <v>9</v>
      </c>
      <c r="B42" s="5" t="n">
        <v>1</v>
      </c>
      <c r="C42" s="6" t="s">
        <v>228</v>
      </c>
      <c r="D42" s="6" t="s">
        <v>151</v>
      </c>
      <c r="E42" s="6" t="s">
        <v>152</v>
      </c>
      <c r="F42" s="6" t="s">
        <v>153</v>
      </c>
      <c r="G42" s="6" t="s">
        <v>150</v>
      </c>
      <c r="H42" s="5" t="s">
        <v>55</v>
      </c>
      <c r="I42" s="5" t="s">
        <v>56</v>
      </c>
      <c r="J42" s="5" t="s">
        <v>54</v>
      </c>
      <c r="K42" s="5" t="s">
        <v>57</v>
      </c>
      <c r="L42" s="5"/>
      <c r="M42" s="5"/>
      <c r="N42" s="5" t="str">
        <f aca="false">IFERROR(INDEX(H42:K42,MATCH(L42,{"A","B","C","D"},0)),"")</f>
        <v/>
      </c>
      <c r="O42" s="5" t="str">
        <f aca="false">IFERROR(INDEX(H42:K42,MATCH(M42,{"A","B","C","D"},0)),"")</f>
        <v/>
      </c>
    </row>
    <row r="43" customFormat="false" ht="23.85" hidden="false" customHeight="false" outlineLevel="0" collapsed="false">
      <c r="A43" s="5" t="n">
        <v>9</v>
      </c>
      <c r="B43" s="5" t="n">
        <v>2</v>
      </c>
      <c r="C43" s="6" t="s">
        <v>229</v>
      </c>
      <c r="D43" s="6" t="s">
        <v>158</v>
      </c>
      <c r="E43" s="6" t="s">
        <v>157</v>
      </c>
      <c r="F43" s="6" t="s">
        <v>156</v>
      </c>
      <c r="G43" s="6" t="s">
        <v>155</v>
      </c>
      <c r="H43" s="5" t="s">
        <v>56</v>
      </c>
      <c r="I43" s="5" t="s">
        <v>57</v>
      </c>
      <c r="J43" s="5" t="s">
        <v>55</v>
      </c>
      <c r="K43" s="5" t="s">
        <v>54</v>
      </c>
      <c r="L43" s="5"/>
      <c r="M43" s="5"/>
      <c r="N43" s="5" t="str">
        <f aca="false">IFERROR(INDEX(H43:K43,MATCH(L43,{"A","B","C","D"},0)),"")</f>
        <v/>
      </c>
      <c r="O43" s="5" t="str">
        <f aca="false">IFERROR(INDEX(H43:K43,MATCH(M43,{"A","B","C","D"},0)),"")</f>
        <v/>
      </c>
    </row>
    <row r="44" customFormat="false" ht="23.85" hidden="false" customHeight="false" outlineLevel="0" collapsed="false">
      <c r="A44" s="5" t="n">
        <v>9</v>
      </c>
      <c r="B44" s="5" t="n">
        <v>3</v>
      </c>
      <c r="C44" s="6" t="s">
        <v>230</v>
      </c>
      <c r="D44" s="6" t="s">
        <v>163</v>
      </c>
      <c r="E44" s="6" t="s">
        <v>160</v>
      </c>
      <c r="F44" s="6" t="s">
        <v>161</v>
      </c>
      <c r="G44" s="6" t="s">
        <v>162</v>
      </c>
      <c r="H44" s="5" t="s">
        <v>57</v>
      </c>
      <c r="I44" s="5" t="s">
        <v>54</v>
      </c>
      <c r="J44" s="5" t="s">
        <v>56</v>
      </c>
      <c r="K44" s="5" t="s">
        <v>55</v>
      </c>
      <c r="L44" s="5"/>
      <c r="M44" s="5"/>
      <c r="N44" s="5" t="str">
        <f aca="false">IFERROR(INDEX(H44:K44,MATCH(L44,{"A","B","C","D"},0)),"")</f>
        <v/>
      </c>
      <c r="O44" s="5" t="str">
        <f aca="false">IFERROR(INDEX(H44:K44,MATCH(M44,{"A","B","C","D"},0)),"")</f>
        <v/>
      </c>
    </row>
    <row r="45" customFormat="false" ht="23.85" hidden="false" customHeight="false" outlineLevel="0" collapsed="false">
      <c r="A45" s="5" t="n">
        <v>9</v>
      </c>
      <c r="B45" s="5" t="n">
        <v>4</v>
      </c>
      <c r="C45" s="6" t="s">
        <v>231</v>
      </c>
      <c r="D45" s="6" t="s">
        <v>70</v>
      </c>
      <c r="E45" s="6" t="s">
        <v>166</v>
      </c>
      <c r="F45" s="6" t="s">
        <v>167</v>
      </c>
      <c r="G45" s="6" t="s">
        <v>165</v>
      </c>
      <c r="H45" s="5" t="s">
        <v>57</v>
      </c>
      <c r="I45" s="5" t="s">
        <v>55</v>
      </c>
      <c r="J45" s="5" t="s">
        <v>54</v>
      </c>
      <c r="K45" s="5" t="s">
        <v>56</v>
      </c>
      <c r="L45" s="5"/>
      <c r="M45" s="5"/>
      <c r="N45" s="5" t="str">
        <f aca="false">IFERROR(INDEX(H45:K45,MATCH(L45,{"A","B","C","D"},0)),"")</f>
        <v/>
      </c>
      <c r="O45" s="5" t="str">
        <f aca="false">IFERROR(INDEX(H45:K45,MATCH(M45,{"A","B","C","D"},0)),"")</f>
        <v/>
      </c>
    </row>
    <row r="46" customFormat="false" ht="23.85" hidden="false" customHeight="false" outlineLevel="0" collapsed="false">
      <c r="A46" s="5" t="n">
        <v>9</v>
      </c>
      <c r="B46" s="5" t="n">
        <v>5</v>
      </c>
      <c r="C46" s="6" t="s">
        <v>232</v>
      </c>
      <c r="D46" s="6" t="s">
        <v>169</v>
      </c>
      <c r="E46" s="6" t="s">
        <v>171</v>
      </c>
      <c r="F46" s="6" t="s">
        <v>170</v>
      </c>
      <c r="G46" s="6" t="s">
        <v>172</v>
      </c>
      <c r="H46" s="5" t="s">
        <v>55</v>
      </c>
      <c r="I46" s="5" t="s">
        <v>57</v>
      </c>
      <c r="J46" s="5" t="s">
        <v>54</v>
      </c>
      <c r="K46" s="5" t="s">
        <v>56</v>
      </c>
      <c r="L46" s="5"/>
      <c r="M46" s="5"/>
      <c r="N46" s="5" t="str">
        <f aca="false">IFERROR(INDEX(H46:K46,MATCH(L46,{"A","B","C","D"},0)),"")</f>
        <v/>
      </c>
      <c r="O46" s="5" t="str">
        <f aca="false">IFERROR(INDEX(H46:K46,MATCH(M46,{"A","B","C","D"},0)),"")</f>
        <v/>
      </c>
    </row>
    <row r="47" customFormat="false" ht="23.85" hidden="false" customHeight="false" outlineLevel="0" collapsed="false">
      <c r="A47" s="7" t="n">
        <v>10</v>
      </c>
      <c r="B47" s="7" t="n">
        <v>1</v>
      </c>
      <c r="C47" s="8" t="s">
        <v>233</v>
      </c>
      <c r="D47" s="8" t="s">
        <v>175</v>
      </c>
      <c r="E47" s="8" t="s">
        <v>177</v>
      </c>
      <c r="F47" s="8" t="s">
        <v>176</v>
      </c>
      <c r="G47" s="8" t="s">
        <v>174</v>
      </c>
      <c r="H47" s="7" t="s">
        <v>57</v>
      </c>
      <c r="I47" s="7" t="s">
        <v>54</v>
      </c>
      <c r="J47" s="7" t="s">
        <v>55</v>
      </c>
      <c r="K47" s="7" t="s">
        <v>56</v>
      </c>
      <c r="L47" s="7"/>
      <c r="M47" s="7"/>
      <c r="N47" s="7" t="str">
        <f aca="false">IFERROR(INDEX(H47:K47,MATCH(L47,{"A","B","C","D"},0)),"")</f>
        <v/>
      </c>
      <c r="O47" s="7" t="str">
        <f aca="false">IFERROR(INDEX(H47:K47,MATCH(M47,{"A","B","C","D"},0)),"")</f>
        <v/>
      </c>
    </row>
    <row r="48" customFormat="false" ht="23.85" hidden="false" customHeight="false" outlineLevel="0" collapsed="false">
      <c r="A48" s="7" t="n">
        <v>10</v>
      </c>
      <c r="B48" s="7" t="n">
        <v>2</v>
      </c>
      <c r="C48" s="8" t="s">
        <v>234</v>
      </c>
      <c r="D48" s="8" t="s">
        <v>182</v>
      </c>
      <c r="E48" s="8" t="s">
        <v>181</v>
      </c>
      <c r="F48" s="8" t="s">
        <v>179</v>
      </c>
      <c r="G48" s="8" t="s">
        <v>180</v>
      </c>
      <c r="H48" s="7" t="s">
        <v>55</v>
      </c>
      <c r="I48" s="7" t="s">
        <v>54</v>
      </c>
      <c r="J48" s="7" t="s">
        <v>56</v>
      </c>
      <c r="K48" s="7" t="s">
        <v>57</v>
      </c>
      <c r="L48" s="7"/>
      <c r="M48" s="7"/>
      <c r="N48" s="7" t="str">
        <f aca="false">IFERROR(INDEX(H48:K48,MATCH(L48,{"A","B","C","D"},0)),"")</f>
        <v/>
      </c>
      <c r="O48" s="7" t="str">
        <f aca="false">IFERROR(INDEX(H48:K48,MATCH(M48,{"A","B","C","D"},0)),"")</f>
        <v/>
      </c>
    </row>
    <row r="49" customFormat="false" ht="23.85" hidden="false" customHeight="false" outlineLevel="0" collapsed="false">
      <c r="A49" s="7" t="n">
        <v>10</v>
      </c>
      <c r="B49" s="7" t="n">
        <v>3</v>
      </c>
      <c r="C49" s="8" t="s">
        <v>235</v>
      </c>
      <c r="D49" s="8" t="s">
        <v>184</v>
      </c>
      <c r="E49" s="8" t="s">
        <v>187</v>
      </c>
      <c r="F49" s="8" t="s">
        <v>186</v>
      </c>
      <c r="G49" s="8" t="s">
        <v>185</v>
      </c>
      <c r="H49" s="7" t="s">
        <v>54</v>
      </c>
      <c r="I49" s="7" t="s">
        <v>57</v>
      </c>
      <c r="J49" s="7" t="s">
        <v>56</v>
      </c>
      <c r="K49" s="7" t="s">
        <v>55</v>
      </c>
      <c r="L49" s="7"/>
      <c r="M49" s="7"/>
      <c r="N49" s="7" t="str">
        <f aca="false">IFERROR(INDEX(H49:K49,MATCH(L49,{"A","B","C","D"},0)),"")</f>
        <v/>
      </c>
      <c r="O49" s="7" t="str">
        <f aca="false">IFERROR(INDEX(H49:K49,MATCH(M49,{"A","B","C","D"},0)),"")</f>
        <v/>
      </c>
    </row>
    <row r="50" customFormat="false" ht="23.85" hidden="false" customHeight="false" outlineLevel="0" collapsed="false">
      <c r="A50" s="7" t="n">
        <v>10</v>
      </c>
      <c r="B50" s="7" t="n">
        <v>4</v>
      </c>
      <c r="C50" s="8" t="s">
        <v>236</v>
      </c>
      <c r="D50" s="8" t="s">
        <v>189</v>
      </c>
      <c r="E50" s="8" t="s">
        <v>191</v>
      </c>
      <c r="F50" s="8" t="s">
        <v>190</v>
      </c>
      <c r="G50" s="8" t="s">
        <v>192</v>
      </c>
      <c r="H50" s="7" t="s">
        <v>55</v>
      </c>
      <c r="I50" s="7" t="s">
        <v>57</v>
      </c>
      <c r="J50" s="7" t="s">
        <v>56</v>
      </c>
      <c r="K50" s="7" t="s">
        <v>54</v>
      </c>
      <c r="L50" s="7"/>
      <c r="M50" s="7"/>
      <c r="N50" s="7" t="str">
        <f aca="false">IFERROR(INDEX(H50:K50,MATCH(L50,{"A","B","C","D"},0)),"")</f>
        <v/>
      </c>
      <c r="O50" s="7" t="str">
        <f aca="false">IFERROR(INDEX(H50:K50,MATCH(M50,{"A","B","C","D"},0)),"")</f>
        <v/>
      </c>
    </row>
    <row r="51" customFormat="false" ht="23.85" hidden="false" customHeight="false" outlineLevel="0" collapsed="false">
      <c r="A51" s="7" t="n">
        <v>10</v>
      </c>
      <c r="B51" s="7" t="n">
        <v>5</v>
      </c>
      <c r="C51" s="8" t="s">
        <v>237</v>
      </c>
      <c r="D51" s="8" t="s">
        <v>197</v>
      </c>
      <c r="E51" s="8" t="s">
        <v>196</v>
      </c>
      <c r="F51" s="8" t="s">
        <v>194</v>
      </c>
      <c r="G51" s="8" t="s">
        <v>195</v>
      </c>
      <c r="H51" s="7" t="s">
        <v>54</v>
      </c>
      <c r="I51" s="7" t="s">
        <v>57</v>
      </c>
      <c r="J51" s="7" t="s">
        <v>55</v>
      </c>
      <c r="K51" s="7" t="s">
        <v>56</v>
      </c>
      <c r="L51" s="7"/>
      <c r="M51" s="7"/>
      <c r="N51" s="7" t="str">
        <f aca="false">IFERROR(INDEX(H51:K51,MATCH(L51,{"A","B","C","D"},0)),"")</f>
        <v/>
      </c>
      <c r="O51" s="7" t="str">
        <f aca="false">IFERROR(INDEX(H51:K51,MATCH(M51,{"A","B","C","D"},0)),"")</f>
        <v/>
      </c>
    </row>
    <row r="54" customFormat="false" ht="15" hidden="false" customHeight="false" outlineLevel="0" collapsed="false">
      <c r="A54" s="9" t="s">
        <v>143</v>
      </c>
      <c r="B54" s="9"/>
      <c r="C54" s="9"/>
      <c r="D54" s="9"/>
      <c r="E54" s="9"/>
      <c r="F54" s="9"/>
    </row>
    <row r="55" customFormat="false" ht="46.25" hidden="false" customHeight="false" outlineLevel="0" collapsed="false">
      <c r="A55" s="10" t="s">
        <v>34</v>
      </c>
      <c r="B55" s="10" t="s">
        <v>144</v>
      </c>
      <c r="C55" s="10" t="s">
        <v>145</v>
      </c>
      <c r="D55" s="10" t="s">
        <v>146</v>
      </c>
      <c r="E55" s="10" t="s">
        <v>147</v>
      </c>
      <c r="F55" s="10" t="s">
        <v>148</v>
      </c>
    </row>
    <row r="56" customFormat="false" ht="15" hidden="false" customHeight="false" outlineLevel="0" collapsed="false">
      <c r="A56" s="11" t="n">
        <v>1</v>
      </c>
      <c r="B56" s="12" t="n">
        <f aca="false">SUMPRODUCT(($A$2:$A$51=$A56)*($N$2:$N$51="ST"))-SUMPRODUCT(($A$2:$A$51=$A56)*($O$2:$O$51="ST"))</f>
        <v>0</v>
      </c>
      <c r="C56" s="12" t="n">
        <f aca="false">SUMPRODUCT(($A$2:$A$51=$A56)*($N$2:$N$51="RB"))-SUMPRODUCT(($A$2:$A$51=$A56)*($O$2:$O$51="RB"))</f>
        <v>0</v>
      </c>
      <c r="D56" s="12" t="n">
        <f aca="false">SUMPRODUCT(($A$2:$A$51=$A56)*($N$2:$N$51="IN"))-SUMPRODUCT(($A$2:$A$51=$A56)*($O$2:$O$51="IN"))</f>
        <v>0</v>
      </c>
      <c r="E56" s="12" t="n">
        <f aca="false">SUMPRODUCT(($A$2:$A$51=$A56)*($N$2:$N$51="EX"))-SUMPRODUCT(($A$2:$A$51=$A56)*($O$2:$O$51="EX"))</f>
        <v>0</v>
      </c>
      <c r="F56" s="12" t="str">
        <f aca="false">IF(COUNT(B56:E56)=0,"",INDEX({"Strategic Thinking";"Relationship Building";"Influencing";"Executing"},MATCH(MAX(B56:E56),B56:E56,0)))</f>
        <v>Strategic Thinking</v>
      </c>
    </row>
    <row r="57" customFormat="false" ht="15" hidden="false" customHeight="false" outlineLevel="0" collapsed="false">
      <c r="A57" s="11" t="n">
        <v>2</v>
      </c>
      <c r="B57" s="12" t="n">
        <f aca="false">SUMPRODUCT(($A$2:$A$51=$A57)*($N$2:$N$51="ST"))-SUMPRODUCT(($A$2:$A$51=$A57)*($O$2:$O$51="ST"))</f>
        <v>0</v>
      </c>
      <c r="C57" s="12" t="n">
        <f aca="false">SUMPRODUCT(($A$2:$A$51=$A57)*($N$2:$N$51="RB"))-SUMPRODUCT(($A$2:$A$51=$A57)*($O$2:$O$51="RB"))</f>
        <v>0</v>
      </c>
      <c r="D57" s="12" t="n">
        <f aca="false">SUMPRODUCT(($A$2:$A$51=$A57)*($N$2:$N$51="IN"))-SUMPRODUCT(($A$2:$A$51=$A57)*($O$2:$O$51="IN"))</f>
        <v>0</v>
      </c>
      <c r="E57" s="12" t="n">
        <f aca="false">SUMPRODUCT(($A$2:$A$51=$A57)*($N$2:$N$51="EX"))-SUMPRODUCT(($A$2:$A$51=$A57)*($O$2:$O$51="EX"))</f>
        <v>0</v>
      </c>
      <c r="F57" s="12" t="str">
        <f aca="false">IF(COUNT(B57:E57)=0,"",INDEX({"Strategic Thinking";"Relationship Building";"Influencing";"Executing"},MATCH(MAX(B57:E57),B57:E57,0)))</f>
        <v>Strategic Thinking</v>
      </c>
    </row>
    <row r="58" customFormat="false" ht="15" hidden="false" customHeight="false" outlineLevel="0" collapsed="false">
      <c r="A58" s="11" t="n">
        <v>3</v>
      </c>
      <c r="B58" s="12" t="n">
        <f aca="false">SUMPRODUCT(($A$2:$A$51=$A58)*($N$2:$N$51="ST"))-SUMPRODUCT(($A$2:$A$51=$A58)*($O$2:$O$51="ST"))</f>
        <v>0</v>
      </c>
      <c r="C58" s="12" t="n">
        <f aca="false">SUMPRODUCT(($A$2:$A$51=$A58)*($N$2:$N$51="RB"))-SUMPRODUCT(($A$2:$A$51=$A58)*($O$2:$O$51="RB"))</f>
        <v>0</v>
      </c>
      <c r="D58" s="12" t="n">
        <f aca="false">SUMPRODUCT(($A$2:$A$51=$A58)*($N$2:$N$51="IN"))-SUMPRODUCT(($A$2:$A$51=$A58)*($O$2:$O$51="IN"))</f>
        <v>0</v>
      </c>
      <c r="E58" s="12" t="n">
        <f aca="false">SUMPRODUCT(($A$2:$A$51=$A58)*($N$2:$N$51="EX"))-SUMPRODUCT(($A$2:$A$51=$A58)*($O$2:$O$51="EX"))</f>
        <v>0</v>
      </c>
      <c r="F58" s="12" t="str">
        <f aca="false">IF(COUNT(B58:E58)=0,"",INDEX({"Strategic Thinking";"Relationship Building";"Influencing";"Executing"},MATCH(MAX(B58:E58),B58:E58,0)))</f>
        <v>Strategic Thinking</v>
      </c>
    </row>
    <row r="59" customFormat="false" ht="15" hidden="false" customHeight="false" outlineLevel="0" collapsed="false">
      <c r="A59" s="11" t="n">
        <v>4</v>
      </c>
      <c r="B59" s="12" t="n">
        <f aca="false">SUMPRODUCT(($A$2:$A$51=$A59)*($N$2:$N$51="ST"))-SUMPRODUCT(($A$2:$A$51=$A59)*($O$2:$O$51="ST"))</f>
        <v>0</v>
      </c>
      <c r="C59" s="12" t="n">
        <f aca="false">SUMPRODUCT(($A$2:$A$51=$A59)*($N$2:$N$51="RB"))-SUMPRODUCT(($A$2:$A$51=$A59)*($O$2:$O$51="RB"))</f>
        <v>0</v>
      </c>
      <c r="D59" s="12" t="n">
        <f aca="false">SUMPRODUCT(($A$2:$A$51=$A59)*($N$2:$N$51="IN"))-SUMPRODUCT(($A$2:$A$51=$A59)*($O$2:$O$51="IN"))</f>
        <v>0</v>
      </c>
      <c r="E59" s="12" t="n">
        <f aca="false">SUMPRODUCT(($A$2:$A$51=$A59)*($N$2:$N$51="EX"))-SUMPRODUCT(($A$2:$A$51=$A59)*($O$2:$O$51="EX"))</f>
        <v>0</v>
      </c>
      <c r="F59" s="12" t="str">
        <f aca="false">IF(COUNT(B59:E59)=0,"",INDEX({"Strategic Thinking";"Relationship Building";"Influencing";"Executing"},MATCH(MAX(B59:E59),B59:E59,0)))</f>
        <v>Strategic Thinking</v>
      </c>
    </row>
    <row r="60" customFormat="false" ht="15" hidden="false" customHeight="false" outlineLevel="0" collapsed="false">
      <c r="A60" s="11" t="n">
        <v>5</v>
      </c>
      <c r="B60" s="12" t="n">
        <f aca="false">SUMPRODUCT(($A$2:$A$51=$A60)*($N$2:$N$51="ST"))-SUMPRODUCT(($A$2:$A$51=$A60)*($O$2:$O$51="ST"))</f>
        <v>0</v>
      </c>
      <c r="C60" s="12" t="n">
        <f aca="false">SUMPRODUCT(($A$2:$A$51=$A60)*($N$2:$N$51="RB"))-SUMPRODUCT(($A$2:$A$51=$A60)*($O$2:$O$51="RB"))</f>
        <v>0</v>
      </c>
      <c r="D60" s="12" t="n">
        <f aca="false">SUMPRODUCT(($A$2:$A$51=$A60)*($N$2:$N$51="IN"))-SUMPRODUCT(($A$2:$A$51=$A60)*($O$2:$O$51="IN"))</f>
        <v>0</v>
      </c>
      <c r="E60" s="12" t="n">
        <f aca="false">SUMPRODUCT(($A$2:$A$51=$A60)*($N$2:$N$51="EX"))-SUMPRODUCT(($A$2:$A$51=$A60)*($O$2:$O$51="EX"))</f>
        <v>0</v>
      </c>
      <c r="F60" s="12" t="str">
        <f aca="false">IF(COUNT(B60:E60)=0,"",INDEX({"Strategic Thinking";"Relationship Building";"Influencing";"Executing"},MATCH(MAX(B60:E60),B60:E60,0)))</f>
        <v>Strategic Thinking</v>
      </c>
    </row>
    <row r="61" customFormat="false" ht="15" hidden="false" customHeight="false" outlineLevel="0" collapsed="false">
      <c r="A61" s="11" t="n">
        <v>6</v>
      </c>
      <c r="B61" s="12" t="n">
        <f aca="false">SUMPRODUCT(($A$2:$A$51=$A61)*($N$2:$N$51="ST"))-SUMPRODUCT(($A$2:$A$51=$A61)*($O$2:$O$51="ST"))</f>
        <v>0</v>
      </c>
      <c r="C61" s="12" t="n">
        <f aca="false">SUMPRODUCT(($A$2:$A$51=$A61)*($N$2:$N$51="RB"))-SUMPRODUCT(($A$2:$A$51=$A61)*($O$2:$O$51="RB"))</f>
        <v>0</v>
      </c>
      <c r="D61" s="12" t="n">
        <f aca="false">SUMPRODUCT(($A$2:$A$51=$A61)*($N$2:$N$51="IN"))-SUMPRODUCT(($A$2:$A$51=$A61)*($O$2:$O$51="IN"))</f>
        <v>0</v>
      </c>
      <c r="E61" s="12" t="n">
        <f aca="false">SUMPRODUCT(($A$2:$A$51=$A61)*($N$2:$N$51="EX"))-SUMPRODUCT(($A$2:$A$51=$A61)*($O$2:$O$51="EX"))</f>
        <v>0</v>
      </c>
      <c r="F61" s="12" t="str">
        <f aca="false">IF(COUNT(B61:E61)=0,"",INDEX({"Strategic Thinking";"Relationship Building";"Influencing";"Executing"},MATCH(MAX(B61:E61),B61:E61,0)))</f>
        <v>Strategic Thinking</v>
      </c>
    </row>
    <row r="62" customFormat="false" ht="15" hidden="false" customHeight="false" outlineLevel="0" collapsed="false">
      <c r="A62" s="11" t="n">
        <v>7</v>
      </c>
      <c r="B62" s="12" t="n">
        <f aca="false">SUMPRODUCT(($A$2:$A$51=$A62)*($N$2:$N$51="ST"))-SUMPRODUCT(($A$2:$A$51=$A62)*($O$2:$O$51="ST"))</f>
        <v>0</v>
      </c>
      <c r="C62" s="12" t="n">
        <f aca="false">SUMPRODUCT(($A$2:$A$51=$A62)*($N$2:$N$51="RB"))-SUMPRODUCT(($A$2:$A$51=$A62)*($O$2:$O$51="RB"))</f>
        <v>0</v>
      </c>
      <c r="D62" s="12" t="n">
        <f aca="false">SUMPRODUCT(($A$2:$A$51=$A62)*($N$2:$N$51="IN"))-SUMPRODUCT(($A$2:$A$51=$A62)*($O$2:$O$51="IN"))</f>
        <v>0</v>
      </c>
      <c r="E62" s="12" t="n">
        <f aca="false">SUMPRODUCT(($A$2:$A$51=$A62)*($N$2:$N$51="EX"))-SUMPRODUCT(($A$2:$A$51=$A62)*($O$2:$O$51="EX"))</f>
        <v>0</v>
      </c>
      <c r="F62" s="12" t="str">
        <f aca="false">IF(COUNT(B62:E62)=0,"",INDEX({"Strategic Thinking";"Relationship Building";"Influencing";"Executing"},MATCH(MAX(B62:E62),B62:E62,0)))</f>
        <v>Strategic Thinking</v>
      </c>
    </row>
    <row r="63" customFormat="false" ht="15" hidden="false" customHeight="false" outlineLevel="0" collapsed="false">
      <c r="A63" s="11" t="n">
        <v>8</v>
      </c>
      <c r="B63" s="12" t="n">
        <f aca="false">SUMPRODUCT(($A$2:$A$51=$A63)*($N$2:$N$51="ST"))-SUMPRODUCT(($A$2:$A$51=$A63)*($O$2:$O$51="ST"))</f>
        <v>0</v>
      </c>
      <c r="C63" s="12" t="n">
        <f aca="false">SUMPRODUCT(($A$2:$A$51=$A63)*($N$2:$N$51="RB"))-SUMPRODUCT(($A$2:$A$51=$A63)*($O$2:$O$51="RB"))</f>
        <v>0</v>
      </c>
      <c r="D63" s="12" t="n">
        <f aca="false">SUMPRODUCT(($A$2:$A$51=$A63)*($N$2:$N$51="IN"))-SUMPRODUCT(($A$2:$A$51=$A63)*($O$2:$O$51="IN"))</f>
        <v>0</v>
      </c>
      <c r="E63" s="12" t="n">
        <f aca="false">SUMPRODUCT(($A$2:$A$51=$A63)*($N$2:$N$51="EX"))-SUMPRODUCT(($A$2:$A$51=$A63)*($O$2:$O$51="EX"))</f>
        <v>0</v>
      </c>
      <c r="F63" s="12" t="str">
        <f aca="false">IF(COUNT(B63:E63)=0,"",INDEX({"Strategic Thinking";"Relationship Building";"Influencing";"Executing"},MATCH(MAX(B63:E63),B63:E63,0)))</f>
        <v>Strategic Thinking</v>
      </c>
    </row>
    <row r="64" customFormat="false" ht="15" hidden="false" customHeight="false" outlineLevel="0" collapsed="false">
      <c r="A64" s="11" t="n">
        <v>9</v>
      </c>
      <c r="B64" s="12" t="n">
        <f aca="false">SUMPRODUCT(($A$2:$A$51=$A64)*($N$2:$N$51="ST"))-SUMPRODUCT(($A$2:$A$51=$A64)*($O$2:$O$51="ST"))</f>
        <v>0</v>
      </c>
      <c r="C64" s="12" t="n">
        <f aca="false">SUMPRODUCT(($A$2:$A$51=$A64)*($N$2:$N$51="RB"))-SUMPRODUCT(($A$2:$A$51=$A64)*($O$2:$O$51="RB"))</f>
        <v>0</v>
      </c>
      <c r="D64" s="12" t="n">
        <f aca="false">SUMPRODUCT(($A$2:$A$51=$A64)*($N$2:$N$51="IN"))-SUMPRODUCT(($A$2:$A$51=$A64)*($O$2:$O$51="IN"))</f>
        <v>0</v>
      </c>
      <c r="E64" s="12" t="n">
        <f aca="false">SUMPRODUCT(($A$2:$A$51=$A64)*($N$2:$N$51="EX"))-SUMPRODUCT(($A$2:$A$51=$A64)*($O$2:$O$51="EX"))</f>
        <v>0</v>
      </c>
      <c r="F64" s="12" t="str">
        <f aca="false">IF(COUNT(B64:E64)=0,"",INDEX({"Strategic Thinking";"Relationship Building";"Influencing";"Executing"},MATCH(MAX(B64:E64),B64:E64,0)))</f>
        <v>Strategic Thinking</v>
      </c>
    </row>
    <row r="65" customFormat="false" ht="15" hidden="false" customHeight="false" outlineLevel="0" collapsed="false">
      <c r="A65" s="11" t="n">
        <v>10</v>
      </c>
      <c r="B65" s="12" t="n">
        <f aca="false">SUMPRODUCT(($A$2:$A$51=$A65)*($N$2:$N$51="ST"))-SUMPRODUCT(($A$2:$A$51=$A65)*($O$2:$O$51="ST"))</f>
        <v>0</v>
      </c>
      <c r="C65" s="12" t="n">
        <f aca="false">SUMPRODUCT(($A$2:$A$51=$A65)*($N$2:$N$51="RB"))-SUMPRODUCT(($A$2:$A$51=$A65)*($O$2:$O$51="RB"))</f>
        <v>0</v>
      </c>
      <c r="D65" s="12" t="n">
        <f aca="false">SUMPRODUCT(($A$2:$A$51=$A65)*($N$2:$N$51="IN"))-SUMPRODUCT(($A$2:$A$51=$A65)*($O$2:$O$51="IN"))</f>
        <v>0</v>
      </c>
      <c r="E65" s="12" t="n">
        <f aca="false">SUMPRODUCT(($A$2:$A$51=$A65)*($N$2:$N$51="EX"))-SUMPRODUCT(($A$2:$A$51=$A65)*($O$2:$O$51="EX"))</f>
        <v>0</v>
      </c>
      <c r="F65" s="12" t="str">
        <f aca="false">IF(COUNT(B65:E65)=0,"",INDEX({"Strategic Thinking";"Relationship Building";"Influencing";"Executing"},MATCH(MAX(B65:E65),B65:E65,0)))</f>
        <v>Strategic Thinking</v>
      </c>
    </row>
  </sheetData>
  <mergeCells count="1">
    <mergeCell ref="A54:F54"/>
  </mergeCells>
  <dataValidations count="1">
    <dataValidation allowBlank="true" error="Enter A, B, C or D" errorStyle="stop" errorTitle="Invalid entry" operator="between" showDropDown="false" showErrorMessage="true" showInputMessage="false" sqref="L2:M5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7" min="4" style="0" width="30"/>
    <col collapsed="false" customWidth="true" hidden="false" outlineLevel="0" max="11" min="8" style="0" width="9"/>
    <col collapsed="false" customWidth="true" hidden="false" outlineLevel="0" max="13" min="12" style="0" width="11"/>
    <col collapsed="false" customWidth="true" hidden="false" outlineLevel="0" max="15" min="14" style="0" width="12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customFormat="false" ht="23.85" hidden="false" customHeight="false" outlineLevel="0" collapsed="false">
      <c r="A2" s="5" t="n">
        <v>1</v>
      </c>
      <c r="B2" s="5" t="n">
        <v>1</v>
      </c>
      <c r="C2" s="6" t="s">
        <v>238</v>
      </c>
      <c r="D2" s="6" t="s">
        <v>239</v>
      </c>
      <c r="E2" s="6" t="s">
        <v>240</v>
      </c>
      <c r="F2" s="6" t="s">
        <v>241</v>
      </c>
      <c r="G2" s="6" t="s">
        <v>242</v>
      </c>
      <c r="H2" s="5" t="s">
        <v>56</v>
      </c>
      <c r="I2" s="5" t="s">
        <v>55</v>
      </c>
      <c r="J2" s="5" t="s">
        <v>57</v>
      </c>
      <c r="K2" s="5" t="s">
        <v>54</v>
      </c>
      <c r="L2" s="5"/>
      <c r="M2" s="5"/>
      <c r="N2" s="5" t="str">
        <f aca="false">IFERROR(INDEX(H2:K2,MATCH(L2,{"A","B","C","D"},0)),"")</f>
        <v/>
      </c>
      <c r="O2" s="5" t="str">
        <f aca="false">IFERROR(INDEX(H2:K2,MATCH(M2,{"A","B","C","D"},0)),"")</f>
        <v/>
      </c>
    </row>
    <row r="3" customFormat="false" ht="23.85" hidden="false" customHeight="false" outlineLevel="0" collapsed="false">
      <c r="A3" s="5" t="n">
        <v>1</v>
      </c>
      <c r="B3" s="5" t="n">
        <v>2</v>
      </c>
      <c r="C3" s="6" t="s">
        <v>243</v>
      </c>
      <c r="D3" s="6" t="s">
        <v>244</v>
      </c>
      <c r="E3" s="6" t="s">
        <v>245</v>
      </c>
      <c r="F3" s="6" t="s">
        <v>246</v>
      </c>
      <c r="G3" s="6" t="s">
        <v>247</v>
      </c>
      <c r="H3" s="5" t="s">
        <v>54</v>
      </c>
      <c r="I3" s="5" t="s">
        <v>56</v>
      </c>
      <c r="J3" s="5" t="s">
        <v>55</v>
      </c>
      <c r="K3" s="5" t="s">
        <v>57</v>
      </c>
      <c r="L3" s="5"/>
      <c r="M3" s="5"/>
      <c r="N3" s="5" t="str">
        <f aca="false">IFERROR(INDEX(H3:K3,MATCH(L3,{"A","B","C","D"},0)),"")</f>
        <v/>
      </c>
      <c r="O3" s="5" t="str">
        <f aca="false">IFERROR(INDEX(H3:K3,MATCH(M3,{"A","B","C","D"},0)),"")</f>
        <v/>
      </c>
    </row>
    <row r="4" customFormat="false" ht="23.85" hidden="false" customHeight="false" outlineLevel="0" collapsed="false">
      <c r="A4" s="5" t="n">
        <v>1</v>
      </c>
      <c r="B4" s="5" t="n">
        <v>3</v>
      </c>
      <c r="C4" s="6" t="s">
        <v>248</v>
      </c>
      <c r="D4" s="6" t="s">
        <v>249</v>
      </c>
      <c r="E4" s="6" t="s">
        <v>250</v>
      </c>
      <c r="F4" s="6" t="s">
        <v>251</v>
      </c>
      <c r="G4" s="6" t="s">
        <v>252</v>
      </c>
      <c r="H4" s="5" t="s">
        <v>56</v>
      </c>
      <c r="I4" s="5" t="s">
        <v>57</v>
      </c>
      <c r="J4" s="5" t="s">
        <v>54</v>
      </c>
      <c r="K4" s="5" t="s">
        <v>55</v>
      </c>
      <c r="L4" s="5"/>
      <c r="M4" s="5"/>
      <c r="N4" s="5" t="str">
        <f aca="false">IFERROR(INDEX(H4:K4,MATCH(L4,{"A","B","C","D"},0)),"")</f>
        <v/>
      </c>
      <c r="O4" s="5" t="str">
        <f aca="false">IFERROR(INDEX(H4:K4,MATCH(M4,{"A","B","C","D"},0)),"")</f>
        <v/>
      </c>
    </row>
    <row r="5" customFormat="false" ht="23.85" hidden="false" customHeight="false" outlineLevel="0" collapsed="false">
      <c r="A5" s="5" t="n">
        <v>1</v>
      </c>
      <c r="B5" s="5" t="n">
        <v>4</v>
      </c>
      <c r="C5" s="6" t="s">
        <v>253</v>
      </c>
      <c r="D5" s="6" t="s">
        <v>254</v>
      </c>
      <c r="E5" s="6" t="s">
        <v>255</v>
      </c>
      <c r="F5" s="6" t="s">
        <v>256</v>
      </c>
      <c r="G5" s="6" t="s">
        <v>257</v>
      </c>
      <c r="H5" s="5" t="s">
        <v>57</v>
      </c>
      <c r="I5" s="5" t="s">
        <v>55</v>
      </c>
      <c r="J5" s="5" t="s">
        <v>56</v>
      </c>
      <c r="K5" s="5" t="s">
        <v>54</v>
      </c>
      <c r="L5" s="5"/>
      <c r="M5" s="5"/>
      <c r="N5" s="5" t="str">
        <f aca="false">IFERROR(INDEX(H5:K5,MATCH(L5,{"A","B","C","D"},0)),"")</f>
        <v/>
      </c>
      <c r="O5" s="5" t="str">
        <f aca="false">IFERROR(INDEX(H5:K5,MATCH(M5,{"A","B","C","D"},0)),"")</f>
        <v/>
      </c>
    </row>
    <row r="6" customFormat="false" ht="23.85" hidden="false" customHeight="false" outlineLevel="0" collapsed="false">
      <c r="A6" s="5" t="n">
        <v>1</v>
      </c>
      <c r="B6" s="5" t="n">
        <v>5</v>
      </c>
      <c r="C6" s="6" t="s">
        <v>258</v>
      </c>
      <c r="D6" s="6" t="s">
        <v>259</v>
      </c>
      <c r="E6" s="6" t="s">
        <v>260</v>
      </c>
      <c r="F6" s="6" t="s">
        <v>261</v>
      </c>
      <c r="G6" s="6" t="s">
        <v>262</v>
      </c>
      <c r="H6" s="5" t="s">
        <v>54</v>
      </c>
      <c r="I6" s="5" t="s">
        <v>56</v>
      </c>
      <c r="J6" s="5" t="s">
        <v>55</v>
      </c>
      <c r="K6" s="5" t="s">
        <v>57</v>
      </c>
      <c r="L6" s="5"/>
      <c r="M6" s="5"/>
      <c r="N6" s="5" t="str">
        <f aca="false">IFERROR(INDEX(H6:K6,MATCH(L6,{"A","B","C","D"},0)),"")</f>
        <v/>
      </c>
      <c r="O6" s="5" t="str">
        <f aca="false">IFERROR(INDEX(H6:K6,MATCH(M6,{"A","B","C","D"},0)),"")</f>
        <v/>
      </c>
    </row>
    <row r="7" customFormat="false" ht="23.85" hidden="false" customHeight="false" outlineLevel="0" collapsed="false">
      <c r="A7" s="7" t="n">
        <v>2</v>
      </c>
      <c r="B7" s="7" t="n">
        <v>1</v>
      </c>
      <c r="C7" s="8" t="s">
        <v>263</v>
      </c>
      <c r="D7" s="8" t="s">
        <v>264</v>
      </c>
      <c r="E7" s="8" t="s">
        <v>265</v>
      </c>
      <c r="F7" s="8" t="s">
        <v>266</v>
      </c>
      <c r="G7" s="8" t="s">
        <v>267</v>
      </c>
      <c r="H7" s="7" t="s">
        <v>56</v>
      </c>
      <c r="I7" s="7" t="s">
        <v>54</v>
      </c>
      <c r="J7" s="7" t="s">
        <v>57</v>
      </c>
      <c r="K7" s="7" t="s">
        <v>55</v>
      </c>
      <c r="L7" s="7"/>
      <c r="M7" s="7"/>
      <c r="N7" s="7" t="str">
        <f aca="false">IFERROR(INDEX(H7:K7,MATCH(L7,{"A","B","C","D"},0)),"")</f>
        <v/>
      </c>
      <c r="O7" s="7" t="str">
        <f aca="false">IFERROR(INDEX(H7:K7,MATCH(M7,{"A","B","C","D"},0)),"")</f>
        <v/>
      </c>
    </row>
    <row r="8" customFormat="false" ht="23.85" hidden="false" customHeight="false" outlineLevel="0" collapsed="false">
      <c r="A8" s="7" t="n">
        <v>2</v>
      </c>
      <c r="B8" s="7" t="n">
        <v>2</v>
      </c>
      <c r="C8" s="8" t="s">
        <v>268</v>
      </c>
      <c r="D8" s="8" t="s">
        <v>269</v>
      </c>
      <c r="E8" s="8" t="s">
        <v>270</v>
      </c>
      <c r="F8" s="8" t="s">
        <v>271</v>
      </c>
      <c r="G8" s="8" t="s">
        <v>272</v>
      </c>
      <c r="H8" s="7" t="s">
        <v>57</v>
      </c>
      <c r="I8" s="7" t="s">
        <v>56</v>
      </c>
      <c r="J8" s="7" t="s">
        <v>54</v>
      </c>
      <c r="K8" s="7" t="s">
        <v>55</v>
      </c>
      <c r="L8" s="7"/>
      <c r="M8" s="7"/>
      <c r="N8" s="7" t="str">
        <f aca="false">IFERROR(INDEX(H8:K8,MATCH(L8,{"A","B","C","D"},0)),"")</f>
        <v/>
      </c>
      <c r="O8" s="7" t="str">
        <f aca="false">IFERROR(INDEX(H8:K8,MATCH(M8,{"A","B","C","D"},0)),"")</f>
        <v/>
      </c>
    </row>
    <row r="9" customFormat="false" ht="23.85" hidden="false" customHeight="false" outlineLevel="0" collapsed="false">
      <c r="A9" s="7" t="n">
        <v>2</v>
      </c>
      <c r="B9" s="7" t="n">
        <v>3</v>
      </c>
      <c r="C9" s="8" t="s">
        <v>273</v>
      </c>
      <c r="D9" s="8" t="s">
        <v>274</v>
      </c>
      <c r="E9" s="8" t="s">
        <v>275</v>
      </c>
      <c r="F9" s="8" t="s">
        <v>276</v>
      </c>
      <c r="G9" s="8" t="s">
        <v>277</v>
      </c>
      <c r="H9" s="7" t="s">
        <v>56</v>
      </c>
      <c r="I9" s="7" t="s">
        <v>55</v>
      </c>
      <c r="J9" s="7" t="s">
        <v>57</v>
      </c>
      <c r="K9" s="7" t="s">
        <v>54</v>
      </c>
      <c r="L9" s="7"/>
      <c r="M9" s="7"/>
      <c r="N9" s="7" t="str">
        <f aca="false">IFERROR(INDEX(H9:K9,MATCH(L9,{"A","B","C","D"},0)),"")</f>
        <v/>
      </c>
      <c r="O9" s="7" t="str">
        <f aca="false">IFERROR(INDEX(H9:K9,MATCH(M9,{"A","B","C","D"},0)),"")</f>
        <v/>
      </c>
    </row>
    <row r="10" customFormat="false" ht="23.85" hidden="false" customHeight="false" outlineLevel="0" collapsed="false">
      <c r="A10" s="7" t="n">
        <v>2</v>
      </c>
      <c r="B10" s="7" t="n">
        <v>4</v>
      </c>
      <c r="C10" s="8" t="s">
        <v>278</v>
      </c>
      <c r="D10" s="8" t="s">
        <v>279</v>
      </c>
      <c r="E10" s="8" t="s">
        <v>280</v>
      </c>
      <c r="F10" s="8" t="s">
        <v>281</v>
      </c>
      <c r="G10" s="8" t="s">
        <v>282</v>
      </c>
      <c r="H10" s="7" t="s">
        <v>54</v>
      </c>
      <c r="I10" s="7" t="s">
        <v>55</v>
      </c>
      <c r="J10" s="7" t="s">
        <v>56</v>
      </c>
      <c r="K10" s="7" t="s">
        <v>57</v>
      </c>
      <c r="L10" s="7"/>
      <c r="M10" s="7"/>
      <c r="N10" s="7" t="str">
        <f aca="false">IFERROR(INDEX(H10:K10,MATCH(L10,{"A","B","C","D"},0)),"")</f>
        <v/>
      </c>
      <c r="O10" s="7" t="str">
        <f aca="false">IFERROR(INDEX(H10:K10,MATCH(M10,{"A","B","C","D"},0)),"")</f>
        <v/>
      </c>
    </row>
    <row r="11" customFormat="false" ht="23.85" hidden="false" customHeight="false" outlineLevel="0" collapsed="false">
      <c r="A11" s="7" t="n">
        <v>2</v>
      </c>
      <c r="B11" s="7" t="n">
        <v>5</v>
      </c>
      <c r="C11" s="8" t="s">
        <v>283</v>
      </c>
      <c r="D11" s="8" t="s">
        <v>284</v>
      </c>
      <c r="E11" s="8" t="s">
        <v>195</v>
      </c>
      <c r="F11" s="8" t="s">
        <v>285</v>
      </c>
      <c r="G11" s="8" t="s">
        <v>286</v>
      </c>
      <c r="H11" s="7" t="s">
        <v>55</v>
      </c>
      <c r="I11" s="7" t="s">
        <v>56</v>
      </c>
      <c r="J11" s="7" t="s">
        <v>57</v>
      </c>
      <c r="K11" s="7" t="s">
        <v>54</v>
      </c>
      <c r="L11" s="7"/>
      <c r="M11" s="7"/>
      <c r="N11" s="7" t="str">
        <f aca="false">IFERROR(INDEX(H11:K11,MATCH(L11,{"A","B","C","D"},0)),"")</f>
        <v/>
      </c>
      <c r="O11" s="7" t="str">
        <f aca="false">IFERROR(INDEX(H11:K11,MATCH(M11,{"A","B","C","D"},0)),"")</f>
        <v/>
      </c>
    </row>
    <row r="12" customFormat="false" ht="23.85" hidden="false" customHeight="false" outlineLevel="0" collapsed="false">
      <c r="A12" s="5" t="n">
        <v>3</v>
      </c>
      <c r="B12" s="5" t="n">
        <v>1</v>
      </c>
      <c r="C12" s="6" t="s">
        <v>287</v>
      </c>
      <c r="D12" s="6" t="s">
        <v>240</v>
      </c>
      <c r="E12" s="6" t="s">
        <v>242</v>
      </c>
      <c r="F12" s="6" t="s">
        <v>241</v>
      </c>
      <c r="G12" s="6" t="s">
        <v>239</v>
      </c>
      <c r="H12" s="5" t="s">
        <v>55</v>
      </c>
      <c r="I12" s="5" t="s">
        <v>54</v>
      </c>
      <c r="J12" s="5" t="s">
        <v>57</v>
      </c>
      <c r="K12" s="5" t="s">
        <v>56</v>
      </c>
      <c r="L12" s="5"/>
      <c r="M12" s="5"/>
      <c r="N12" s="5" t="str">
        <f aca="false">IFERROR(INDEX(H12:K12,MATCH(L12,{"A","B","C","D"},0)),"")</f>
        <v/>
      </c>
      <c r="O12" s="5" t="str">
        <f aca="false">IFERROR(INDEX(H12:K12,MATCH(M12,{"A","B","C","D"},0)),"")</f>
        <v/>
      </c>
    </row>
    <row r="13" customFormat="false" ht="23.85" hidden="false" customHeight="false" outlineLevel="0" collapsed="false">
      <c r="A13" s="5" t="n">
        <v>3</v>
      </c>
      <c r="B13" s="5" t="n">
        <v>2</v>
      </c>
      <c r="C13" s="6" t="s">
        <v>288</v>
      </c>
      <c r="D13" s="6" t="s">
        <v>246</v>
      </c>
      <c r="E13" s="6" t="s">
        <v>244</v>
      </c>
      <c r="F13" s="6" t="s">
        <v>245</v>
      </c>
      <c r="G13" s="6" t="s">
        <v>247</v>
      </c>
      <c r="H13" s="5" t="s">
        <v>55</v>
      </c>
      <c r="I13" s="5" t="s">
        <v>54</v>
      </c>
      <c r="J13" s="5" t="s">
        <v>56</v>
      </c>
      <c r="K13" s="5" t="s">
        <v>57</v>
      </c>
      <c r="L13" s="5"/>
      <c r="M13" s="5"/>
      <c r="N13" s="5" t="str">
        <f aca="false">IFERROR(INDEX(H13:K13,MATCH(L13,{"A","B","C","D"},0)),"")</f>
        <v/>
      </c>
      <c r="O13" s="5" t="str">
        <f aca="false">IFERROR(INDEX(H13:K13,MATCH(M13,{"A","B","C","D"},0)),"")</f>
        <v/>
      </c>
    </row>
    <row r="14" customFormat="false" ht="23.85" hidden="false" customHeight="false" outlineLevel="0" collapsed="false">
      <c r="A14" s="5" t="n">
        <v>3</v>
      </c>
      <c r="B14" s="5" t="n">
        <v>3</v>
      </c>
      <c r="C14" s="6" t="s">
        <v>289</v>
      </c>
      <c r="D14" s="6" t="s">
        <v>252</v>
      </c>
      <c r="E14" s="6" t="s">
        <v>251</v>
      </c>
      <c r="F14" s="6" t="s">
        <v>249</v>
      </c>
      <c r="G14" s="6" t="s">
        <v>250</v>
      </c>
      <c r="H14" s="5" t="s">
        <v>55</v>
      </c>
      <c r="I14" s="5" t="s">
        <v>54</v>
      </c>
      <c r="J14" s="5" t="s">
        <v>56</v>
      </c>
      <c r="K14" s="5" t="s">
        <v>57</v>
      </c>
      <c r="L14" s="5"/>
      <c r="M14" s="5"/>
      <c r="N14" s="5" t="str">
        <f aca="false">IFERROR(INDEX(H14:K14,MATCH(L14,{"A","B","C","D"},0)),"")</f>
        <v/>
      </c>
      <c r="O14" s="5" t="str">
        <f aca="false">IFERROR(INDEX(H14:K14,MATCH(M14,{"A","B","C","D"},0)),"")</f>
        <v/>
      </c>
    </row>
    <row r="15" customFormat="false" ht="23.85" hidden="false" customHeight="false" outlineLevel="0" collapsed="false">
      <c r="A15" s="5" t="n">
        <v>3</v>
      </c>
      <c r="B15" s="5" t="n">
        <v>4</v>
      </c>
      <c r="C15" s="6" t="s">
        <v>290</v>
      </c>
      <c r="D15" s="6" t="s">
        <v>257</v>
      </c>
      <c r="E15" s="6" t="s">
        <v>255</v>
      </c>
      <c r="F15" s="6" t="s">
        <v>256</v>
      </c>
      <c r="G15" s="6" t="s">
        <v>254</v>
      </c>
      <c r="H15" s="5" t="s">
        <v>54</v>
      </c>
      <c r="I15" s="5" t="s">
        <v>55</v>
      </c>
      <c r="J15" s="5" t="s">
        <v>56</v>
      </c>
      <c r="K15" s="5" t="s">
        <v>57</v>
      </c>
      <c r="L15" s="5"/>
      <c r="M15" s="5"/>
      <c r="N15" s="5" t="str">
        <f aca="false">IFERROR(INDEX(H15:K15,MATCH(L15,{"A","B","C","D"},0)),"")</f>
        <v/>
      </c>
      <c r="O15" s="5" t="str">
        <f aca="false">IFERROR(INDEX(H15:K15,MATCH(M15,{"A","B","C","D"},0)),"")</f>
        <v/>
      </c>
    </row>
    <row r="16" customFormat="false" ht="23.85" hidden="false" customHeight="false" outlineLevel="0" collapsed="false">
      <c r="A16" s="5" t="n">
        <v>3</v>
      </c>
      <c r="B16" s="5" t="n">
        <v>5</v>
      </c>
      <c r="C16" s="6" t="s">
        <v>291</v>
      </c>
      <c r="D16" s="6" t="s">
        <v>262</v>
      </c>
      <c r="E16" s="6" t="s">
        <v>259</v>
      </c>
      <c r="F16" s="6" t="s">
        <v>260</v>
      </c>
      <c r="G16" s="6" t="s">
        <v>261</v>
      </c>
      <c r="H16" s="5" t="s">
        <v>57</v>
      </c>
      <c r="I16" s="5" t="s">
        <v>54</v>
      </c>
      <c r="J16" s="5" t="s">
        <v>56</v>
      </c>
      <c r="K16" s="5" t="s">
        <v>55</v>
      </c>
      <c r="L16" s="5"/>
      <c r="M16" s="5"/>
      <c r="N16" s="5" t="str">
        <f aca="false">IFERROR(INDEX(H16:K16,MATCH(L16,{"A","B","C","D"},0)),"")</f>
        <v/>
      </c>
      <c r="O16" s="5" t="str">
        <f aca="false">IFERROR(INDEX(H16:K16,MATCH(M16,{"A","B","C","D"},0)),"")</f>
        <v/>
      </c>
    </row>
    <row r="17" customFormat="false" ht="23.85" hidden="false" customHeight="false" outlineLevel="0" collapsed="false">
      <c r="A17" s="7" t="n">
        <v>4</v>
      </c>
      <c r="B17" s="7" t="n">
        <v>1</v>
      </c>
      <c r="C17" s="8" t="s">
        <v>292</v>
      </c>
      <c r="D17" s="8" t="s">
        <v>264</v>
      </c>
      <c r="E17" s="8" t="s">
        <v>266</v>
      </c>
      <c r="F17" s="8" t="s">
        <v>265</v>
      </c>
      <c r="G17" s="8" t="s">
        <v>267</v>
      </c>
      <c r="H17" s="7" t="s">
        <v>56</v>
      </c>
      <c r="I17" s="7" t="s">
        <v>57</v>
      </c>
      <c r="J17" s="7" t="s">
        <v>54</v>
      </c>
      <c r="K17" s="7" t="s">
        <v>55</v>
      </c>
      <c r="L17" s="7"/>
      <c r="M17" s="7"/>
      <c r="N17" s="7" t="str">
        <f aca="false">IFERROR(INDEX(H17:K17,MATCH(L17,{"A","B","C","D"},0)),"")</f>
        <v/>
      </c>
      <c r="O17" s="7" t="str">
        <f aca="false">IFERROR(INDEX(H17:K17,MATCH(M17,{"A","B","C","D"},0)),"")</f>
        <v/>
      </c>
    </row>
    <row r="18" customFormat="false" ht="23.85" hidden="false" customHeight="false" outlineLevel="0" collapsed="false">
      <c r="A18" s="7" t="n">
        <v>4</v>
      </c>
      <c r="B18" s="7" t="n">
        <v>2</v>
      </c>
      <c r="C18" s="8" t="s">
        <v>293</v>
      </c>
      <c r="D18" s="8" t="s">
        <v>270</v>
      </c>
      <c r="E18" s="8" t="s">
        <v>271</v>
      </c>
      <c r="F18" s="8" t="s">
        <v>272</v>
      </c>
      <c r="G18" s="8" t="s">
        <v>269</v>
      </c>
      <c r="H18" s="7" t="s">
        <v>56</v>
      </c>
      <c r="I18" s="7" t="s">
        <v>54</v>
      </c>
      <c r="J18" s="7" t="s">
        <v>55</v>
      </c>
      <c r="K18" s="7" t="s">
        <v>57</v>
      </c>
      <c r="L18" s="7"/>
      <c r="M18" s="7"/>
      <c r="N18" s="7" t="str">
        <f aca="false">IFERROR(INDEX(H18:K18,MATCH(L18,{"A","B","C","D"},0)),"")</f>
        <v/>
      </c>
      <c r="O18" s="7" t="str">
        <f aca="false">IFERROR(INDEX(H18:K18,MATCH(M18,{"A","B","C","D"},0)),"")</f>
        <v/>
      </c>
    </row>
    <row r="19" customFormat="false" ht="23.85" hidden="false" customHeight="false" outlineLevel="0" collapsed="false">
      <c r="A19" s="7" t="n">
        <v>4</v>
      </c>
      <c r="B19" s="7" t="n">
        <v>3</v>
      </c>
      <c r="C19" s="8" t="s">
        <v>294</v>
      </c>
      <c r="D19" s="8" t="s">
        <v>274</v>
      </c>
      <c r="E19" s="8" t="s">
        <v>277</v>
      </c>
      <c r="F19" s="8" t="s">
        <v>275</v>
      </c>
      <c r="G19" s="8" t="s">
        <v>276</v>
      </c>
      <c r="H19" s="7" t="s">
        <v>56</v>
      </c>
      <c r="I19" s="7" t="s">
        <v>54</v>
      </c>
      <c r="J19" s="7" t="s">
        <v>55</v>
      </c>
      <c r="K19" s="7" t="s">
        <v>57</v>
      </c>
      <c r="L19" s="7"/>
      <c r="M19" s="7"/>
      <c r="N19" s="7" t="str">
        <f aca="false">IFERROR(INDEX(H19:K19,MATCH(L19,{"A","B","C","D"},0)),"")</f>
        <v/>
      </c>
      <c r="O19" s="7" t="str">
        <f aca="false">IFERROR(INDEX(H19:K19,MATCH(M19,{"A","B","C","D"},0)),"")</f>
        <v/>
      </c>
    </row>
    <row r="20" customFormat="false" ht="23.85" hidden="false" customHeight="false" outlineLevel="0" collapsed="false">
      <c r="A20" s="7" t="n">
        <v>4</v>
      </c>
      <c r="B20" s="7" t="n">
        <v>4</v>
      </c>
      <c r="C20" s="8" t="s">
        <v>295</v>
      </c>
      <c r="D20" s="8" t="s">
        <v>279</v>
      </c>
      <c r="E20" s="8" t="s">
        <v>281</v>
      </c>
      <c r="F20" s="8" t="s">
        <v>280</v>
      </c>
      <c r="G20" s="8" t="s">
        <v>282</v>
      </c>
      <c r="H20" s="7" t="s">
        <v>54</v>
      </c>
      <c r="I20" s="7" t="s">
        <v>56</v>
      </c>
      <c r="J20" s="7" t="s">
        <v>55</v>
      </c>
      <c r="K20" s="7" t="s">
        <v>57</v>
      </c>
      <c r="L20" s="7"/>
      <c r="M20" s="7"/>
      <c r="N20" s="7" t="str">
        <f aca="false">IFERROR(INDEX(H20:K20,MATCH(L20,{"A","B","C","D"},0)),"")</f>
        <v/>
      </c>
      <c r="O20" s="7" t="str">
        <f aca="false">IFERROR(INDEX(H20:K20,MATCH(M20,{"A","B","C","D"},0)),"")</f>
        <v/>
      </c>
    </row>
    <row r="21" customFormat="false" ht="23.85" hidden="false" customHeight="false" outlineLevel="0" collapsed="false">
      <c r="A21" s="7" t="n">
        <v>4</v>
      </c>
      <c r="B21" s="7" t="n">
        <v>5</v>
      </c>
      <c r="C21" s="8" t="s">
        <v>296</v>
      </c>
      <c r="D21" s="8" t="s">
        <v>284</v>
      </c>
      <c r="E21" s="8" t="s">
        <v>285</v>
      </c>
      <c r="F21" s="8" t="s">
        <v>195</v>
      </c>
      <c r="G21" s="8" t="s">
        <v>286</v>
      </c>
      <c r="H21" s="7" t="s">
        <v>55</v>
      </c>
      <c r="I21" s="7" t="s">
        <v>57</v>
      </c>
      <c r="J21" s="7" t="s">
        <v>56</v>
      </c>
      <c r="K21" s="7" t="s">
        <v>54</v>
      </c>
      <c r="L21" s="7"/>
      <c r="M21" s="7"/>
      <c r="N21" s="7" t="str">
        <f aca="false">IFERROR(INDEX(H21:K21,MATCH(L21,{"A","B","C","D"},0)),"")</f>
        <v/>
      </c>
      <c r="O21" s="7" t="str">
        <f aca="false">IFERROR(INDEX(H21:K21,MATCH(M21,{"A","B","C","D"},0)),"")</f>
        <v/>
      </c>
    </row>
    <row r="22" customFormat="false" ht="23.85" hidden="false" customHeight="false" outlineLevel="0" collapsed="false">
      <c r="A22" s="5" t="n">
        <v>5</v>
      </c>
      <c r="B22" s="5" t="n">
        <v>1</v>
      </c>
      <c r="C22" s="6" t="s">
        <v>297</v>
      </c>
      <c r="D22" s="6" t="s">
        <v>242</v>
      </c>
      <c r="E22" s="6" t="s">
        <v>240</v>
      </c>
      <c r="F22" s="6" t="s">
        <v>239</v>
      </c>
      <c r="G22" s="6" t="s">
        <v>241</v>
      </c>
      <c r="H22" s="5" t="s">
        <v>54</v>
      </c>
      <c r="I22" s="5" t="s">
        <v>55</v>
      </c>
      <c r="J22" s="5" t="s">
        <v>56</v>
      </c>
      <c r="K22" s="5" t="s">
        <v>57</v>
      </c>
      <c r="L22" s="5"/>
      <c r="M22" s="5"/>
      <c r="N22" s="5" t="str">
        <f aca="false">IFERROR(INDEX(H22:K22,MATCH(L22,{"A","B","C","D"},0)),"")</f>
        <v/>
      </c>
      <c r="O22" s="5" t="str">
        <f aca="false">IFERROR(INDEX(H22:K22,MATCH(M22,{"A","B","C","D"},0)),"")</f>
        <v/>
      </c>
    </row>
    <row r="23" customFormat="false" ht="23.85" hidden="false" customHeight="false" outlineLevel="0" collapsed="false">
      <c r="A23" s="5" t="n">
        <v>5</v>
      </c>
      <c r="B23" s="5" t="n">
        <v>2</v>
      </c>
      <c r="C23" s="6" t="s">
        <v>298</v>
      </c>
      <c r="D23" s="6" t="s">
        <v>247</v>
      </c>
      <c r="E23" s="6" t="s">
        <v>244</v>
      </c>
      <c r="F23" s="6" t="s">
        <v>246</v>
      </c>
      <c r="G23" s="6" t="s">
        <v>245</v>
      </c>
      <c r="H23" s="5" t="s">
        <v>57</v>
      </c>
      <c r="I23" s="5" t="s">
        <v>54</v>
      </c>
      <c r="J23" s="5" t="s">
        <v>55</v>
      </c>
      <c r="K23" s="5" t="s">
        <v>56</v>
      </c>
      <c r="L23" s="5"/>
      <c r="M23" s="5"/>
      <c r="N23" s="5" t="str">
        <f aca="false">IFERROR(INDEX(H23:K23,MATCH(L23,{"A","B","C","D"},0)),"")</f>
        <v/>
      </c>
      <c r="O23" s="5" t="str">
        <f aca="false">IFERROR(INDEX(H23:K23,MATCH(M23,{"A","B","C","D"},0)),"")</f>
        <v/>
      </c>
    </row>
    <row r="24" customFormat="false" ht="23.85" hidden="false" customHeight="false" outlineLevel="0" collapsed="false">
      <c r="A24" s="5" t="n">
        <v>5</v>
      </c>
      <c r="B24" s="5" t="n">
        <v>3</v>
      </c>
      <c r="C24" s="6" t="s">
        <v>299</v>
      </c>
      <c r="D24" s="6" t="s">
        <v>249</v>
      </c>
      <c r="E24" s="6" t="s">
        <v>252</v>
      </c>
      <c r="F24" s="6" t="s">
        <v>250</v>
      </c>
      <c r="G24" s="6" t="s">
        <v>251</v>
      </c>
      <c r="H24" s="5" t="s">
        <v>56</v>
      </c>
      <c r="I24" s="5" t="s">
        <v>55</v>
      </c>
      <c r="J24" s="5" t="s">
        <v>57</v>
      </c>
      <c r="K24" s="5" t="s">
        <v>54</v>
      </c>
      <c r="L24" s="5"/>
      <c r="M24" s="5"/>
      <c r="N24" s="5" t="str">
        <f aca="false">IFERROR(INDEX(H24:K24,MATCH(L24,{"A","B","C","D"},0)),"")</f>
        <v/>
      </c>
      <c r="O24" s="5" t="str">
        <f aca="false">IFERROR(INDEX(H24:K24,MATCH(M24,{"A","B","C","D"},0)),"")</f>
        <v/>
      </c>
    </row>
    <row r="25" customFormat="false" ht="23.85" hidden="false" customHeight="false" outlineLevel="0" collapsed="false">
      <c r="A25" s="5" t="n">
        <v>5</v>
      </c>
      <c r="B25" s="5" t="n">
        <v>4</v>
      </c>
      <c r="C25" s="6" t="s">
        <v>300</v>
      </c>
      <c r="D25" s="6" t="s">
        <v>254</v>
      </c>
      <c r="E25" s="6" t="s">
        <v>255</v>
      </c>
      <c r="F25" s="6" t="s">
        <v>257</v>
      </c>
      <c r="G25" s="6" t="s">
        <v>256</v>
      </c>
      <c r="H25" s="5" t="s">
        <v>57</v>
      </c>
      <c r="I25" s="5" t="s">
        <v>55</v>
      </c>
      <c r="J25" s="5" t="s">
        <v>54</v>
      </c>
      <c r="K25" s="5" t="s">
        <v>56</v>
      </c>
      <c r="L25" s="5"/>
      <c r="M25" s="5"/>
      <c r="N25" s="5" t="str">
        <f aca="false">IFERROR(INDEX(H25:K25,MATCH(L25,{"A","B","C","D"},0)),"")</f>
        <v/>
      </c>
      <c r="O25" s="5" t="str">
        <f aca="false">IFERROR(INDEX(H25:K25,MATCH(M25,{"A","B","C","D"},0)),"")</f>
        <v/>
      </c>
    </row>
    <row r="26" customFormat="false" ht="23.85" hidden="false" customHeight="false" outlineLevel="0" collapsed="false">
      <c r="A26" s="5" t="n">
        <v>5</v>
      </c>
      <c r="B26" s="5" t="n">
        <v>5</v>
      </c>
      <c r="C26" s="6" t="s">
        <v>301</v>
      </c>
      <c r="D26" s="6" t="s">
        <v>261</v>
      </c>
      <c r="E26" s="6" t="s">
        <v>262</v>
      </c>
      <c r="F26" s="6" t="s">
        <v>259</v>
      </c>
      <c r="G26" s="6" t="s">
        <v>260</v>
      </c>
      <c r="H26" s="5" t="s">
        <v>55</v>
      </c>
      <c r="I26" s="5" t="s">
        <v>57</v>
      </c>
      <c r="J26" s="5" t="s">
        <v>54</v>
      </c>
      <c r="K26" s="5" t="s">
        <v>56</v>
      </c>
      <c r="L26" s="5"/>
      <c r="M26" s="5"/>
      <c r="N26" s="5" t="str">
        <f aca="false">IFERROR(INDEX(H26:K26,MATCH(L26,{"A","B","C","D"},0)),"")</f>
        <v/>
      </c>
      <c r="O26" s="5" t="str">
        <f aca="false">IFERROR(INDEX(H26:K26,MATCH(M26,{"A","B","C","D"},0)),"")</f>
        <v/>
      </c>
    </row>
    <row r="27" customFormat="false" ht="23.85" hidden="false" customHeight="false" outlineLevel="0" collapsed="false">
      <c r="A27" s="7" t="n">
        <v>6</v>
      </c>
      <c r="B27" s="7" t="n">
        <v>1</v>
      </c>
      <c r="C27" s="8" t="s">
        <v>302</v>
      </c>
      <c r="D27" s="8" t="s">
        <v>264</v>
      </c>
      <c r="E27" s="8" t="s">
        <v>266</v>
      </c>
      <c r="F27" s="8" t="s">
        <v>267</v>
      </c>
      <c r="G27" s="8" t="s">
        <v>265</v>
      </c>
      <c r="H27" s="7" t="s">
        <v>56</v>
      </c>
      <c r="I27" s="7" t="s">
        <v>57</v>
      </c>
      <c r="J27" s="7" t="s">
        <v>55</v>
      </c>
      <c r="K27" s="7" t="s">
        <v>54</v>
      </c>
      <c r="L27" s="7"/>
      <c r="M27" s="7"/>
      <c r="N27" s="7" t="str">
        <f aca="false">IFERROR(INDEX(H27:K27,MATCH(L27,{"A","B","C","D"},0)),"")</f>
        <v/>
      </c>
      <c r="O27" s="7" t="str">
        <f aca="false">IFERROR(INDEX(H27:K27,MATCH(M27,{"A","B","C","D"},0)),"")</f>
        <v/>
      </c>
    </row>
    <row r="28" customFormat="false" ht="23.85" hidden="false" customHeight="false" outlineLevel="0" collapsed="false">
      <c r="A28" s="7" t="n">
        <v>6</v>
      </c>
      <c r="B28" s="7" t="n">
        <v>2</v>
      </c>
      <c r="C28" s="8" t="s">
        <v>303</v>
      </c>
      <c r="D28" s="8" t="s">
        <v>271</v>
      </c>
      <c r="E28" s="8" t="s">
        <v>270</v>
      </c>
      <c r="F28" s="8" t="s">
        <v>272</v>
      </c>
      <c r="G28" s="8" t="s">
        <v>269</v>
      </c>
      <c r="H28" s="7" t="s">
        <v>54</v>
      </c>
      <c r="I28" s="7" t="s">
        <v>56</v>
      </c>
      <c r="J28" s="7" t="s">
        <v>55</v>
      </c>
      <c r="K28" s="7" t="s">
        <v>57</v>
      </c>
      <c r="L28" s="7"/>
      <c r="M28" s="7"/>
      <c r="N28" s="7" t="str">
        <f aca="false">IFERROR(INDEX(H28:K28,MATCH(L28,{"A","B","C","D"},0)),"")</f>
        <v/>
      </c>
      <c r="O28" s="7" t="str">
        <f aca="false">IFERROR(INDEX(H28:K28,MATCH(M28,{"A","B","C","D"},0)),"")</f>
        <v/>
      </c>
    </row>
    <row r="29" customFormat="false" ht="23.85" hidden="false" customHeight="false" outlineLevel="0" collapsed="false">
      <c r="A29" s="7" t="n">
        <v>6</v>
      </c>
      <c r="B29" s="7" t="n">
        <v>3</v>
      </c>
      <c r="C29" s="8" t="s">
        <v>304</v>
      </c>
      <c r="D29" s="8" t="s">
        <v>276</v>
      </c>
      <c r="E29" s="8" t="s">
        <v>275</v>
      </c>
      <c r="F29" s="8" t="s">
        <v>274</v>
      </c>
      <c r="G29" s="8" t="s">
        <v>277</v>
      </c>
      <c r="H29" s="7" t="s">
        <v>57</v>
      </c>
      <c r="I29" s="7" t="s">
        <v>55</v>
      </c>
      <c r="J29" s="7" t="s">
        <v>56</v>
      </c>
      <c r="K29" s="7" t="s">
        <v>54</v>
      </c>
      <c r="L29" s="7"/>
      <c r="M29" s="7"/>
      <c r="N29" s="7" t="str">
        <f aca="false">IFERROR(INDEX(H29:K29,MATCH(L29,{"A","B","C","D"},0)),"")</f>
        <v/>
      </c>
      <c r="O29" s="7" t="str">
        <f aca="false">IFERROR(INDEX(H29:K29,MATCH(M29,{"A","B","C","D"},0)),"")</f>
        <v/>
      </c>
    </row>
    <row r="30" customFormat="false" ht="23.85" hidden="false" customHeight="false" outlineLevel="0" collapsed="false">
      <c r="A30" s="7" t="n">
        <v>6</v>
      </c>
      <c r="B30" s="7" t="n">
        <v>4</v>
      </c>
      <c r="C30" s="8" t="s">
        <v>305</v>
      </c>
      <c r="D30" s="8" t="s">
        <v>279</v>
      </c>
      <c r="E30" s="8" t="s">
        <v>281</v>
      </c>
      <c r="F30" s="8" t="s">
        <v>280</v>
      </c>
      <c r="G30" s="8" t="s">
        <v>282</v>
      </c>
      <c r="H30" s="7" t="s">
        <v>54</v>
      </c>
      <c r="I30" s="7" t="s">
        <v>56</v>
      </c>
      <c r="J30" s="7" t="s">
        <v>55</v>
      </c>
      <c r="K30" s="7" t="s">
        <v>57</v>
      </c>
      <c r="L30" s="7"/>
      <c r="M30" s="7"/>
      <c r="N30" s="7" t="str">
        <f aca="false">IFERROR(INDEX(H30:K30,MATCH(L30,{"A","B","C","D"},0)),"")</f>
        <v/>
      </c>
      <c r="O30" s="7" t="str">
        <f aca="false">IFERROR(INDEX(H30:K30,MATCH(M30,{"A","B","C","D"},0)),"")</f>
        <v/>
      </c>
    </row>
    <row r="31" customFormat="false" ht="23.85" hidden="false" customHeight="false" outlineLevel="0" collapsed="false">
      <c r="A31" s="7" t="n">
        <v>6</v>
      </c>
      <c r="B31" s="7" t="n">
        <v>5</v>
      </c>
      <c r="C31" s="8" t="s">
        <v>306</v>
      </c>
      <c r="D31" s="8" t="s">
        <v>286</v>
      </c>
      <c r="E31" s="8" t="s">
        <v>195</v>
      </c>
      <c r="F31" s="8" t="s">
        <v>285</v>
      </c>
      <c r="G31" s="8" t="s">
        <v>284</v>
      </c>
      <c r="H31" s="7" t="s">
        <v>54</v>
      </c>
      <c r="I31" s="7" t="s">
        <v>56</v>
      </c>
      <c r="J31" s="7" t="s">
        <v>57</v>
      </c>
      <c r="K31" s="7" t="s">
        <v>55</v>
      </c>
      <c r="L31" s="7"/>
      <c r="M31" s="7"/>
      <c r="N31" s="7" t="str">
        <f aca="false">IFERROR(INDEX(H31:K31,MATCH(L31,{"A","B","C","D"},0)),"")</f>
        <v/>
      </c>
      <c r="O31" s="7" t="str">
        <f aca="false">IFERROR(INDEX(H31:K31,MATCH(M31,{"A","B","C","D"},0)),"")</f>
        <v/>
      </c>
    </row>
    <row r="32" customFormat="false" ht="23.85" hidden="false" customHeight="false" outlineLevel="0" collapsed="false">
      <c r="A32" s="5" t="n">
        <v>7</v>
      </c>
      <c r="B32" s="5" t="n">
        <v>1</v>
      </c>
      <c r="C32" s="6" t="s">
        <v>307</v>
      </c>
      <c r="D32" s="6" t="s">
        <v>240</v>
      </c>
      <c r="E32" s="6" t="s">
        <v>241</v>
      </c>
      <c r="F32" s="6" t="s">
        <v>242</v>
      </c>
      <c r="G32" s="6" t="s">
        <v>239</v>
      </c>
      <c r="H32" s="5" t="s">
        <v>55</v>
      </c>
      <c r="I32" s="5" t="s">
        <v>57</v>
      </c>
      <c r="J32" s="5" t="s">
        <v>54</v>
      </c>
      <c r="K32" s="5" t="s">
        <v>56</v>
      </c>
      <c r="L32" s="5"/>
      <c r="M32" s="5"/>
      <c r="N32" s="5" t="str">
        <f aca="false">IFERROR(INDEX(H32:K32,MATCH(L32,{"A","B","C","D"},0)),"")</f>
        <v/>
      </c>
      <c r="O32" s="5" t="str">
        <f aca="false">IFERROR(INDEX(H32:K32,MATCH(M32,{"A","B","C","D"},0)),"")</f>
        <v/>
      </c>
    </row>
    <row r="33" customFormat="false" ht="23.85" hidden="false" customHeight="false" outlineLevel="0" collapsed="false">
      <c r="A33" s="5" t="n">
        <v>7</v>
      </c>
      <c r="B33" s="5" t="n">
        <v>2</v>
      </c>
      <c r="C33" s="6" t="s">
        <v>308</v>
      </c>
      <c r="D33" s="6" t="s">
        <v>245</v>
      </c>
      <c r="E33" s="6" t="s">
        <v>244</v>
      </c>
      <c r="F33" s="6" t="s">
        <v>247</v>
      </c>
      <c r="G33" s="6" t="s">
        <v>246</v>
      </c>
      <c r="H33" s="5" t="s">
        <v>56</v>
      </c>
      <c r="I33" s="5" t="s">
        <v>54</v>
      </c>
      <c r="J33" s="5" t="s">
        <v>57</v>
      </c>
      <c r="K33" s="5" t="s">
        <v>55</v>
      </c>
      <c r="L33" s="5"/>
      <c r="M33" s="5"/>
      <c r="N33" s="5" t="str">
        <f aca="false">IFERROR(INDEX(H33:K33,MATCH(L33,{"A","B","C","D"},0)),"")</f>
        <v/>
      </c>
      <c r="O33" s="5" t="str">
        <f aca="false">IFERROR(INDEX(H33:K33,MATCH(M33,{"A","B","C","D"},0)),"")</f>
        <v/>
      </c>
    </row>
    <row r="34" customFormat="false" ht="23.85" hidden="false" customHeight="false" outlineLevel="0" collapsed="false">
      <c r="A34" s="5" t="n">
        <v>7</v>
      </c>
      <c r="B34" s="5" t="n">
        <v>3</v>
      </c>
      <c r="C34" s="6" t="s">
        <v>309</v>
      </c>
      <c r="D34" s="6" t="s">
        <v>251</v>
      </c>
      <c r="E34" s="6" t="s">
        <v>249</v>
      </c>
      <c r="F34" s="6" t="s">
        <v>252</v>
      </c>
      <c r="G34" s="6" t="s">
        <v>250</v>
      </c>
      <c r="H34" s="5" t="s">
        <v>54</v>
      </c>
      <c r="I34" s="5" t="s">
        <v>56</v>
      </c>
      <c r="J34" s="5" t="s">
        <v>55</v>
      </c>
      <c r="K34" s="5" t="s">
        <v>57</v>
      </c>
      <c r="L34" s="5"/>
      <c r="M34" s="5"/>
      <c r="N34" s="5" t="str">
        <f aca="false">IFERROR(INDEX(H34:K34,MATCH(L34,{"A","B","C","D"},0)),"")</f>
        <v/>
      </c>
      <c r="O34" s="5" t="str">
        <f aca="false">IFERROR(INDEX(H34:K34,MATCH(M34,{"A","B","C","D"},0)),"")</f>
        <v/>
      </c>
    </row>
    <row r="35" customFormat="false" ht="23.85" hidden="false" customHeight="false" outlineLevel="0" collapsed="false">
      <c r="A35" s="5" t="n">
        <v>7</v>
      </c>
      <c r="B35" s="5" t="n">
        <v>4</v>
      </c>
      <c r="C35" s="6" t="s">
        <v>310</v>
      </c>
      <c r="D35" s="6" t="s">
        <v>257</v>
      </c>
      <c r="E35" s="6" t="s">
        <v>255</v>
      </c>
      <c r="F35" s="6" t="s">
        <v>254</v>
      </c>
      <c r="G35" s="6" t="s">
        <v>256</v>
      </c>
      <c r="H35" s="5" t="s">
        <v>54</v>
      </c>
      <c r="I35" s="5" t="s">
        <v>55</v>
      </c>
      <c r="J35" s="5" t="s">
        <v>57</v>
      </c>
      <c r="K35" s="5" t="s">
        <v>56</v>
      </c>
      <c r="L35" s="5"/>
      <c r="M35" s="5"/>
      <c r="N35" s="5" t="str">
        <f aca="false">IFERROR(INDEX(H35:K35,MATCH(L35,{"A","B","C","D"},0)),"")</f>
        <v/>
      </c>
      <c r="O35" s="5" t="str">
        <f aca="false">IFERROR(INDEX(H35:K35,MATCH(M35,{"A","B","C","D"},0)),"")</f>
        <v/>
      </c>
    </row>
    <row r="36" customFormat="false" ht="23.85" hidden="false" customHeight="false" outlineLevel="0" collapsed="false">
      <c r="A36" s="5" t="n">
        <v>7</v>
      </c>
      <c r="B36" s="5" t="n">
        <v>5</v>
      </c>
      <c r="C36" s="6" t="s">
        <v>311</v>
      </c>
      <c r="D36" s="6" t="s">
        <v>260</v>
      </c>
      <c r="E36" s="6" t="s">
        <v>261</v>
      </c>
      <c r="F36" s="6" t="s">
        <v>259</v>
      </c>
      <c r="G36" s="6" t="s">
        <v>262</v>
      </c>
      <c r="H36" s="5" t="s">
        <v>56</v>
      </c>
      <c r="I36" s="5" t="s">
        <v>55</v>
      </c>
      <c r="J36" s="5" t="s">
        <v>54</v>
      </c>
      <c r="K36" s="5" t="s">
        <v>57</v>
      </c>
      <c r="L36" s="5"/>
      <c r="M36" s="5"/>
      <c r="N36" s="5" t="str">
        <f aca="false">IFERROR(INDEX(H36:K36,MATCH(L36,{"A","B","C","D"},0)),"")</f>
        <v/>
      </c>
      <c r="O36" s="5" t="str">
        <f aca="false">IFERROR(INDEX(H36:K36,MATCH(M36,{"A","B","C","D"},0)),"")</f>
        <v/>
      </c>
    </row>
    <row r="37" customFormat="false" ht="23.85" hidden="false" customHeight="false" outlineLevel="0" collapsed="false">
      <c r="A37" s="7" t="n">
        <v>8</v>
      </c>
      <c r="B37" s="7" t="n">
        <v>1</v>
      </c>
      <c r="C37" s="8" t="s">
        <v>312</v>
      </c>
      <c r="D37" s="8" t="s">
        <v>266</v>
      </c>
      <c r="E37" s="8" t="s">
        <v>265</v>
      </c>
      <c r="F37" s="8" t="s">
        <v>264</v>
      </c>
      <c r="G37" s="8" t="s">
        <v>267</v>
      </c>
      <c r="H37" s="7" t="s">
        <v>57</v>
      </c>
      <c r="I37" s="7" t="s">
        <v>54</v>
      </c>
      <c r="J37" s="7" t="s">
        <v>56</v>
      </c>
      <c r="K37" s="7" t="s">
        <v>55</v>
      </c>
      <c r="L37" s="7"/>
      <c r="M37" s="7"/>
      <c r="N37" s="7" t="str">
        <f aca="false">IFERROR(INDEX(H37:K37,MATCH(L37,{"A","B","C","D"},0)),"")</f>
        <v/>
      </c>
      <c r="O37" s="7" t="str">
        <f aca="false">IFERROR(INDEX(H37:K37,MATCH(M37,{"A","B","C","D"},0)),"")</f>
        <v/>
      </c>
    </row>
    <row r="38" customFormat="false" ht="23.85" hidden="false" customHeight="false" outlineLevel="0" collapsed="false">
      <c r="A38" s="7" t="n">
        <v>8</v>
      </c>
      <c r="B38" s="7" t="n">
        <v>2</v>
      </c>
      <c r="C38" s="8" t="s">
        <v>313</v>
      </c>
      <c r="D38" s="8" t="s">
        <v>269</v>
      </c>
      <c r="E38" s="8" t="s">
        <v>272</v>
      </c>
      <c r="F38" s="8" t="s">
        <v>271</v>
      </c>
      <c r="G38" s="8" t="s">
        <v>270</v>
      </c>
      <c r="H38" s="7" t="s">
        <v>57</v>
      </c>
      <c r="I38" s="7" t="s">
        <v>55</v>
      </c>
      <c r="J38" s="7" t="s">
        <v>54</v>
      </c>
      <c r="K38" s="7" t="s">
        <v>56</v>
      </c>
      <c r="L38" s="7"/>
      <c r="M38" s="7"/>
      <c r="N38" s="7" t="str">
        <f aca="false">IFERROR(INDEX(H38:K38,MATCH(L38,{"A","B","C","D"},0)),"")</f>
        <v/>
      </c>
      <c r="O38" s="7" t="str">
        <f aca="false">IFERROR(INDEX(H38:K38,MATCH(M38,{"A","B","C","D"},0)),"")</f>
        <v/>
      </c>
    </row>
    <row r="39" customFormat="false" ht="23.85" hidden="false" customHeight="false" outlineLevel="0" collapsed="false">
      <c r="A39" s="7" t="n">
        <v>8</v>
      </c>
      <c r="B39" s="7" t="n">
        <v>3</v>
      </c>
      <c r="C39" s="8" t="s">
        <v>314</v>
      </c>
      <c r="D39" s="8" t="s">
        <v>275</v>
      </c>
      <c r="E39" s="8" t="s">
        <v>274</v>
      </c>
      <c r="F39" s="8" t="s">
        <v>277</v>
      </c>
      <c r="G39" s="8" t="s">
        <v>276</v>
      </c>
      <c r="H39" s="7" t="s">
        <v>55</v>
      </c>
      <c r="I39" s="7" t="s">
        <v>56</v>
      </c>
      <c r="J39" s="7" t="s">
        <v>54</v>
      </c>
      <c r="K39" s="7" t="s">
        <v>57</v>
      </c>
      <c r="L39" s="7"/>
      <c r="M39" s="7"/>
      <c r="N39" s="7" t="str">
        <f aca="false">IFERROR(INDEX(H39:K39,MATCH(L39,{"A","B","C","D"},0)),"")</f>
        <v/>
      </c>
      <c r="O39" s="7" t="str">
        <f aca="false">IFERROR(INDEX(H39:K39,MATCH(M39,{"A","B","C","D"},0)),"")</f>
        <v/>
      </c>
    </row>
    <row r="40" customFormat="false" ht="23.85" hidden="false" customHeight="false" outlineLevel="0" collapsed="false">
      <c r="A40" s="7" t="n">
        <v>8</v>
      </c>
      <c r="B40" s="7" t="n">
        <v>4</v>
      </c>
      <c r="C40" s="8" t="s">
        <v>315</v>
      </c>
      <c r="D40" s="8" t="s">
        <v>282</v>
      </c>
      <c r="E40" s="8" t="s">
        <v>279</v>
      </c>
      <c r="F40" s="8" t="s">
        <v>280</v>
      </c>
      <c r="G40" s="8" t="s">
        <v>281</v>
      </c>
      <c r="H40" s="7" t="s">
        <v>57</v>
      </c>
      <c r="I40" s="7" t="s">
        <v>54</v>
      </c>
      <c r="J40" s="7" t="s">
        <v>55</v>
      </c>
      <c r="K40" s="7" t="s">
        <v>56</v>
      </c>
      <c r="L40" s="7"/>
      <c r="M40" s="7"/>
      <c r="N40" s="7" t="str">
        <f aca="false">IFERROR(INDEX(H40:K40,MATCH(L40,{"A","B","C","D"},0)),"")</f>
        <v/>
      </c>
      <c r="O40" s="7" t="str">
        <f aca="false">IFERROR(INDEX(H40:K40,MATCH(M40,{"A","B","C","D"},0)),"")</f>
        <v/>
      </c>
    </row>
    <row r="41" customFormat="false" ht="23.85" hidden="false" customHeight="false" outlineLevel="0" collapsed="false">
      <c r="A41" s="7" t="n">
        <v>8</v>
      </c>
      <c r="B41" s="7" t="n">
        <v>5</v>
      </c>
      <c r="C41" s="8" t="s">
        <v>316</v>
      </c>
      <c r="D41" s="8" t="s">
        <v>195</v>
      </c>
      <c r="E41" s="8" t="s">
        <v>286</v>
      </c>
      <c r="F41" s="8" t="s">
        <v>284</v>
      </c>
      <c r="G41" s="8" t="s">
        <v>285</v>
      </c>
      <c r="H41" s="7" t="s">
        <v>56</v>
      </c>
      <c r="I41" s="7" t="s">
        <v>54</v>
      </c>
      <c r="J41" s="7" t="s">
        <v>55</v>
      </c>
      <c r="K41" s="7" t="s">
        <v>57</v>
      </c>
      <c r="L41" s="7"/>
      <c r="M41" s="7"/>
      <c r="N41" s="7" t="str">
        <f aca="false">IFERROR(INDEX(H41:K41,MATCH(L41,{"A","B","C","D"},0)),"")</f>
        <v/>
      </c>
      <c r="O41" s="7" t="str">
        <f aca="false">IFERROR(INDEX(H41:K41,MATCH(M41,{"A","B","C","D"},0)),"")</f>
        <v/>
      </c>
    </row>
    <row r="42" customFormat="false" ht="23.85" hidden="false" customHeight="false" outlineLevel="0" collapsed="false">
      <c r="A42" s="5" t="n">
        <v>9</v>
      </c>
      <c r="B42" s="5" t="n">
        <v>1</v>
      </c>
      <c r="C42" s="6" t="s">
        <v>317</v>
      </c>
      <c r="D42" s="6" t="s">
        <v>241</v>
      </c>
      <c r="E42" s="6" t="s">
        <v>240</v>
      </c>
      <c r="F42" s="6" t="s">
        <v>242</v>
      </c>
      <c r="G42" s="6" t="s">
        <v>239</v>
      </c>
      <c r="H42" s="5" t="s">
        <v>57</v>
      </c>
      <c r="I42" s="5" t="s">
        <v>55</v>
      </c>
      <c r="J42" s="5" t="s">
        <v>54</v>
      </c>
      <c r="K42" s="5" t="s">
        <v>56</v>
      </c>
      <c r="L42" s="5"/>
      <c r="M42" s="5"/>
      <c r="N42" s="5" t="str">
        <f aca="false">IFERROR(INDEX(H42:K42,MATCH(L42,{"A","B","C","D"},0)),"")</f>
        <v/>
      </c>
      <c r="O42" s="5" t="str">
        <f aca="false">IFERROR(INDEX(H42:K42,MATCH(M42,{"A","B","C","D"},0)),"")</f>
        <v/>
      </c>
    </row>
    <row r="43" customFormat="false" ht="23.85" hidden="false" customHeight="false" outlineLevel="0" collapsed="false">
      <c r="A43" s="5" t="n">
        <v>9</v>
      </c>
      <c r="B43" s="5" t="n">
        <v>2</v>
      </c>
      <c r="C43" s="6" t="s">
        <v>318</v>
      </c>
      <c r="D43" s="6" t="s">
        <v>244</v>
      </c>
      <c r="E43" s="6" t="s">
        <v>245</v>
      </c>
      <c r="F43" s="6" t="s">
        <v>246</v>
      </c>
      <c r="G43" s="6" t="s">
        <v>247</v>
      </c>
      <c r="H43" s="5" t="s">
        <v>54</v>
      </c>
      <c r="I43" s="5" t="s">
        <v>56</v>
      </c>
      <c r="J43" s="5" t="s">
        <v>55</v>
      </c>
      <c r="K43" s="5" t="s">
        <v>57</v>
      </c>
      <c r="L43" s="5"/>
      <c r="M43" s="5"/>
      <c r="N43" s="5" t="str">
        <f aca="false">IFERROR(INDEX(H43:K43,MATCH(L43,{"A","B","C","D"},0)),"")</f>
        <v/>
      </c>
      <c r="O43" s="5" t="str">
        <f aca="false">IFERROR(INDEX(H43:K43,MATCH(M43,{"A","B","C","D"},0)),"")</f>
        <v/>
      </c>
    </row>
    <row r="44" customFormat="false" ht="23.85" hidden="false" customHeight="false" outlineLevel="0" collapsed="false">
      <c r="A44" s="5" t="n">
        <v>9</v>
      </c>
      <c r="B44" s="5" t="n">
        <v>3</v>
      </c>
      <c r="C44" s="6" t="s">
        <v>319</v>
      </c>
      <c r="D44" s="6" t="s">
        <v>251</v>
      </c>
      <c r="E44" s="6" t="s">
        <v>249</v>
      </c>
      <c r="F44" s="6" t="s">
        <v>250</v>
      </c>
      <c r="G44" s="6" t="s">
        <v>252</v>
      </c>
      <c r="H44" s="5" t="s">
        <v>54</v>
      </c>
      <c r="I44" s="5" t="s">
        <v>56</v>
      </c>
      <c r="J44" s="5" t="s">
        <v>57</v>
      </c>
      <c r="K44" s="5" t="s">
        <v>55</v>
      </c>
      <c r="L44" s="5"/>
      <c r="M44" s="5"/>
      <c r="N44" s="5" t="str">
        <f aca="false">IFERROR(INDEX(H44:K44,MATCH(L44,{"A","B","C","D"},0)),"")</f>
        <v/>
      </c>
      <c r="O44" s="5" t="str">
        <f aca="false">IFERROR(INDEX(H44:K44,MATCH(M44,{"A","B","C","D"},0)),"")</f>
        <v/>
      </c>
    </row>
    <row r="45" customFormat="false" ht="23.85" hidden="false" customHeight="false" outlineLevel="0" collapsed="false">
      <c r="A45" s="5" t="n">
        <v>9</v>
      </c>
      <c r="B45" s="5" t="n">
        <v>4</v>
      </c>
      <c r="C45" s="6" t="s">
        <v>320</v>
      </c>
      <c r="D45" s="6" t="s">
        <v>257</v>
      </c>
      <c r="E45" s="6" t="s">
        <v>254</v>
      </c>
      <c r="F45" s="6" t="s">
        <v>256</v>
      </c>
      <c r="G45" s="6" t="s">
        <v>255</v>
      </c>
      <c r="H45" s="5" t="s">
        <v>54</v>
      </c>
      <c r="I45" s="5" t="s">
        <v>57</v>
      </c>
      <c r="J45" s="5" t="s">
        <v>56</v>
      </c>
      <c r="K45" s="5" t="s">
        <v>55</v>
      </c>
      <c r="L45" s="5"/>
      <c r="M45" s="5"/>
      <c r="N45" s="5" t="str">
        <f aca="false">IFERROR(INDEX(H45:K45,MATCH(L45,{"A","B","C","D"},0)),"")</f>
        <v/>
      </c>
      <c r="O45" s="5" t="str">
        <f aca="false">IFERROR(INDEX(H45:K45,MATCH(M45,{"A","B","C","D"},0)),"")</f>
        <v/>
      </c>
    </row>
    <row r="46" customFormat="false" ht="23.85" hidden="false" customHeight="false" outlineLevel="0" collapsed="false">
      <c r="A46" s="5" t="n">
        <v>9</v>
      </c>
      <c r="B46" s="5" t="n">
        <v>5</v>
      </c>
      <c r="C46" s="6" t="s">
        <v>321</v>
      </c>
      <c r="D46" s="6" t="s">
        <v>260</v>
      </c>
      <c r="E46" s="6" t="s">
        <v>261</v>
      </c>
      <c r="F46" s="6" t="s">
        <v>262</v>
      </c>
      <c r="G46" s="6" t="s">
        <v>259</v>
      </c>
      <c r="H46" s="5" t="s">
        <v>56</v>
      </c>
      <c r="I46" s="5" t="s">
        <v>55</v>
      </c>
      <c r="J46" s="5" t="s">
        <v>57</v>
      </c>
      <c r="K46" s="5" t="s">
        <v>54</v>
      </c>
      <c r="L46" s="5"/>
      <c r="M46" s="5"/>
      <c r="N46" s="5" t="str">
        <f aca="false">IFERROR(INDEX(H46:K46,MATCH(L46,{"A","B","C","D"},0)),"")</f>
        <v/>
      </c>
      <c r="O46" s="5" t="str">
        <f aca="false">IFERROR(INDEX(H46:K46,MATCH(M46,{"A","B","C","D"},0)),"")</f>
        <v/>
      </c>
    </row>
    <row r="47" customFormat="false" ht="23.85" hidden="false" customHeight="false" outlineLevel="0" collapsed="false">
      <c r="A47" s="7" t="n">
        <v>10</v>
      </c>
      <c r="B47" s="7" t="n">
        <v>1</v>
      </c>
      <c r="C47" s="8" t="s">
        <v>322</v>
      </c>
      <c r="D47" s="8" t="s">
        <v>267</v>
      </c>
      <c r="E47" s="8" t="s">
        <v>264</v>
      </c>
      <c r="F47" s="8" t="s">
        <v>265</v>
      </c>
      <c r="G47" s="8" t="s">
        <v>266</v>
      </c>
      <c r="H47" s="7" t="s">
        <v>55</v>
      </c>
      <c r="I47" s="7" t="s">
        <v>56</v>
      </c>
      <c r="J47" s="7" t="s">
        <v>54</v>
      </c>
      <c r="K47" s="7" t="s">
        <v>57</v>
      </c>
      <c r="L47" s="7"/>
      <c r="M47" s="7"/>
      <c r="N47" s="7" t="str">
        <f aca="false">IFERROR(INDEX(H47:K47,MATCH(L47,{"A","B","C","D"},0)),"")</f>
        <v/>
      </c>
      <c r="O47" s="7" t="str">
        <f aca="false">IFERROR(INDEX(H47:K47,MATCH(M47,{"A","B","C","D"},0)),"")</f>
        <v/>
      </c>
    </row>
    <row r="48" customFormat="false" ht="23.85" hidden="false" customHeight="false" outlineLevel="0" collapsed="false">
      <c r="A48" s="7" t="n">
        <v>10</v>
      </c>
      <c r="B48" s="7" t="n">
        <v>2</v>
      </c>
      <c r="C48" s="8" t="s">
        <v>323</v>
      </c>
      <c r="D48" s="8" t="s">
        <v>272</v>
      </c>
      <c r="E48" s="8" t="s">
        <v>271</v>
      </c>
      <c r="F48" s="8" t="s">
        <v>269</v>
      </c>
      <c r="G48" s="8" t="s">
        <v>270</v>
      </c>
      <c r="H48" s="7" t="s">
        <v>55</v>
      </c>
      <c r="I48" s="7" t="s">
        <v>54</v>
      </c>
      <c r="J48" s="7" t="s">
        <v>57</v>
      </c>
      <c r="K48" s="7" t="s">
        <v>56</v>
      </c>
      <c r="L48" s="7"/>
      <c r="M48" s="7"/>
      <c r="N48" s="7" t="str">
        <f aca="false">IFERROR(INDEX(H48:K48,MATCH(L48,{"A","B","C","D"},0)),"")</f>
        <v/>
      </c>
      <c r="O48" s="7" t="str">
        <f aca="false">IFERROR(INDEX(H48:K48,MATCH(M48,{"A","B","C","D"},0)),"")</f>
        <v/>
      </c>
    </row>
    <row r="49" customFormat="false" ht="23.85" hidden="false" customHeight="false" outlineLevel="0" collapsed="false">
      <c r="A49" s="7" t="n">
        <v>10</v>
      </c>
      <c r="B49" s="7" t="n">
        <v>3</v>
      </c>
      <c r="C49" s="8" t="s">
        <v>324</v>
      </c>
      <c r="D49" s="8" t="s">
        <v>274</v>
      </c>
      <c r="E49" s="8" t="s">
        <v>277</v>
      </c>
      <c r="F49" s="8" t="s">
        <v>276</v>
      </c>
      <c r="G49" s="8" t="s">
        <v>275</v>
      </c>
      <c r="H49" s="7" t="s">
        <v>56</v>
      </c>
      <c r="I49" s="7" t="s">
        <v>54</v>
      </c>
      <c r="J49" s="7" t="s">
        <v>57</v>
      </c>
      <c r="K49" s="7" t="s">
        <v>55</v>
      </c>
      <c r="L49" s="7"/>
      <c r="M49" s="7"/>
      <c r="N49" s="7" t="str">
        <f aca="false">IFERROR(INDEX(H49:K49,MATCH(L49,{"A","B","C","D"},0)),"")</f>
        <v/>
      </c>
      <c r="O49" s="7" t="str">
        <f aca="false">IFERROR(INDEX(H49:K49,MATCH(M49,{"A","B","C","D"},0)),"")</f>
        <v/>
      </c>
    </row>
    <row r="50" customFormat="false" ht="23.85" hidden="false" customHeight="false" outlineLevel="0" collapsed="false">
      <c r="A50" s="7" t="n">
        <v>10</v>
      </c>
      <c r="B50" s="7" t="n">
        <v>4</v>
      </c>
      <c r="C50" s="8" t="s">
        <v>325</v>
      </c>
      <c r="D50" s="8" t="s">
        <v>281</v>
      </c>
      <c r="E50" s="8" t="s">
        <v>279</v>
      </c>
      <c r="F50" s="8" t="s">
        <v>280</v>
      </c>
      <c r="G50" s="8" t="s">
        <v>282</v>
      </c>
      <c r="H50" s="7" t="s">
        <v>56</v>
      </c>
      <c r="I50" s="7" t="s">
        <v>54</v>
      </c>
      <c r="J50" s="7" t="s">
        <v>55</v>
      </c>
      <c r="K50" s="7" t="s">
        <v>57</v>
      </c>
      <c r="L50" s="7"/>
      <c r="M50" s="7"/>
      <c r="N50" s="7" t="str">
        <f aca="false">IFERROR(INDEX(H50:K50,MATCH(L50,{"A","B","C","D"},0)),"")</f>
        <v/>
      </c>
      <c r="O50" s="7" t="str">
        <f aca="false">IFERROR(INDEX(H50:K50,MATCH(M50,{"A","B","C","D"},0)),"")</f>
        <v/>
      </c>
    </row>
    <row r="51" customFormat="false" ht="23.85" hidden="false" customHeight="false" outlineLevel="0" collapsed="false">
      <c r="A51" s="7" t="n">
        <v>10</v>
      </c>
      <c r="B51" s="7" t="n">
        <v>5</v>
      </c>
      <c r="C51" s="8" t="s">
        <v>326</v>
      </c>
      <c r="D51" s="8" t="s">
        <v>284</v>
      </c>
      <c r="E51" s="8" t="s">
        <v>195</v>
      </c>
      <c r="F51" s="8" t="s">
        <v>286</v>
      </c>
      <c r="G51" s="8" t="s">
        <v>285</v>
      </c>
      <c r="H51" s="7" t="s">
        <v>55</v>
      </c>
      <c r="I51" s="7" t="s">
        <v>56</v>
      </c>
      <c r="J51" s="7" t="s">
        <v>54</v>
      </c>
      <c r="K51" s="7" t="s">
        <v>57</v>
      </c>
      <c r="L51" s="7"/>
      <c r="M51" s="7"/>
      <c r="N51" s="7" t="str">
        <f aca="false">IFERROR(INDEX(H51:K51,MATCH(L51,{"A","B","C","D"},0)),"")</f>
        <v/>
      </c>
      <c r="O51" s="7" t="str">
        <f aca="false">IFERROR(INDEX(H51:K51,MATCH(M51,{"A","B","C","D"},0)),"")</f>
        <v/>
      </c>
    </row>
    <row r="54" customFormat="false" ht="15" hidden="false" customHeight="false" outlineLevel="0" collapsed="false">
      <c r="A54" s="9" t="s">
        <v>143</v>
      </c>
      <c r="B54" s="9"/>
      <c r="C54" s="9"/>
      <c r="D54" s="9"/>
      <c r="E54" s="9"/>
      <c r="F54" s="9"/>
    </row>
    <row r="55" customFormat="false" ht="46.25" hidden="false" customHeight="false" outlineLevel="0" collapsed="false">
      <c r="A55" s="10" t="s">
        <v>34</v>
      </c>
      <c r="B55" s="10" t="s">
        <v>144</v>
      </c>
      <c r="C55" s="10" t="s">
        <v>145</v>
      </c>
      <c r="D55" s="10" t="s">
        <v>146</v>
      </c>
      <c r="E55" s="10" t="s">
        <v>147</v>
      </c>
      <c r="F55" s="10" t="s">
        <v>148</v>
      </c>
    </row>
    <row r="56" customFormat="false" ht="15" hidden="false" customHeight="false" outlineLevel="0" collapsed="false">
      <c r="A56" s="11" t="n">
        <v>1</v>
      </c>
      <c r="B56" s="12" t="n">
        <f aca="false">SUMPRODUCT(($A$2:$A$51=$A56)*($N$2:$N$51="ST"))-SUMPRODUCT(($A$2:$A$51=$A56)*($O$2:$O$51="ST"))</f>
        <v>0</v>
      </c>
      <c r="C56" s="12" t="n">
        <f aca="false">SUMPRODUCT(($A$2:$A$51=$A56)*($N$2:$N$51="RB"))-SUMPRODUCT(($A$2:$A$51=$A56)*($O$2:$O$51="RB"))</f>
        <v>0</v>
      </c>
      <c r="D56" s="12" t="n">
        <f aca="false">SUMPRODUCT(($A$2:$A$51=$A56)*($N$2:$N$51="IN"))-SUMPRODUCT(($A$2:$A$51=$A56)*($O$2:$O$51="IN"))</f>
        <v>0</v>
      </c>
      <c r="E56" s="12" t="n">
        <f aca="false">SUMPRODUCT(($A$2:$A$51=$A56)*($N$2:$N$51="EX"))-SUMPRODUCT(($A$2:$A$51=$A56)*($O$2:$O$51="EX"))</f>
        <v>0</v>
      </c>
      <c r="F56" s="12" t="str">
        <f aca="false">IF(COUNT(B56:E56)=0,"",INDEX({"Strategic Thinking";"Relationship Building";"Influencing";"Executing"},MATCH(MAX(B56:E56),B56:E56,0)))</f>
        <v>Strategic Thinking</v>
      </c>
    </row>
    <row r="57" customFormat="false" ht="15" hidden="false" customHeight="false" outlineLevel="0" collapsed="false">
      <c r="A57" s="11" t="n">
        <v>2</v>
      </c>
      <c r="B57" s="12" t="n">
        <f aca="false">SUMPRODUCT(($A$2:$A$51=$A57)*($N$2:$N$51="ST"))-SUMPRODUCT(($A$2:$A$51=$A57)*($O$2:$O$51="ST"))</f>
        <v>0</v>
      </c>
      <c r="C57" s="12" t="n">
        <f aca="false">SUMPRODUCT(($A$2:$A$51=$A57)*($N$2:$N$51="RB"))-SUMPRODUCT(($A$2:$A$51=$A57)*($O$2:$O$51="RB"))</f>
        <v>0</v>
      </c>
      <c r="D57" s="12" t="n">
        <f aca="false">SUMPRODUCT(($A$2:$A$51=$A57)*($N$2:$N$51="IN"))-SUMPRODUCT(($A$2:$A$51=$A57)*($O$2:$O$51="IN"))</f>
        <v>0</v>
      </c>
      <c r="E57" s="12" t="n">
        <f aca="false">SUMPRODUCT(($A$2:$A$51=$A57)*($N$2:$N$51="EX"))-SUMPRODUCT(($A$2:$A$51=$A57)*($O$2:$O$51="EX"))</f>
        <v>0</v>
      </c>
      <c r="F57" s="12" t="str">
        <f aca="false">IF(COUNT(B57:E57)=0,"",INDEX({"Strategic Thinking";"Relationship Building";"Influencing";"Executing"},MATCH(MAX(B57:E57),B57:E57,0)))</f>
        <v>Strategic Thinking</v>
      </c>
    </row>
    <row r="58" customFormat="false" ht="15" hidden="false" customHeight="false" outlineLevel="0" collapsed="false">
      <c r="A58" s="11" t="n">
        <v>3</v>
      </c>
      <c r="B58" s="12" t="n">
        <f aca="false">SUMPRODUCT(($A$2:$A$51=$A58)*($N$2:$N$51="ST"))-SUMPRODUCT(($A$2:$A$51=$A58)*($O$2:$O$51="ST"))</f>
        <v>0</v>
      </c>
      <c r="C58" s="12" t="n">
        <f aca="false">SUMPRODUCT(($A$2:$A$51=$A58)*($N$2:$N$51="RB"))-SUMPRODUCT(($A$2:$A$51=$A58)*($O$2:$O$51="RB"))</f>
        <v>0</v>
      </c>
      <c r="D58" s="12" t="n">
        <f aca="false">SUMPRODUCT(($A$2:$A$51=$A58)*($N$2:$N$51="IN"))-SUMPRODUCT(($A$2:$A$51=$A58)*($O$2:$O$51="IN"))</f>
        <v>0</v>
      </c>
      <c r="E58" s="12" t="n">
        <f aca="false">SUMPRODUCT(($A$2:$A$51=$A58)*($N$2:$N$51="EX"))-SUMPRODUCT(($A$2:$A$51=$A58)*($O$2:$O$51="EX"))</f>
        <v>0</v>
      </c>
      <c r="F58" s="12" t="str">
        <f aca="false">IF(COUNT(B58:E58)=0,"",INDEX({"Strategic Thinking";"Relationship Building";"Influencing";"Executing"},MATCH(MAX(B58:E58),B58:E58,0)))</f>
        <v>Strategic Thinking</v>
      </c>
    </row>
    <row r="59" customFormat="false" ht="15" hidden="false" customHeight="false" outlineLevel="0" collapsed="false">
      <c r="A59" s="11" t="n">
        <v>4</v>
      </c>
      <c r="B59" s="12" t="n">
        <f aca="false">SUMPRODUCT(($A$2:$A$51=$A59)*($N$2:$N$51="ST"))-SUMPRODUCT(($A$2:$A$51=$A59)*($O$2:$O$51="ST"))</f>
        <v>0</v>
      </c>
      <c r="C59" s="12" t="n">
        <f aca="false">SUMPRODUCT(($A$2:$A$51=$A59)*($N$2:$N$51="RB"))-SUMPRODUCT(($A$2:$A$51=$A59)*($O$2:$O$51="RB"))</f>
        <v>0</v>
      </c>
      <c r="D59" s="12" t="n">
        <f aca="false">SUMPRODUCT(($A$2:$A$51=$A59)*($N$2:$N$51="IN"))-SUMPRODUCT(($A$2:$A$51=$A59)*($O$2:$O$51="IN"))</f>
        <v>0</v>
      </c>
      <c r="E59" s="12" t="n">
        <f aca="false">SUMPRODUCT(($A$2:$A$51=$A59)*($N$2:$N$51="EX"))-SUMPRODUCT(($A$2:$A$51=$A59)*($O$2:$O$51="EX"))</f>
        <v>0</v>
      </c>
      <c r="F59" s="12" t="str">
        <f aca="false">IF(COUNT(B59:E59)=0,"",INDEX({"Strategic Thinking";"Relationship Building";"Influencing";"Executing"},MATCH(MAX(B59:E59),B59:E59,0)))</f>
        <v>Strategic Thinking</v>
      </c>
    </row>
    <row r="60" customFormat="false" ht="15" hidden="false" customHeight="false" outlineLevel="0" collapsed="false">
      <c r="A60" s="11" t="n">
        <v>5</v>
      </c>
      <c r="B60" s="12" t="n">
        <f aca="false">SUMPRODUCT(($A$2:$A$51=$A60)*($N$2:$N$51="ST"))-SUMPRODUCT(($A$2:$A$51=$A60)*($O$2:$O$51="ST"))</f>
        <v>0</v>
      </c>
      <c r="C60" s="12" t="n">
        <f aca="false">SUMPRODUCT(($A$2:$A$51=$A60)*($N$2:$N$51="RB"))-SUMPRODUCT(($A$2:$A$51=$A60)*($O$2:$O$51="RB"))</f>
        <v>0</v>
      </c>
      <c r="D60" s="12" t="n">
        <f aca="false">SUMPRODUCT(($A$2:$A$51=$A60)*($N$2:$N$51="IN"))-SUMPRODUCT(($A$2:$A$51=$A60)*($O$2:$O$51="IN"))</f>
        <v>0</v>
      </c>
      <c r="E60" s="12" t="n">
        <f aca="false">SUMPRODUCT(($A$2:$A$51=$A60)*($N$2:$N$51="EX"))-SUMPRODUCT(($A$2:$A$51=$A60)*($O$2:$O$51="EX"))</f>
        <v>0</v>
      </c>
      <c r="F60" s="12" t="str">
        <f aca="false">IF(COUNT(B60:E60)=0,"",INDEX({"Strategic Thinking";"Relationship Building";"Influencing";"Executing"},MATCH(MAX(B60:E60),B60:E60,0)))</f>
        <v>Strategic Thinking</v>
      </c>
    </row>
    <row r="61" customFormat="false" ht="15" hidden="false" customHeight="false" outlineLevel="0" collapsed="false">
      <c r="A61" s="11" t="n">
        <v>6</v>
      </c>
      <c r="B61" s="12" t="n">
        <f aca="false">SUMPRODUCT(($A$2:$A$51=$A61)*($N$2:$N$51="ST"))-SUMPRODUCT(($A$2:$A$51=$A61)*($O$2:$O$51="ST"))</f>
        <v>0</v>
      </c>
      <c r="C61" s="12" t="n">
        <f aca="false">SUMPRODUCT(($A$2:$A$51=$A61)*($N$2:$N$51="RB"))-SUMPRODUCT(($A$2:$A$51=$A61)*($O$2:$O$51="RB"))</f>
        <v>0</v>
      </c>
      <c r="D61" s="12" t="n">
        <f aca="false">SUMPRODUCT(($A$2:$A$51=$A61)*($N$2:$N$51="IN"))-SUMPRODUCT(($A$2:$A$51=$A61)*($O$2:$O$51="IN"))</f>
        <v>0</v>
      </c>
      <c r="E61" s="12" t="n">
        <f aca="false">SUMPRODUCT(($A$2:$A$51=$A61)*($N$2:$N$51="EX"))-SUMPRODUCT(($A$2:$A$51=$A61)*($O$2:$O$51="EX"))</f>
        <v>0</v>
      </c>
      <c r="F61" s="12" t="str">
        <f aca="false">IF(COUNT(B61:E61)=0,"",INDEX({"Strategic Thinking";"Relationship Building";"Influencing";"Executing"},MATCH(MAX(B61:E61),B61:E61,0)))</f>
        <v>Strategic Thinking</v>
      </c>
    </row>
    <row r="62" customFormat="false" ht="15" hidden="false" customHeight="false" outlineLevel="0" collapsed="false">
      <c r="A62" s="11" t="n">
        <v>7</v>
      </c>
      <c r="B62" s="12" t="n">
        <f aca="false">SUMPRODUCT(($A$2:$A$51=$A62)*($N$2:$N$51="ST"))-SUMPRODUCT(($A$2:$A$51=$A62)*($O$2:$O$51="ST"))</f>
        <v>0</v>
      </c>
      <c r="C62" s="12" t="n">
        <f aca="false">SUMPRODUCT(($A$2:$A$51=$A62)*($N$2:$N$51="RB"))-SUMPRODUCT(($A$2:$A$51=$A62)*($O$2:$O$51="RB"))</f>
        <v>0</v>
      </c>
      <c r="D62" s="12" t="n">
        <f aca="false">SUMPRODUCT(($A$2:$A$51=$A62)*($N$2:$N$51="IN"))-SUMPRODUCT(($A$2:$A$51=$A62)*($O$2:$O$51="IN"))</f>
        <v>0</v>
      </c>
      <c r="E62" s="12" t="n">
        <f aca="false">SUMPRODUCT(($A$2:$A$51=$A62)*($N$2:$N$51="EX"))-SUMPRODUCT(($A$2:$A$51=$A62)*($O$2:$O$51="EX"))</f>
        <v>0</v>
      </c>
      <c r="F62" s="12" t="str">
        <f aca="false">IF(COUNT(B62:E62)=0,"",INDEX({"Strategic Thinking";"Relationship Building";"Influencing";"Executing"},MATCH(MAX(B62:E62),B62:E62,0)))</f>
        <v>Strategic Thinking</v>
      </c>
    </row>
    <row r="63" customFormat="false" ht="15" hidden="false" customHeight="false" outlineLevel="0" collapsed="false">
      <c r="A63" s="11" t="n">
        <v>8</v>
      </c>
      <c r="B63" s="12" t="n">
        <f aca="false">SUMPRODUCT(($A$2:$A$51=$A63)*($N$2:$N$51="ST"))-SUMPRODUCT(($A$2:$A$51=$A63)*($O$2:$O$51="ST"))</f>
        <v>0</v>
      </c>
      <c r="C63" s="12" t="n">
        <f aca="false">SUMPRODUCT(($A$2:$A$51=$A63)*($N$2:$N$51="RB"))-SUMPRODUCT(($A$2:$A$51=$A63)*($O$2:$O$51="RB"))</f>
        <v>0</v>
      </c>
      <c r="D63" s="12" t="n">
        <f aca="false">SUMPRODUCT(($A$2:$A$51=$A63)*($N$2:$N$51="IN"))-SUMPRODUCT(($A$2:$A$51=$A63)*($O$2:$O$51="IN"))</f>
        <v>0</v>
      </c>
      <c r="E63" s="12" t="n">
        <f aca="false">SUMPRODUCT(($A$2:$A$51=$A63)*($N$2:$N$51="EX"))-SUMPRODUCT(($A$2:$A$51=$A63)*($O$2:$O$51="EX"))</f>
        <v>0</v>
      </c>
      <c r="F63" s="12" t="str">
        <f aca="false">IF(COUNT(B63:E63)=0,"",INDEX({"Strategic Thinking";"Relationship Building";"Influencing";"Executing"},MATCH(MAX(B63:E63),B63:E63,0)))</f>
        <v>Strategic Thinking</v>
      </c>
    </row>
    <row r="64" customFormat="false" ht="15" hidden="false" customHeight="false" outlineLevel="0" collapsed="false">
      <c r="A64" s="11" t="n">
        <v>9</v>
      </c>
      <c r="B64" s="12" t="n">
        <f aca="false">SUMPRODUCT(($A$2:$A$51=$A64)*($N$2:$N$51="ST"))-SUMPRODUCT(($A$2:$A$51=$A64)*($O$2:$O$51="ST"))</f>
        <v>0</v>
      </c>
      <c r="C64" s="12" t="n">
        <f aca="false">SUMPRODUCT(($A$2:$A$51=$A64)*($N$2:$N$51="RB"))-SUMPRODUCT(($A$2:$A$51=$A64)*($O$2:$O$51="RB"))</f>
        <v>0</v>
      </c>
      <c r="D64" s="12" t="n">
        <f aca="false">SUMPRODUCT(($A$2:$A$51=$A64)*($N$2:$N$51="IN"))-SUMPRODUCT(($A$2:$A$51=$A64)*($O$2:$O$51="IN"))</f>
        <v>0</v>
      </c>
      <c r="E64" s="12" t="n">
        <f aca="false">SUMPRODUCT(($A$2:$A$51=$A64)*($N$2:$N$51="EX"))-SUMPRODUCT(($A$2:$A$51=$A64)*($O$2:$O$51="EX"))</f>
        <v>0</v>
      </c>
      <c r="F64" s="12" t="str">
        <f aca="false">IF(COUNT(B64:E64)=0,"",INDEX({"Strategic Thinking";"Relationship Building";"Influencing";"Executing"},MATCH(MAX(B64:E64),B64:E64,0)))</f>
        <v>Strategic Thinking</v>
      </c>
    </row>
    <row r="65" customFormat="false" ht="15" hidden="false" customHeight="false" outlineLevel="0" collapsed="false">
      <c r="A65" s="11" t="n">
        <v>10</v>
      </c>
      <c r="B65" s="12" t="n">
        <f aca="false">SUMPRODUCT(($A$2:$A$51=$A65)*($N$2:$N$51="ST"))-SUMPRODUCT(($A$2:$A$51=$A65)*($O$2:$O$51="ST"))</f>
        <v>0</v>
      </c>
      <c r="C65" s="12" t="n">
        <f aca="false">SUMPRODUCT(($A$2:$A$51=$A65)*($N$2:$N$51="RB"))-SUMPRODUCT(($A$2:$A$51=$A65)*($O$2:$O$51="RB"))</f>
        <v>0</v>
      </c>
      <c r="D65" s="12" t="n">
        <f aca="false">SUMPRODUCT(($A$2:$A$51=$A65)*($N$2:$N$51="IN"))-SUMPRODUCT(($A$2:$A$51=$A65)*($O$2:$O$51="IN"))</f>
        <v>0</v>
      </c>
      <c r="E65" s="12" t="n">
        <f aca="false">SUMPRODUCT(($A$2:$A$51=$A65)*($N$2:$N$51="EX"))-SUMPRODUCT(($A$2:$A$51=$A65)*($O$2:$O$51="EX"))</f>
        <v>0</v>
      </c>
      <c r="F65" s="12" t="str">
        <f aca="false">IF(COUNT(B65:E65)=0,"",INDEX({"Strategic Thinking";"Relationship Building";"Influencing";"Executing"},MATCH(MAX(B65:E65),B65:E65,0)))</f>
        <v>Strategic Thinking</v>
      </c>
    </row>
  </sheetData>
  <mergeCells count="1">
    <mergeCell ref="A54:F54"/>
  </mergeCells>
  <dataValidations count="1">
    <dataValidation allowBlank="true" error="Enter A, B, C or D" errorStyle="stop" errorTitle="Invalid entry" operator="between" showDropDown="false" showErrorMessage="true" showInputMessage="false" sqref="L2:M5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7" min="4" style="0" width="30"/>
    <col collapsed="false" customWidth="true" hidden="false" outlineLevel="0" max="11" min="8" style="0" width="9"/>
    <col collapsed="false" customWidth="true" hidden="false" outlineLevel="0" max="13" min="12" style="0" width="11"/>
    <col collapsed="false" customWidth="true" hidden="false" outlineLevel="0" max="15" min="14" style="0" width="12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customFormat="false" ht="23.85" hidden="false" customHeight="false" outlineLevel="0" collapsed="false">
      <c r="A2" s="5" t="n">
        <v>1</v>
      </c>
      <c r="B2" s="5" t="n">
        <v>1</v>
      </c>
      <c r="C2" s="6" t="s">
        <v>327</v>
      </c>
      <c r="D2" s="6" t="s">
        <v>328</v>
      </c>
      <c r="E2" s="6" t="s">
        <v>329</v>
      </c>
      <c r="F2" s="6" t="s">
        <v>330</v>
      </c>
      <c r="G2" s="6" t="s">
        <v>331</v>
      </c>
      <c r="H2" s="5" t="s">
        <v>57</v>
      </c>
      <c r="I2" s="5" t="s">
        <v>54</v>
      </c>
      <c r="J2" s="5" t="s">
        <v>56</v>
      </c>
      <c r="K2" s="5" t="s">
        <v>55</v>
      </c>
      <c r="L2" s="5"/>
      <c r="M2" s="5"/>
      <c r="N2" s="5" t="str">
        <f aca="false">IFERROR(INDEX(H2:K2,MATCH(L2,{"A","B","C","D"},0)),"")</f>
        <v/>
      </c>
      <c r="O2" s="5" t="str">
        <f aca="false">IFERROR(INDEX(H2:K2,MATCH(M2,{"A","B","C","D"},0)),"")</f>
        <v/>
      </c>
    </row>
    <row r="3" customFormat="false" ht="23.85" hidden="false" customHeight="false" outlineLevel="0" collapsed="false">
      <c r="A3" s="5" t="n">
        <v>1</v>
      </c>
      <c r="B3" s="5" t="n">
        <v>2</v>
      </c>
      <c r="C3" s="6" t="s">
        <v>332</v>
      </c>
      <c r="D3" s="6" t="s">
        <v>333</v>
      </c>
      <c r="E3" s="6" t="s">
        <v>334</v>
      </c>
      <c r="F3" s="6" t="s">
        <v>335</v>
      </c>
      <c r="G3" s="6" t="s">
        <v>336</v>
      </c>
      <c r="H3" s="5" t="s">
        <v>55</v>
      </c>
      <c r="I3" s="5" t="s">
        <v>54</v>
      </c>
      <c r="J3" s="5" t="s">
        <v>57</v>
      </c>
      <c r="K3" s="5" t="s">
        <v>56</v>
      </c>
      <c r="L3" s="5"/>
      <c r="M3" s="5"/>
      <c r="N3" s="5" t="str">
        <f aca="false">IFERROR(INDEX(H3:K3,MATCH(L3,{"A","B","C","D"},0)),"")</f>
        <v/>
      </c>
      <c r="O3" s="5" t="str">
        <f aca="false">IFERROR(INDEX(H3:K3,MATCH(M3,{"A","B","C","D"},0)),"")</f>
        <v/>
      </c>
    </row>
    <row r="4" customFormat="false" ht="23.85" hidden="false" customHeight="false" outlineLevel="0" collapsed="false">
      <c r="A4" s="5" t="n">
        <v>1</v>
      </c>
      <c r="B4" s="5" t="n">
        <v>3</v>
      </c>
      <c r="C4" s="6" t="s">
        <v>337</v>
      </c>
      <c r="D4" s="6" t="s">
        <v>249</v>
      </c>
      <c r="E4" s="6" t="s">
        <v>338</v>
      </c>
      <c r="F4" s="6" t="s">
        <v>339</v>
      </c>
      <c r="G4" s="6" t="s">
        <v>250</v>
      </c>
      <c r="H4" s="5" t="s">
        <v>56</v>
      </c>
      <c r="I4" s="5" t="s">
        <v>55</v>
      </c>
      <c r="J4" s="5" t="s">
        <v>54</v>
      </c>
      <c r="K4" s="5" t="s">
        <v>57</v>
      </c>
      <c r="L4" s="5"/>
      <c r="M4" s="5"/>
      <c r="N4" s="5" t="str">
        <f aca="false">IFERROR(INDEX(H4:K4,MATCH(L4,{"A","B","C","D"},0)),"")</f>
        <v/>
      </c>
      <c r="O4" s="5" t="str">
        <f aca="false">IFERROR(INDEX(H4:K4,MATCH(M4,{"A","B","C","D"},0)),"")</f>
        <v/>
      </c>
    </row>
    <row r="5" customFormat="false" ht="23.85" hidden="false" customHeight="false" outlineLevel="0" collapsed="false">
      <c r="A5" s="5" t="n">
        <v>1</v>
      </c>
      <c r="B5" s="5" t="n">
        <v>4</v>
      </c>
      <c r="C5" s="6" t="s">
        <v>340</v>
      </c>
      <c r="D5" s="6" t="s">
        <v>341</v>
      </c>
      <c r="E5" s="6" t="s">
        <v>342</v>
      </c>
      <c r="F5" s="6" t="s">
        <v>343</v>
      </c>
      <c r="G5" s="6" t="s">
        <v>344</v>
      </c>
      <c r="H5" s="5" t="s">
        <v>55</v>
      </c>
      <c r="I5" s="5" t="s">
        <v>57</v>
      </c>
      <c r="J5" s="5" t="s">
        <v>56</v>
      </c>
      <c r="K5" s="5" t="s">
        <v>54</v>
      </c>
      <c r="L5" s="5"/>
      <c r="M5" s="5"/>
      <c r="N5" s="5" t="str">
        <f aca="false">IFERROR(INDEX(H5:K5,MATCH(L5,{"A","B","C","D"},0)),"")</f>
        <v/>
      </c>
      <c r="O5" s="5" t="str">
        <f aca="false">IFERROR(INDEX(H5:K5,MATCH(M5,{"A","B","C","D"},0)),"")</f>
        <v/>
      </c>
    </row>
    <row r="6" customFormat="false" ht="23.85" hidden="false" customHeight="false" outlineLevel="0" collapsed="false">
      <c r="A6" s="5" t="n">
        <v>1</v>
      </c>
      <c r="B6" s="5" t="n">
        <v>5</v>
      </c>
      <c r="C6" s="6" t="s">
        <v>345</v>
      </c>
      <c r="D6" s="6" t="s">
        <v>262</v>
      </c>
      <c r="E6" s="6" t="s">
        <v>346</v>
      </c>
      <c r="F6" s="6" t="s">
        <v>347</v>
      </c>
      <c r="G6" s="6" t="s">
        <v>348</v>
      </c>
      <c r="H6" s="5" t="s">
        <v>57</v>
      </c>
      <c r="I6" s="5" t="s">
        <v>54</v>
      </c>
      <c r="J6" s="5" t="s">
        <v>55</v>
      </c>
      <c r="K6" s="5" t="s">
        <v>56</v>
      </c>
      <c r="L6" s="5"/>
      <c r="M6" s="5"/>
      <c r="N6" s="5" t="str">
        <f aca="false">IFERROR(INDEX(H6:K6,MATCH(L6,{"A","B","C","D"},0)),"")</f>
        <v/>
      </c>
      <c r="O6" s="5" t="str">
        <f aca="false">IFERROR(INDEX(H6:K6,MATCH(M6,{"A","B","C","D"},0)),"")</f>
        <v/>
      </c>
    </row>
    <row r="7" customFormat="false" ht="23.85" hidden="false" customHeight="false" outlineLevel="0" collapsed="false">
      <c r="A7" s="7" t="n">
        <v>2</v>
      </c>
      <c r="B7" s="7" t="n">
        <v>1</v>
      </c>
      <c r="C7" s="8" t="s">
        <v>349</v>
      </c>
      <c r="D7" s="8" t="s">
        <v>350</v>
      </c>
      <c r="E7" s="8" t="s">
        <v>265</v>
      </c>
      <c r="F7" s="8" t="s">
        <v>351</v>
      </c>
      <c r="G7" s="8" t="s">
        <v>352</v>
      </c>
      <c r="H7" s="7" t="s">
        <v>56</v>
      </c>
      <c r="I7" s="7" t="s">
        <v>54</v>
      </c>
      <c r="J7" s="7" t="s">
        <v>55</v>
      </c>
      <c r="K7" s="7" t="s">
        <v>57</v>
      </c>
      <c r="L7" s="7"/>
      <c r="M7" s="7"/>
      <c r="N7" s="7" t="str">
        <f aca="false">IFERROR(INDEX(H7:K7,MATCH(L7,{"A","B","C","D"},0)),"")</f>
        <v/>
      </c>
      <c r="O7" s="7" t="str">
        <f aca="false">IFERROR(INDEX(H7:K7,MATCH(M7,{"A","B","C","D"},0)),"")</f>
        <v/>
      </c>
    </row>
    <row r="8" customFormat="false" ht="23.85" hidden="false" customHeight="false" outlineLevel="0" collapsed="false">
      <c r="A8" s="7" t="n">
        <v>2</v>
      </c>
      <c r="B8" s="7" t="n">
        <v>2</v>
      </c>
      <c r="C8" s="8" t="s">
        <v>353</v>
      </c>
      <c r="D8" s="8" t="s">
        <v>354</v>
      </c>
      <c r="E8" s="8" t="s">
        <v>355</v>
      </c>
      <c r="F8" s="8" t="s">
        <v>356</v>
      </c>
      <c r="G8" s="8" t="s">
        <v>357</v>
      </c>
      <c r="H8" s="7" t="s">
        <v>55</v>
      </c>
      <c r="I8" s="7" t="s">
        <v>57</v>
      </c>
      <c r="J8" s="7" t="s">
        <v>56</v>
      </c>
      <c r="K8" s="7" t="s">
        <v>54</v>
      </c>
      <c r="L8" s="7"/>
      <c r="M8" s="7"/>
      <c r="N8" s="7" t="str">
        <f aca="false">IFERROR(INDEX(H8:K8,MATCH(L8,{"A","B","C","D"},0)),"")</f>
        <v/>
      </c>
      <c r="O8" s="7" t="str">
        <f aca="false">IFERROR(INDEX(H8:K8,MATCH(M8,{"A","B","C","D"},0)),"")</f>
        <v/>
      </c>
    </row>
    <row r="9" customFormat="false" ht="23.85" hidden="false" customHeight="false" outlineLevel="0" collapsed="false">
      <c r="A9" s="7" t="n">
        <v>2</v>
      </c>
      <c r="B9" s="7" t="n">
        <v>3</v>
      </c>
      <c r="C9" s="8" t="s">
        <v>358</v>
      </c>
      <c r="D9" s="8" t="s">
        <v>359</v>
      </c>
      <c r="E9" s="8" t="s">
        <v>185</v>
      </c>
      <c r="F9" s="8" t="s">
        <v>360</v>
      </c>
      <c r="G9" s="8" t="s">
        <v>361</v>
      </c>
      <c r="H9" s="7" t="s">
        <v>56</v>
      </c>
      <c r="I9" s="7" t="s">
        <v>55</v>
      </c>
      <c r="J9" s="7" t="s">
        <v>57</v>
      </c>
      <c r="K9" s="7" t="s">
        <v>54</v>
      </c>
      <c r="L9" s="7"/>
      <c r="M9" s="7"/>
      <c r="N9" s="7" t="str">
        <f aca="false">IFERROR(INDEX(H9:K9,MATCH(L9,{"A","B","C","D"},0)),"")</f>
        <v/>
      </c>
      <c r="O9" s="7" t="str">
        <f aca="false">IFERROR(INDEX(H9:K9,MATCH(M9,{"A","B","C","D"},0)),"")</f>
        <v/>
      </c>
    </row>
    <row r="10" customFormat="false" ht="23.85" hidden="false" customHeight="false" outlineLevel="0" collapsed="false">
      <c r="A10" s="7" t="n">
        <v>2</v>
      </c>
      <c r="B10" s="7" t="n">
        <v>4</v>
      </c>
      <c r="C10" s="8" t="s">
        <v>362</v>
      </c>
      <c r="D10" s="8" t="s">
        <v>363</v>
      </c>
      <c r="E10" s="8" t="s">
        <v>364</v>
      </c>
      <c r="F10" s="8" t="s">
        <v>365</v>
      </c>
      <c r="G10" s="8" t="s">
        <v>366</v>
      </c>
      <c r="H10" s="7" t="s">
        <v>54</v>
      </c>
      <c r="I10" s="7" t="s">
        <v>55</v>
      </c>
      <c r="J10" s="7" t="s">
        <v>57</v>
      </c>
      <c r="K10" s="7" t="s">
        <v>56</v>
      </c>
      <c r="L10" s="7"/>
      <c r="M10" s="7"/>
      <c r="N10" s="7" t="str">
        <f aca="false">IFERROR(INDEX(H10:K10,MATCH(L10,{"A","B","C","D"},0)),"")</f>
        <v/>
      </c>
      <c r="O10" s="7" t="str">
        <f aca="false">IFERROR(INDEX(H10:K10,MATCH(M10,{"A","B","C","D"},0)),"")</f>
        <v/>
      </c>
    </row>
    <row r="11" customFormat="false" ht="23.85" hidden="false" customHeight="false" outlineLevel="0" collapsed="false">
      <c r="A11" s="7" t="n">
        <v>2</v>
      </c>
      <c r="B11" s="7" t="n">
        <v>5</v>
      </c>
      <c r="C11" s="8" t="s">
        <v>367</v>
      </c>
      <c r="D11" s="8" t="s">
        <v>368</v>
      </c>
      <c r="E11" s="8" t="s">
        <v>369</v>
      </c>
      <c r="F11" s="8" t="s">
        <v>286</v>
      </c>
      <c r="G11" s="8" t="s">
        <v>370</v>
      </c>
      <c r="H11" s="7" t="s">
        <v>57</v>
      </c>
      <c r="I11" s="7" t="s">
        <v>56</v>
      </c>
      <c r="J11" s="7" t="s">
        <v>54</v>
      </c>
      <c r="K11" s="7" t="s">
        <v>55</v>
      </c>
      <c r="L11" s="7"/>
      <c r="M11" s="7"/>
      <c r="N11" s="7" t="str">
        <f aca="false">IFERROR(INDEX(H11:K11,MATCH(L11,{"A","B","C","D"},0)),"")</f>
        <v/>
      </c>
      <c r="O11" s="7" t="str">
        <f aca="false">IFERROR(INDEX(H11:K11,MATCH(M11,{"A","B","C","D"},0)),"")</f>
        <v/>
      </c>
    </row>
    <row r="12" customFormat="false" ht="23.85" hidden="false" customHeight="false" outlineLevel="0" collapsed="false">
      <c r="A12" s="5" t="n">
        <v>3</v>
      </c>
      <c r="B12" s="5" t="n">
        <v>1</v>
      </c>
      <c r="C12" s="6" t="s">
        <v>371</v>
      </c>
      <c r="D12" s="6" t="s">
        <v>329</v>
      </c>
      <c r="E12" s="6" t="s">
        <v>328</v>
      </c>
      <c r="F12" s="6" t="s">
        <v>330</v>
      </c>
      <c r="G12" s="6" t="s">
        <v>331</v>
      </c>
      <c r="H12" s="5" t="s">
        <v>54</v>
      </c>
      <c r="I12" s="5" t="s">
        <v>57</v>
      </c>
      <c r="J12" s="5" t="s">
        <v>56</v>
      </c>
      <c r="K12" s="5" t="s">
        <v>55</v>
      </c>
      <c r="L12" s="5"/>
      <c r="M12" s="5"/>
      <c r="N12" s="5" t="str">
        <f aca="false">IFERROR(INDEX(H12:K12,MATCH(L12,{"A","B","C","D"},0)),"")</f>
        <v/>
      </c>
      <c r="O12" s="5" t="str">
        <f aca="false">IFERROR(INDEX(H12:K12,MATCH(M12,{"A","B","C","D"},0)),"")</f>
        <v/>
      </c>
    </row>
    <row r="13" customFormat="false" ht="23.85" hidden="false" customHeight="false" outlineLevel="0" collapsed="false">
      <c r="A13" s="5" t="n">
        <v>3</v>
      </c>
      <c r="B13" s="5" t="n">
        <v>2</v>
      </c>
      <c r="C13" s="6" t="s">
        <v>372</v>
      </c>
      <c r="D13" s="6" t="s">
        <v>336</v>
      </c>
      <c r="E13" s="6" t="s">
        <v>334</v>
      </c>
      <c r="F13" s="6" t="s">
        <v>335</v>
      </c>
      <c r="G13" s="6" t="s">
        <v>333</v>
      </c>
      <c r="H13" s="5" t="s">
        <v>56</v>
      </c>
      <c r="I13" s="5" t="s">
        <v>54</v>
      </c>
      <c r="J13" s="5" t="s">
        <v>57</v>
      </c>
      <c r="K13" s="5" t="s">
        <v>55</v>
      </c>
      <c r="L13" s="5"/>
      <c r="M13" s="5"/>
      <c r="N13" s="5" t="str">
        <f aca="false">IFERROR(INDEX(H13:K13,MATCH(L13,{"A","B","C","D"},0)),"")</f>
        <v/>
      </c>
      <c r="O13" s="5" t="str">
        <f aca="false">IFERROR(INDEX(H13:K13,MATCH(M13,{"A","B","C","D"},0)),"")</f>
        <v/>
      </c>
    </row>
    <row r="14" customFormat="false" ht="23.85" hidden="false" customHeight="false" outlineLevel="0" collapsed="false">
      <c r="A14" s="5" t="n">
        <v>3</v>
      </c>
      <c r="B14" s="5" t="n">
        <v>3</v>
      </c>
      <c r="C14" s="6" t="s">
        <v>373</v>
      </c>
      <c r="D14" s="6" t="s">
        <v>339</v>
      </c>
      <c r="E14" s="6" t="s">
        <v>250</v>
      </c>
      <c r="F14" s="6" t="s">
        <v>249</v>
      </c>
      <c r="G14" s="6" t="s">
        <v>338</v>
      </c>
      <c r="H14" s="5" t="s">
        <v>54</v>
      </c>
      <c r="I14" s="5" t="s">
        <v>57</v>
      </c>
      <c r="J14" s="5" t="s">
        <v>56</v>
      </c>
      <c r="K14" s="5" t="s">
        <v>55</v>
      </c>
      <c r="L14" s="5"/>
      <c r="M14" s="5"/>
      <c r="N14" s="5" t="str">
        <f aca="false">IFERROR(INDEX(H14:K14,MATCH(L14,{"A","B","C","D"},0)),"")</f>
        <v/>
      </c>
      <c r="O14" s="5" t="str">
        <f aca="false">IFERROR(INDEX(H14:K14,MATCH(M14,{"A","B","C","D"},0)),"")</f>
        <v/>
      </c>
    </row>
    <row r="15" customFormat="false" ht="23.85" hidden="false" customHeight="false" outlineLevel="0" collapsed="false">
      <c r="A15" s="5" t="n">
        <v>3</v>
      </c>
      <c r="B15" s="5" t="n">
        <v>4</v>
      </c>
      <c r="C15" s="6" t="s">
        <v>290</v>
      </c>
      <c r="D15" s="6" t="s">
        <v>343</v>
      </c>
      <c r="E15" s="6" t="s">
        <v>344</v>
      </c>
      <c r="F15" s="6" t="s">
        <v>341</v>
      </c>
      <c r="G15" s="6" t="s">
        <v>342</v>
      </c>
      <c r="H15" s="5" t="s">
        <v>56</v>
      </c>
      <c r="I15" s="5" t="s">
        <v>54</v>
      </c>
      <c r="J15" s="5" t="s">
        <v>55</v>
      </c>
      <c r="K15" s="5" t="s">
        <v>57</v>
      </c>
      <c r="L15" s="5"/>
      <c r="M15" s="5"/>
      <c r="N15" s="5" t="str">
        <f aca="false">IFERROR(INDEX(H15:K15,MATCH(L15,{"A","B","C","D"},0)),"")</f>
        <v/>
      </c>
      <c r="O15" s="5" t="str">
        <f aca="false">IFERROR(INDEX(H15:K15,MATCH(M15,{"A","B","C","D"},0)),"")</f>
        <v/>
      </c>
    </row>
    <row r="16" customFormat="false" ht="23.85" hidden="false" customHeight="false" outlineLevel="0" collapsed="false">
      <c r="A16" s="5" t="n">
        <v>3</v>
      </c>
      <c r="B16" s="5" t="n">
        <v>5</v>
      </c>
      <c r="C16" s="6" t="s">
        <v>374</v>
      </c>
      <c r="D16" s="6" t="s">
        <v>347</v>
      </c>
      <c r="E16" s="6" t="s">
        <v>346</v>
      </c>
      <c r="F16" s="6" t="s">
        <v>262</v>
      </c>
      <c r="G16" s="6" t="s">
        <v>348</v>
      </c>
      <c r="H16" s="5" t="s">
        <v>55</v>
      </c>
      <c r="I16" s="5" t="s">
        <v>54</v>
      </c>
      <c r="J16" s="5" t="s">
        <v>57</v>
      </c>
      <c r="K16" s="5" t="s">
        <v>56</v>
      </c>
      <c r="L16" s="5"/>
      <c r="M16" s="5"/>
      <c r="N16" s="5" t="str">
        <f aca="false">IFERROR(INDEX(H16:K16,MATCH(L16,{"A","B","C","D"},0)),"")</f>
        <v/>
      </c>
      <c r="O16" s="5" t="str">
        <f aca="false">IFERROR(INDEX(H16:K16,MATCH(M16,{"A","B","C","D"},0)),"")</f>
        <v/>
      </c>
    </row>
    <row r="17" customFormat="false" ht="23.85" hidden="false" customHeight="false" outlineLevel="0" collapsed="false">
      <c r="A17" s="7" t="n">
        <v>4</v>
      </c>
      <c r="B17" s="7" t="n">
        <v>1</v>
      </c>
      <c r="C17" s="8" t="s">
        <v>375</v>
      </c>
      <c r="D17" s="8" t="s">
        <v>265</v>
      </c>
      <c r="E17" s="8" t="s">
        <v>350</v>
      </c>
      <c r="F17" s="8" t="s">
        <v>352</v>
      </c>
      <c r="G17" s="8" t="s">
        <v>351</v>
      </c>
      <c r="H17" s="7" t="s">
        <v>54</v>
      </c>
      <c r="I17" s="7" t="s">
        <v>56</v>
      </c>
      <c r="J17" s="7" t="s">
        <v>57</v>
      </c>
      <c r="K17" s="7" t="s">
        <v>55</v>
      </c>
      <c r="L17" s="7"/>
      <c r="M17" s="7"/>
      <c r="N17" s="7" t="str">
        <f aca="false">IFERROR(INDEX(H17:K17,MATCH(L17,{"A","B","C","D"},0)),"")</f>
        <v/>
      </c>
      <c r="O17" s="7" t="str">
        <f aca="false">IFERROR(INDEX(H17:K17,MATCH(M17,{"A","B","C","D"},0)),"")</f>
        <v/>
      </c>
    </row>
    <row r="18" customFormat="false" ht="23.85" hidden="false" customHeight="false" outlineLevel="0" collapsed="false">
      <c r="A18" s="7" t="n">
        <v>4</v>
      </c>
      <c r="B18" s="7" t="n">
        <v>2</v>
      </c>
      <c r="C18" s="8" t="s">
        <v>376</v>
      </c>
      <c r="D18" s="8" t="s">
        <v>355</v>
      </c>
      <c r="E18" s="8" t="s">
        <v>354</v>
      </c>
      <c r="F18" s="8" t="s">
        <v>357</v>
      </c>
      <c r="G18" s="8" t="s">
        <v>356</v>
      </c>
      <c r="H18" s="7" t="s">
        <v>57</v>
      </c>
      <c r="I18" s="7" t="s">
        <v>55</v>
      </c>
      <c r="J18" s="7" t="s">
        <v>54</v>
      </c>
      <c r="K18" s="7" t="s">
        <v>56</v>
      </c>
      <c r="L18" s="7"/>
      <c r="M18" s="7"/>
      <c r="N18" s="7" t="str">
        <f aca="false">IFERROR(INDEX(H18:K18,MATCH(L18,{"A","B","C","D"},0)),"")</f>
        <v/>
      </c>
      <c r="O18" s="7" t="str">
        <f aca="false">IFERROR(INDEX(H18:K18,MATCH(M18,{"A","B","C","D"},0)),"")</f>
        <v/>
      </c>
    </row>
    <row r="19" customFormat="false" ht="23.85" hidden="false" customHeight="false" outlineLevel="0" collapsed="false">
      <c r="A19" s="7" t="n">
        <v>4</v>
      </c>
      <c r="B19" s="7" t="n">
        <v>3</v>
      </c>
      <c r="C19" s="8" t="s">
        <v>377</v>
      </c>
      <c r="D19" s="8" t="s">
        <v>359</v>
      </c>
      <c r="E19" s="8" t="s">
        <v>360</v>
      </c>
      <c r="F19" s="8" t="s">
        <v>361</v>
      </c>
      <c r="G19" s="8" t="s">
        <v>185</v>
      </c>
      <c r="H19" s="7" t="s">
        <v>56</v>
      </c>
      <c r="I19" s="7" t="s">
        <v>57</v>
      </c>
      <c r="J19" s="7" t="s">
        <v>54</v>
      </c>
      <c r="K19" s="7" t="s">
        <v>55</v>
      </c>
      <c r="L19" s="7"/>
      <c r="M19" s="7"/>
      <c r="N19" s="7" t="str">
        <f aca="false">IFERROR(INDEX(H19:K19,MATCH(L19,{"A","B","C","D"},0)),"")</f>
        <v/>
      </c>
      <c r="O19" s="7" t="str">
        <f aca="false">IFERROR(INDEX(H19:K19,MATCH(M19,{"A","B","C","D"},0)),"")</f>
        <v/>
      </c>
    </row>
    <row r="20" customFormat="false" ht="23.85" hidden="false" customHeight="false" outlineLevel="0" collapsed="false">
      <c r="A20" s="7" t="n">
        <v>4</v>
      </c>
      <c r="B20" s="7" t="n">
        <v>4</v>
      </c>
      <c r="C20" s="8" t="s">
        <v>378</v>
      </c>
      <c r="D20" s="8" t="s">
        <v>365</v>
      </c>
      <c r="E20" s="8" t="s">
        <v>366</v>
      </c>
      <c r="F20" s="8" t="s">
        <v>363</v>
      </c>
      <c r="G20" s="8" t="s">
        <v>364</v>
      </c>
      <c r="H20" s="7" t="s">
        <v>57</v>
      </c>
      <c r="I20" s="7" t="s">
        <v>56</v>
      </c>
      <c r="J20" s="7" t="s">
        <v>54</v>
      </c>
      <c r="K20" s="7" t="s">
        <v>55</v>
      </c>
      <c r="L20" s="7"/>
      <c r="M20" s="7"/>
      <c r="N20" s="7" t="str">
        <f aca="false">IFERROR(INDEX(H20:K20,MATCH(L20,{"A","B","C","D"},0)),"")</f>
        <v/>
      </c>
      <c r="O20" s="7" t="str">
        <f aca="false">IFERROR(INDEX(H20:K20,MATCH(M20,{"A","B","C","D"},0)),"")</f>
        <v/>
      </c>
    </row>
    <row r="21" customFormat="false" ht="23.85" hidden="false" customHeight="false" outlineLevel="0" collapsed="false">
      <c r="A21" s="7" t="n">
        <v>4</v>
      </c>
      <c r="B21" s="7" t="n">
        <v>5</v>
      </c>
      <c r="C21" s="8" t="s">
        <v>379</v>
      </c>
      <c r="D21" s="8" t="s">
        <v>368</v>
      </c>
      <c r="E21" s="8" t="s">
        <v>369</v>
      </c>
      <c r="F21" s="8" t="s">
        <v>286</v>
      </c>
      <c r="G21" s="8" t="s">
        <v>370</v>
      </c>
      <c r="H21" s="7" t="s">
        <v>57</v>
      </c>
      <c r="I21" s="7" t="s">
        <v>56</v>
      </c>
      <c r="J21" s="7" t="s">
        <v>54</v>
      </c>
      <c r="K21" s="7" t="s">
        <v>55</v>
      </c>
      <c r="L21" s="7"/>
      <c r="M21" s="7"/>
      <c r="N21" s="7" t="str">
        <f aca="false">IFERROR(INDEX(H21:K21,MATCH(L21,{"A","B","C","D"},0)),"")</f>
        <v/>
      </c>
      <c r="O21" s="7" t="str">
        <f aca="false">IFERROR(INDEX(H21:K21,MATCH(M21,{"A","B","C","D"},0)),"")</f>
        <v/>
      </c>
    </row>
    <row r="22" customFormat="false" ht="23.85" hidden="false" customHeight="false" outlineLevel="0" collapsed="false">
      <c r="A22" s="5" t="n">
        <v>5</v>
      </c>
      <c r="B22" s="5" t="n">
        <v>1</v>
      </c>
      <c r="C22" s="6" t="s">
        <v>380</v>
      </c>
      <c r="D22" s="6" t="s">
        <v>331</v>
      </c>
      <c r="E22" s="6" t="s">
        <v>328</v>
      </c>
      <c r="F22" s="6" t="s">
        <v>329</v>
      </c>
      <c r="G22" s="6" t="s">
        <v>330</v>
      </c>
      <c r="H22" s="5" t="s">
        <v>55</v>
      </c>
      <c r="I22" s="5" t="s">
        <v>57</v>
      </c>
      <c r="J22" s="5" t="s">
        <v>54</v>
      </c>
      <c r="K22" s="5" t="s">
        <v>56</v>
      </c>
      <c r="L22" s="5"/>
      <c r="M22" s="5"/>
      <c r="N22" s="5" t="str">
        <f aca="false">IFERROR(INDEX(H22:K22,MATCH(L22,{"A","B","C","D"},0)),"")</f>
        <v/>
      </c>
      <c r="O22" s="5" t="str">
        <f aca="false">IFERROR(INDEX(H22:K22,MATCH(M22,{"A","B","C","D"},0)),"")</f>
        <v/>
      </c>
    </row>
    <row r="23" customFormat="false" ht="23.85" hidden="false" customHeight="false" outlineLevel="0" collapsed="false">
      <c r="A23" s="5" t="n">
        <v>5</v>
      </c>
      <c r="B23" s="5" t="n">
        <v>2</v>
      </c>
      <c r="C23" s="6" t="s">
        <v>381</v>
      </c>
      <c r="D23" s="6" t="s">
        <v>335</v>
      </c>
      <c r="E23" s="6" t="s">
        <v>333</v>
      </c>
      <c r="F23" s="6" t="s">
        <v>334</v>
      </c>
      <c r="G23" s="6" t="s">
        <v>336</v>
      </c>
      <c r="H23" s="5" t="s">
        <v>57</v>
      </c>
      <c r="I23" s="5" t="s">
        <v>55</v>
      </c>
      <c r="J23" s="5" t="s">
        <v>54</v>
      </c>
      <c r="K23" s="5" t="s">
        <v>56</v>
      </c>
      <c r="L23" s="5"/>
      <c r="M23" s="5"/>
      <c r="N23" s="5" t="str">
        <f aca="false">IFERROR(INDEX(H23:K23,MATCH(L23,{"A","B","C","D"},0)),"")</f>
        <v/>
      </c>
      <c r="O23" s="5" t="str">
        <f aca="false">IFERROR(INDEX(H23:K23,MATCH(M23,{"A","B","C","D"},0)),"")</f>
        <v/>
      </c>
    </row>
    <row r="24" customFormat="false" ht="23.85" hidden="false" customHeight="false" outlineLevel="0" collapsed="false">
      <c r="A24" s="5" t="n">
        <v>5</v>
      </c>
      <c r="B24" s="5" t="n">
        <v>3</v>
      </c>
      <c r="C24" s="6" t="s">
        <v>382</v>
      </c>
      <c r="D24" s="6" t="s">
        <v>338</v>
      </c>
      <c r="E24" s="6" t="s">
        <v>249</v>
      </c>
      <c r="F24" s="6" t="s">
        <v>250</v>
      </c>
      <c r="G24" s="6" t="s">
        <v>339</v>
      </c>
      <c r="H24" s="5" t="s">
        <v>55</v>
      </c>
      <c r="I24" s="5" t="s">
        <v>56</v>
      </c>
      <c r="J24" s="5" t="s">
        <v>57</v>
      </c>
      <c r="K24" s="5" t="s">
        <v>54</v>
      </c>
      <c r="L24" s="5"/>
      <c r="M24" s="5"/>
      <c r="N24" s="5" t="str">
        <f aca="false">IFERROR(INDEX(H24:K24,MATCH(L24,{"A","B","C","D"},0)),"")</f>
        <v/>
      </c>
      <c r="O24" s="5" t="str">
        <f aca="false">IFERROR(INDEX(H24:K24,MATCH(M24,{"A","B","C","D"},0)),"")</f>
        <v/>
      </c>
    </row>
    <row r="25" customFormat="false" ht="23.85" hidden="false" customHeight="false" outlineLevel="0" collapsed="false">
      <c r="A25" s="5" t="n">
        <v>5</v>
      </c>
      <c r="B25" s="5" t="n">
        <v>4</v>
      </c>
      <c r="C25" s="6" t="s">
        <v>383</v>
      </c>
      <c r="D25" s="6" t="s">
        <v>342</v>
      </c>
      <c r="E25" s="6" t="s">
        <v>344</v>
      </c>
      <c r="F25" s="6" t="s">
        <v>341</v>
      </c>
      <c r="G25" s="6" t="s">
        <v>343</v>
      </c>
      <c r="H25" s="5" t="s">
        <v>57</v>
      </c>
      <c r="I25" s="5" t="s">
        <v>54</v>
      </c>
      <c r="J25" s="5" t="s">
        <v>55</v>
      </c>
      <c r="K25" s="5" t="s">
        <v>56</v>
      </c>
      <c r="L25" s="5"/>
      <c r="M25" s="5"/>
      <c r="N25" s="5" t="str">
        <f aca="false">IFERROR(INDEX(H25:K25,MATCH(L25,{"A","B","C","D"},0)),"")</f>
        <v/>
      </c>
      <c r="O25" s="5" t="str">
        <f aca="false">IFERROR(INDEX(H25:K25,MATCH(M25,{"A","B","C","D"},0)),"")</f>
        <v/>
      </c>
    </row>
    <row r="26" customFormat="false" ht="23.85" hidden="false" customHeight="false" outlineLevel="0" collapsed="false">
      <c r="A26" s="5" t="n">
        <v>5</v>
      </c>
      <c r="B26" s="5" t="n">
        <v>5</v>
      </c>
      <c r="C26" s="6" t="s">
        <v>384</v>
      </c>
      <c r="D26" s="6" t="s">
        <v>347</v>
      </c>
      <c r="E26" s="6" t="s">
        <v>348</v>
      </c>
      <c r="F26" s="6" t="s">
        <v>262</v>
      </c>
      <c r="G26" s="6" t="s">
        <v>346</v>
      </c>
      <c r="H26" s="5" t="s">
        <v>55</v>
      </c>
      <c r="I26" s="5" t="s">
        <v>56</v>
      </c>
      <c r="J26" s="5" t="s">
        <v>57</v>
      </c>
      <c r="K26" s="5" t="s">
        <v>54</v>
      </c>
      <c r="L26" s="5"/>
      <c r="M26" s="5"/>
      <c r="N26" s="5" t="str">
        <f aca="false">IFERROR(INDEX(H26:K26,MATCH(L26,{"A","B","C","D"},0)),"")</f>
        <v/>
      </c>
      <c r="O26" s="5" t="str">
        <f aca="false">IFERROR(INDEX(H26:K26,MATCH(M26,{"A","B","C","D"},0)),"")</f>
        <v/>
      </c>
    </row>
    <row r="27" customFormat="false" ht="23.85" hidden="false" customHeight="false" outlineLevel="0" collapsed="false">
      <c r="A27" s="7" t="n">
        <v>6</v>
      </c>
      <c r="B27" s="7" t="n">
        <v>1</v>
      </c>
      <c r="C27" s="8" t="s">
        <v>385</v>
      </c>
      <c r="D27" s="8" t="s">
        <v>350</v>
      </c>
      <c r="E27" s="8" t="s">
        <v>265</v>
      </c>
      <c r="F27" s="8" t="s">
        <v>352</v>
      </c>
      <c r="G27" s="8" t="s">
        <v>351</v>
      </c>
      <c r="H27" s="7" t="s">
        <v>56</v>
      </c>
      <c r="I27" s="7" t="s">
        <v>54</v>
      </c>
      <c r="J27" s="7" t="s">
        <v>57</v>
      </c>
      <c r="K27" s="7" t="s">
        <v>55</v>
      </c>
      <c r="L27" s="7"/>
      <c r="M27" s="7"/>
      <c r="N27" s="7" t="str">
        <f aca="false">IFERROR(INDEX(H27:K27,MATCH(L27,{"A","B","C","D"},0)),"")</f>
        <v/>
      </c>
      <c r="O27" s="7" t="str">
        <f aca="false">IFERROR(INDEX(H27:K27,MATCH(M27,{"A","B","C","D"},0)),"")</f>
        <v/>
      </c>
    </row>
    <row r="28" customFormat="false" ht="23.85" hidden="false" customHeight="false" outlineLevel="0" collapsed="false">
      <c r="A28" s="7" t="n">
        <v>6</v>
      </c>
      <c r="B28" s="7" t="n">
        <v>2</v>
      </c>
      <c r="C28" s="8" t="s">
        <v>386</v>
      </c>
      <c r="D28" s="8" t="s">
        <v>356</v>
      </c>
      <c r="E28" s="8" t="s">
        <v>355</v>
      </c>
      <c r="F28" s="8" t="s">
        <v>354</v>
      </c>
      <c r="G28" s="8" t="s">
        <v>357</v>
      </c>
      <c r="H28" s="7" t="s">
        <v>56</v>
      </c>
      <c r="I28" s="7" t="s">
        <v>57</v>
      </c>
      <c r="J28" s="7" t="s">
        <v>55</v>
      </c>
      <c r="K28" s="7" t="s">
        <v>54</v>
      </c>
      <c r="L28" s="7"/>
      <c r="M28" s="7"/>
      <c r="N28" s="7" t="str">
        <f aca="false">IFERROR(INDEX(H28:K28,MATCH(L28,{"A","B","C","D"},0)),"")</f>
        <v/>
      </c>
      <c r="O28" s="7" t="str">
        <f aca="false">IFERROR(INDEX(H28:K28,MATCH(M28,{"A","B","C","D"},0)),"")</f>
        <v/>
      </c>
    </row>
    <row r="29" customFormat="false" ht="23.85" hidden="false" customHeight="false" outlineLevel="0" collapsed="false">
      <c r="A29" s="7" t="n">
        <v>6</v>
      </c>
      <c r="B29" s="7" t="n">
        <v>3</v>
      </c>
      <c r="C29" s="8" t="s">
        <v>387</v>
      </c>
      <c r="D29" s="8" t="s">
        <v>185</v>
      </c>
      <c r="E29" s="8" t="s">
        <v>361</v>
      </c>
      <c r="F29" s="8" t="s">
        <v>360</v>
      </c>
      <c r="G29" s="8" t="s">
        <v>359</v>
      </c>
      <c r="H29" s="7" t="s">
        <v>55</v>
      </c>
      <c r="I29" s="7" t="s">
        <v>54</v>
      </c>
      <c r="J29" s="7" t="s">
        <v>57</v>
      </c>
      <c r="K29" s="7" t="s">
        <v>56</v>
      </c>
      <c r="L29" s="7"/>
      <c r="M29" s="7"/>
      <c r="N29" s="7" t="str">
        <f aca="false">IFERROR(INDEX(H29:K29,MATCH(L29,{"A","B","C","D"},0)),"")</f>
        <v/>
      </c>
      <c r="O29" s="7" t="str">
        <f aca="false">IFERROR(INDEX(H29:K29,MATCH(M29,{"A","B","C","D"},0)),"")</f>
        <v/>
      </c>
    </row>
    <row r="30" customFormat="false" ht="23.85" hidden="false" customHeight="false" outlineLevel="0" collapsed="false">
      <c r="A30" s="7" t="n">
        <v>6</v>
      </c>
      <c r="B30" s="7" t="n">
        <v>4</v>
      </c>
      <c r="C30" s="8" t="s">
        <v>388</v>
      </c>
      <c r="D30" s="8" t="s">
        <v>363</v>
      </c>
      <c r="E30" s="8" t="s">
        <v>365</v>
      </c>
      <c r="F30" s="8" t="s">
        <v>366</v>
      </c>
      <c r="G30" s="8" t="s">
        <v>364</v>
      </c>
      <c r="H30" s="7" t="s">
        <v>54</v>
      </c>
      <c r="I30" s="7" t="s">
        <v>57</v>
      </c>
      <c r="J30" s="7" t="s">
        <v>56</v>
      </c>
      <c r="K30" s="7" t="s">
        <v>55</v>
      </c>
      <c r="L30" s="7"/>
      <c r="M30" s="7"/>
      <c r="N30" s="7" t="str">
        <f aca="false">IFERROR(INDEX(H30:K30,MATCH(L30,{"A","B","C","D"},0)),"")</f>
        <v/>
      </c>
      <c r="O30" s="7" t="str">
        <f aca="false">IFERROR(INDEX(H30:K30,MATCH(M30,{"A","B","C","D"},0)),"")</f>
        <v/>
      </c>
    </row>
    <row r="31" customFormat="false" ht="23.85" hidden="false" customHeight="false" outlineLevel="0" collapsed="false">
      <c r="A31" s="7" t="n">
        <v>6</v>
      </c>
      <c r="B31" s="7" t="n">
        <v>5</v>
      </c>
      <c r="C31" s="8" t="s">
        <v>389</v>
      </c>
      <c r="D31" s="8" t="s">
        <v>368</v>
      </c>
      <c r="E31" s="8" t="s">
        <v>370</v>
      </c>
      <c r="F31" s="8" t="s">
        <v>369</v>
      </c>
      <c r="G31" s="8" t="s">
        <v>286</v>
      </c>
      <c r="H31" s="7" t="s">
        <v>57</v>
      </c>
      <c r="I31" s="7" t="s">
        <v>55</v>
      </c>
      <c r="J31" s="7" t="s">
        <v>56</v>
      </c>
      <c r="K31" s="7" t="s">
        <v>54</v>
      </c>
      <c r="L31" s="7"/>
      <c r="M31" s="7"/>
      <c r="N31" s="7" t="str">
        <f aca="false">IFERROR(INDEX(H31:K31,MATCH(L31,{"A","B","C","D"},0)),"")</f>
        <v/>
      </c>
      <c r="O31" s="7" t="str">
        <f aca="false">IFERROR(INDEX(H31:K31,MATCH(M31,{"A","B","C","D"},0)),"")</f>
        <v/>
      </c>
    </row>
    <row r="32" customFormat="false" ht="23.85" hidden="false" customHeight="false" outlineLevel="0" collapsed="false">
      <c r="A32" s="5" t="n">
        <v>7</v>
      </c>
      <c r="B32" s="5" t="n">
        <v>1</v>
      </c>
      <c r="C32" s="6" t="s">
        <v>390</v>
      </c>
      <c r="D32" s="6" t="s">
        <v>331</v>
      </c>
      <c r="E32" s="6" t="s">
        <v>330</v>
      </c>
      <c r="F32" s="6" t="s">
        <v>329</v>
      </c>
      <c r="G32" s="6" t="s">
        <v>328</v>
      </c>
      <c r="H32" s="5" t="s">
        <v>55</v>
      </c>
      <c r="I32" s="5" t="s">
        <v>56</v>
      </c>
      <c r="J32" s="5" t="s">
        <v>54</v>
      </c>
      <c r="K32" s="5" t="s">
        <v>57</v>
      </c>
      <c r="L32" s="5"/>
      <c r="M32" s="5"/>
      <c r="N32" s="5" t="str">
        <f aca="false">IFERROR(INDEX(H32:K32,MATCH(L32,{"A","B","C","D"},0)),"")</f>
        <v/>
      </c>
      <c r="O32" s="5" t="str">
        <f aca="false">IFERROR(INDEX(H32:K32,MATCH(M32,{"A","B","C","D"},0)),"")</f>
        <v/>
      </c>
    </row>
    <row r="33" customFormat="false" ht="23.85" hidden="false" customHeight="false" outlineLevel="0" collapsed="false">
      <c r="A33" s="5" t="n">
        <v>7</v>
      </c>
      <c r="B33" s="5" t="n">
        <v>2</v>
      </c>
      <c r="C33" s="6" t="s">
        <v>391</v>
      </c>
      <c r="D33" s="6" t="s">
        <v>333</v>
      </c>
      <c r="E33" s="6" t="s">
        <v>336</v>
      </c>
      <c r="F33" s="6" t="s">
        <v>334</v>
      </c>
      <c r="G33" s="6" t="s">
        <v>335</v>
      </c>
      <c r="H33" s="5" t="s">
        <v>55</v>
      </c>
      <c r="I33" s="5" t="s">
        <v>56</v>
      </c>
      <c r="J33" s="5" t="s">
        <v>54</v>
      </c>
      <c r="K33" s="5" t="s">
        <v>57</v>
      </c>
      <c r="L33" s="5"/>
      <c r="M33" s="5"/>
      <c r="N33" s="5" t="str">
        <f aca="false">IFERROR(INDEX(H33:K33,MATCH(L33,{"A","B","C","D"},0)),"")</f>
        <v/>
      </c>
      <c r="O33" s="5" t="str">
        <f aca="false">IFERROR(INDEX(H33:K33,MATCH(M33,{"A","B","C","D"},0)),"")</f>
        <v/>
      </c>
    </row>
    <row r="34" customFormat="false" ht="23.85" hidden="false" customHeight="false" outlineLevel="0" collapsed="false">
      <c r="A34" s="5" t="n">
        <v>7</v>
      </c>
      <c r="B34" s="5" t="n">
        <v>3</v>
      </c>
      <c r="C34" s="6" t="s">
        <v>309</v>
      </c>
      <c r="D34" s="6" t="s">
        <v>339</v>
      </c>
      <c r="E34" s="6" t="s">
        <v>250</v>
      </c>
      <c r="F34" s="6" t="s">
        <v>249</v>
      </c>
      <c r="G34" s="6" t="s">
        <v>338</v>
      </c>
      <c r="H34" s="5" t="s">
        <v>54</v>
      </c>
      <c r="I34" s="5" t="s">
        <v>57</v>
      </c>
      <c r="J34" s="5" t="s">
        <v>56</v>
      </c>
      <c r="K34" s="5" t="s">
        <v>55</v>
      </c>
      <c r="L34" s="5"/>
      <c r="M34" s="5"/>
      <c r="N34" s="5" t="str">
        <f aca="false">IFERROR(INDEX(H34:K34,MATCH(L34,{"A","B","C","D"},0)),"")</f>
        <v/>
      </c>
      <c r="O34" s="5" t="str">
        <f aca="false">IFERROR(INDEX(H34:K34,MATCH(M34,{"A","B","C","D"},0)),"")</f>
        <v/>
      </c>
    </row>
    <row r="35" customFormat="false" ht="23.85" hidden="false" customHeight="false" outlineLevel="0" collapsed="false">
      <c r="A35" s="5" t="n">
        <v>7</v>
      </c>
      <c r="B35" s="5" t="n">
        <v>4</v>
      </c>
      <c r="C35" s="6" t="s">
        <v>310</v>
      </c>
      <c r="D35" s="6" t="s">
        <v>341</v>
      </c>
      <c r="E35" s="6" t="s">
        <v>343</v>
      </c>
      <c r="F35" s="6" t="s">
        <v>342</v>
      </c>
      <c r="G35" s="6" t="s">
        <v>344</v>
      </c>
      <c r="H35" s="5" t="s">
        <v>55</v>
      </c>
      <c r="I35" s="5" t="s">
        <v>56</v>
      </c>
      <c r="J35" s="5" t="s">
        <v>57</v>
      </c>
      <c r="K35" s="5" t="s">
        <v>54</v>
      </c>
      <c r="L35" s="5"/>
      <c r="M35" s="5"/>
      <c r="N35" s="5" t="str">
        <f aca="false">IFERROR(INDEX(H35:K35,MATCH(L35,{"A","B","C","D"},0)),"")</f>
        <v/>
      </c>
      <c r="O35" s="5" t="str">
        <f aca="false">IFERROR(INDEX(H35:K35,MATCH(M35,{"A","B","C","D"},0)),"")</f>
        <v/>
      </c>
    </row>
    <row r="36" customFormat="false" ht="23.85" hidden="false" customHeight="false" outlineLevel="0" collapsed="false">
      <c r="A36" s="5" t="n">
        <v>7</v>
      </c>
      <c r="B36" s="5" t="n">
        <v>5</v>
      </c>
      <c r="C36" s="6" t="s">
        <v>392</v>
      </c>
      <c r="D36" s="6" t="s">
        <v>348</v>
      </c>
      <c r="E36" s="6" t="s">
        <v>347</v>
      </c>
      <c r="F36" s="6" t="s">
        <v>262</v>
      </c>
      <c r="G36" s="6" t="s">
        <v>346</v>
      </c>
      <c r="H36" s="5" t="s">
        <v>56</v>
      </c>
      <c r="I36" s="5" t="s">
        <v>55</v>
      </c>
      <c r="J36" s="5" t="s">
        <v>57</v>
      </c>
      <c r="K36" s="5" t="s">
        <v>54</v>
      </c>
      <c r="L36" s="5"/>
      <c r="M36" s="5"/>
      <c r="N36" s="5" t="str">
        <f aca="false">IFERROR(INDEX(H36:K36,MATCH(L36,{"A","B","C","D"},0)),"")</f>
        <v/>
      </c>
      <c r="O36" s="5" t="str">
        <f aca="false">IFERROR(INDEX(H36:K36,MATCH(M36,{"A","B","C","D"},0)),"")</f>
        <v/>
      </c>
    </row>
    <row r="37" customFormat="false" ht="23.85" hidden="false" customHeight="false" outlineLevel="0" collapsed="false">
      <c r="A37" s="7" t="n">
        <v>8</v>
      </c>
      <c r="B37" s="7" t="n">
        <v>1</v>
      </c>
      <c r="C37" s="8" t="s">
        <v>393</v>
      </c>
      <c r="D37" s="8" t="s">
        <v>351</v>
      </c>
      <c r="E37" s="8" t="s">
        <v>350</v>
      </c>
      <c r="F37" s="8" t="s">
        <v>352</v>
      </c>
      <c r="G37" s="8" t="s">
        <v>265</v>
      </c>
      <c r="H37" s="7" t="s">
        <v>55</v>
      </c>
      <c r="I37" s="7" t="s">
        <v>56</v>
      </c>
      <c r="J37" s="7" t="s">
        <v>57</v>
      </c>
      <c r="K37" s="7" t="s">
        <v>54</v>
      </c>
      <c r="L37" s="7"/>
      <c r="M37" s="7"/>
      <c r="N37" s="7" t="str">
        <f aca="false">IFERROR(INDEX(H37:K37,MATCH(L37,{"A","B","C","D"},0)),"")</f>
        <v/>
      </c>
      <c r="O37" s="7" t="str">
        <f aca="false">IFERROR(INDEX(H37:K37,MATCH(M37,{"A","B","C","D"},0)),"")</f>
        <v/>
      </c>
    </row>
    <row r="38" customFormat="false" ht="23.85" hidden="false" customHeight="false" outlineLevel="0" collapsed="false">
      <c r="A38" s="7" t="n">
        <v>8</v>
      </c>
      <c r="B38" s="7" t="n">
        <v>2</v>
      </c>
      <c r="C38" s="8" t="s">
        <v>313</v>
      </c>
      <c r="D38" s="8" t="s">
        <v>354</v>
      </c>
      <c r="E38" s="8" t="s">
        <v>357</v>
      </c>
      <c r="F38" s="8" t="s">
        <v>356</v>
      </c>
      <c r="G38" s="8" t="s">
        <v>355</v>
      </c>
      <c r="H38" s="7" t="s">
        <v>55</v>
      </c>
      <c r="I38" s="7" t="s">
        <v>54</v>
      </c>
      <c r="J38" s="7" t="s">
        <v>56</v>
      </c>
      <c r="K38" s="7" t="s">
        <v>57</v>
      </c>
      <c r="L38" s="7"/>
      <c r="M38" s="7"/>
      <c r="N38" s="7" t="str">
        <f aca="false">IFERROR(INDEX(H38:K38,MATCH(L38,{"A","B","C","D"},0)),"")</f>
        <v/>
      </c>
      <c r="O38" s="7" t="str">
        <f aca="false">IFERROR(INDEX(H38:K38,MATCH(M38,{"A","B","C","D"},0)),"")</f>
        <v/>
      </c>
    </row>
    <row r="39" customFormat="false" ht="23.85" hidden="false" customHeight="false" outlineLevel="0" collapsed="false">
      <c r="A39" s="7" t="n">
        <v>8</v>
      </c>
      <c r="B39" s="7" t="n">
        <v>3</v>
      </c>
      <c r="C39" s="8" t="s">
        <v>394</v>
      </c>
      <c r="D39" s="8" t="s">
        <v>185</v>
      </c>
      <c r="E39" s="8" t="s">
        <v>359</v>
      </c>
      <c r="F39" s="8" t="s">
        <v>360</v>
      </c>
      <c r="G39" s="8" t="s">
        <v>361</v>
      </c>
      <c r="H39" s="7" t="s">
        <v>55</v>
      </c>
      <c r="I39" s="7" t="s">
        <v>56</v>
      </c>
      <c r="J39" s="7" t="s">
        <v>57</v>
      </c>
      <c r="K39" s="7" t="s">
        <v>54</v>
      </c>
      <c r="L39" s="7"/>
      <c r="M39" s="7"/>
      <c r="N39" s="7" t="str">
        <f aca="false">IFERROR(INDEX(H39:K39,MATCH(L39,{"A","B","C","D"},0)),"")</f>
        <v/>
      </c>
      <c r="O39" s="7" t="str">
        <f aca="false">IFERROR(INDEX(H39:K39,MATCH(M39,{"A","B","C","D"},0)),"")</f>
        <v/>
      </c>
    </row>
    <row r="40" customFormat="false" ht="23.85" hidden="false" customHeight="false" outlineLevel="0" collapsed="false">
      <c r="A40" s="7" t="n">
        <v>8</v>
      </c>
      <c r="B40" s="7" t="n">
        <v>4</v>
      </c>
      <c r="C40" s="8" t="s">
        <v>395</v>
      </c>
      <c r="D40" s="8" t="s">
        <v>364</v>
      </c>
      <c r="E40" s="8" t="s">
        <v>366</v>
      </c>
      <c r="F40" s="8" t="s">
        <v>363</v>
      </c>
      <c r="G40" s="8" t="s">
        <v>365</v>
      </c>
      <c r="H40" s="7" t="s">
        <v>55</v>
      </c>
      <c r="I40" s="7" t="s">
        <v>56</v>
      </c>
      <c r="J40" s="7" t="s">
        <v>54</v>
      </c>
      <c r="K40" s="7" t="s">
        <v>57</v>
      </c>
      <c r="L40" s="7"/>
      <c r="M40" s="7"/>
      <c r="N40" s="7" t="str">
        <f aca="false">IFERROR(INDEX(H40:K40,MATCH(L40,{"A","B","C","D"},0)),"")</f>
        <v/>
      </c>
      <c r="O40" s="7" t="str">
        <f aca="false">IFERROR(INDEX(H40:K40,MATCH(M40,{"A","B","C","D"},0)),"")</f>
        <v/>
      </c>
    </row>
    <row r="41" customFormat="false" ht="23.85" hidden="false" customHeight="false" outlineLevel="0" collapsed="false">
      <c r="A41" s="7" t="n">
        <v>8</v>
      </c>
      <c r="B41" s="7" t="n">
        <v>5</v>
      </c>
      <c r="C41" s="8" t="s">
        <v>396</v>
      </c>
      <c r="D41" s="8" t="s">
        <v>370</v>
      </c>
      <c r="E41" s="8" t="s">
        <v>368</v>
      </c>
      <c r="F41" s="8" t="s">
        <v>369</v>
      </c>
      <c r="G41" s="8" t="s">
        <v>286</v>
      </c>
      <c r="H41" s="7" t="s">
        <v>55</v>
      </c>
      <c r="I41" s="7" t="s">
        <v>57</v>
      </c>
      <c r="J41" s="7" t="s">
        <v>56</v>
      </c>
      <c r="K41" s="7" t="s">
        <v>54</v>
      </c>
      <c r="L41" s="7"/>
      <c r="M41" s="7"/>
      <c r="N41" s="7" t="str">
        <f aca="false">IFERROR(INDEX(H41:K41,MATCH(L41,{"A","B","C","D"},0)),"")</f>
        <v/>
      </c>
      <c r="O41" s="7" t="str">
        <f aca="false">IFERROR(INDEX(H41:K41,MATCH(M41,{"A","B","C","D"},0)),"")</f>
        <v/>
      </c>
    </row>
    <row r="42" customFormat="false" ht="23.85" hidden="false" customHeight="false" outlineLevel="0" collapsed="false">
      <c r="A42" s="5" t="n">
        <v>9</v>
      </c>
      <c r="B42" s="5" t="n">
        <v>1</v>
      </c>
      <c r="C42" s="6" t="s">
        <v>397</v>
      </c>
      <c r="D42" s="6" t="s">
        <v>328</v>
      </c>
      <c r="E42" s="6" t="s">
        <v>329</v>
      </c>
      <c r="F42" s="6" t="s">
        <v>330</v>
      </c>
      <c r="G42" s="6" t="s">
        <v>331</v>
      </c>
      <c r="H42" s="5" t="s">
        <v>57</v>
      </c>
      <c r="I42" s="5" t="s">
        <v>54</v>
      </c>
      <c r="J42" s="5" t="s">
        <v>56</v>
      </c>
      <c r="K42" s="5" t="s">
        <v>55</v>
      </c>
      <c r="L42" s="5"/>
      <c r="M42" s="5"/>
      <c r="N42" s="5" t="str">
        <f aca="false">IFERROR(INDEX(H42:K42,MATCH(L42,{"A","B","C","D"},0)),"")</f>
        <v/>
      </c>
      <c r="O42" s="5" t="str">
        <f aca="false">IFERROR(INDEX(H42:K42,MATCH(M42,{"A","B","C","D"},0)),"")</f>
        <v/>
      </c>
    </row>
    <row r="43" customFormat="false" ht="23.85" hidden="false" customHeight="false" outlineLevel="0" collapsed="false">
      <c r="A43" s="5" t="n">
        <v>9</v>
      </c>
      <c r="B43" s="5" t="n">
        <v>2</v>
      </c>
      <c r="C43" s="6" t="s">
        <v>398</v>
      </c>
      <c r="D43" s="6" t="s">
        <v>334</v>
      </c>
      <c r="E43" s="6" t="s">
        <v>335</v>
      </c>
      <c r="F43" s="6" t="s">
        <v>336</v>
      </c>
      <c r="G43" s="6" t="s">
        <v>333</v>
      </c>
      <c r="H43" s="5" t="s">
        <v>54</v>
      </c>
      <c r="I43" s="5" t="s">
        <v>57</v>
      </c>
      <c r="J43" s="5" t="s">
        <v>56</v>
      </c>
      <c r="K43" s="5" t="s">
        <v>55</v>
      </c>
      <c r="L43" s="5"/>
      <c r="M43" s="5"/>
      <c r="N43" s="5" t="str">
        <f aca="false">IFERROR(INDEX(H43:K43,MATCH(L43,{"A","B","C","D"},0)),"")</f>
        <v/>
      </c>
      <c r="O43" s="5" t="str">
        <f aca="false">IFERROR(INDEX(H43:K43,MATCH(M43,{"A","B","C","D"},0)),"")</f>
        <v/>
      </c>
    </row>
    <row r="44" customFormat="false" ht="23.85" hidden="false" customHeight="false" outlineLevel="0" collapsed="false">
      <c r="A44" s="5" t="n">
        <v>9</v>
      </c>
      <c r="B44" s="5" t="n">
        <v>3</v>
      </c>
      <c r="C44" s="6" t="s">
        <v>399</v>
      </c>
      <c r="D44" s="6" t="s">
        <v>249</v>
      </c>
      <c r="E44" s="6" t="s">
        <v>250</v>
      </c>
      <c r="F44" s="6" t="s">
        <v>339</v>
      </c>
      <c r="G44" s="6" t="s">
        <v>338</v>
      </c>
      <c r="H44" s="5" t="s">
        <v>56</v>
      </c>
      <c r="I44" s="5" t="s">
        <v>57</v>
      </c>
      <c r="J44" s="5" t="s">
        <v>54</v>
      </c>
      <c r="K44" s="5" t="s">
        <v>55</v>
      </c>
      <c r="L44" s="5"/>
      <c r="M44" s="5"/>
      <c r="N44" s="5" t="str">
        <f aca="false">IFERROR(INDEX(H44:K44,MATCH(L44,{"A","B","C","D"},0)),"")</f>
        <v/>
      </c>
      <c r="O44" s="5" t="str">
        <f aca="false">IFERROR(INDEX(H44:K44,MATCH(M44,{"A","B","C","D"},0)),"")</f>
        <v/>
      </c>
    </row>
    <row r="45" customFormat="false" ht="23.85" hidden="false" customHeight="false" outlineLevel="0" collapsed="false">
      <c r="A45" s="5" t="n">
        <v>9</v>
      </c>
      <c r="B45" s="5" t="n">
        <v>4</v>
      </c>
      <c r="C45" s="6" t="s">
        <v>400</v>
      </c>
      <c r="D45" s="6" t="s">
        <v>343</v>
      </c>
      <c r="E45" s="6" t="s">
        <v>344</v>
      </c>
      <c r="F45" s="6" t="s">
        <v>341</v>
      </c>
      <c r="G45" s="6" t="s">
        <v>342</v>
      </c>
      <c r="H45" s="5" t="s">
        <v>56</v>
      </c>
      <c r="I45" s="5" t="s">
        <v>54</v>
      </c>
      <c r="J45" s="5" t="s">
        <v>55</v>
      </c>
      <c r="K45" s="5" t="s">
        <v>57</v>
      </c>
      <c r="L45" s="5"/>
      <c r="M45" s="5"/>
      <c r="N45" s="5" t="str">
        <f aca="false">IFERROR(INDEX(H45:K45,MATCH(L45,{"A","B","C","D"},0)),"")</f>
        <v/>
      </c>
      <c r="O45" s="5" t="str">
        <f aca="false">IFERROR(INDEX(H45:K45,MATCH(M45,{"A","B","C","D"},0)),"")</f>
        <v/>
      </c>
    </row>
    <row r="46" customFormat="false" ht="23.85" hidden="false" customHeight="false" outlineLevel="0" collapsed="false">
      <c r="A46" s="5" t="n">
        <v>9</v>
      </c>
      <c r="B46" s="5" t="n">
        <v>5</v>
      </c>
      <c r="C46" s="6" t="s">
        <v>321</v>
      </c>
      <c r="D46" s="6" t="s">
        <v>347</v>
      </c>
      <c r="E46" s="6" t="s">
        <v>348</v>
      </c>
      <c r="F46" s="6" t="s">
        <v>346</v>
      </c>
      <c r="G46" s="6" t="s">
        <v>262</v>
      </c>
      <c r="H46" s="5" t="s">
        <v>55</v>
      </c>
      <c r="I46" s="5" t="s">
        <v>56</v>
      </c>
      <c r="J46" s="5" t="s">
        <v>54</v>
      </c>
      <c r="K46" s="5" t="s">
        <v>57</v>
      </c>
      <c r="L46" s="5"/>
      <c r="M46" s="5"/>
      <c r="N46" s="5" t="str">
        <f aca="false">IFERROR(INDEX(H46:K46,MATCH(L46,{"A","B","C","D"},0)),"")</f>
        <v/>
      </c>
      <c r="O46" s="5" t="str">
        <f aca="false">IFERROR(INDEX(H46:K46,MATCH(M46,{"A","B","C","D"},0)),"")</f>
        <v/>
      </c>
    </row>
    <row r="47" customFormat="false" ht="23.85" hidden="false" customHeight="false" outlineLevel="0" collapsed="false">
      <c r="A47" s="7" t="n">
        <v>10</v>
      </c>
      <c r="B47" s="7" t="n">
        <v>1</v>
      </c>
      <c r="C47" s="8" t="s">
        <v>401</v>
      </c>
      <c r="D47" s="8" t="s">
        <v>351</v>
      </c>
      <c r="E47" s="8" t="s">
        <v>352</v>
      </c>
      <c r="F47" s="8" t="s">
        <v>350</v>
      </c>
      <c r="G47" s="8" t="s">
        <v>265</v>
      </c>
      <c r="H47" s="7" t="s">
        <v>55</v>
      </c>
      <c r="I47" s="7" t="s">
        <v>57</v>
      </c>
      <c r="J47" s="7" t="s">
        <v>56</v>
      </c>
      <c r="K47" s="7" t="s">
        <v>54</v>
      </c>
      <c r="L47" s="7"/>
      <c r="M47" s="7"/>
      <c r="N47" s="7" t="str">
        <f aca="false">IFERROR(INDEX(H47:K47,MATCH(L47,{"A","B","C","D"},0)),"")</f>
        <v/>
      </c>
      <c r="O47" s="7" t="str">
        <f aca="false">IFERROR(INDEX(H47:K47,MATCH(M47,{"A","B","C","D"},0)),"")</f>
        <v/>
      </c>
    </row>
    <row r="48" customFormat="false" ht="23.85" hidden="false" customHeight="false" outlineLevel="0" collapsed="false">
      <c r="A48" s="7" t="n">
        <v>10</v>
      </c>
      <c r="B48" s="7" t="n">
        <v>2</v>
      </c>
      <c r="C48" s="8" t="s">
        <v>402</v>
      </c>
      <c r="D48" s="8" t="s">
        <v>354</v>
      </c>
      <c r="E48" s="8" t="s">
        <v>356</v>
      </c>
      <c r="F48" s="8" t="s">
        <v>355</v>
      </c>
      <c r="G48" s="8" t="s">
        <v>357</v>
      </c>
      <c r="H48" s="7" t="s">
        <v>55</v>
      </c>
      <c r="I48" s="7" t="s">
        <v>56</v>
      </c>
      <c r="J48" s="7" t="s">
        <v>57</v>
      </c>
      <c r="K48" s="7" t="s">
        <v>54</v>
      </c>
      <c r="L48" s="7"/>
      <c r="M48" s="7"/>
      <c r="N48" s="7" t="str">
        <f aca="false">IFERROR(INDEX(H48:K48,MATCH(L48,{"A","B","C","D"},0)),"")</f>
        <v/>
      </c>
      <c r="O48" s="7" t="str">
        <f aca="false">IFERROR(INDEX(H48:K48,MATCH(M48,{"A","B","C","D"},0)),"")</f>
        <v/>
      </c>
    </row>
    <row r="49" customFormat="false" ht="35.05" hidden="false" customHeight="false" outlineLevel="0" collapsed="false">
      <c r="A49" s="7" t="n">
        <v>10</v>
      </c>
      <c r="B49" s="7" t="n">
        <v>3</v>
      </c>
      <c r="C49" s="8" t="s">
        <v>403</v>
      </c>
      <c r="D49" s="8" t="s">
        <v>359</v>
      </c>
      <c r="E49" s="8" t="s">
        <v>360</v>
      </c>
      <c r="F49" s="8" t="s">
        <v>185</v>
      </c>
      <c r="G49" s="8" t="s">
        <v>361</v>
      </c>
      <c r="H49" s="7" t="s">
        <v>56</v>
      </c>
      <c r="I49" s="7" t="s">
        <v>57</v>
      </c>
      <c r="J49" s="7" t="s">
        <v>55</v>
      </c>
      <c r="K49" s="7" t="s">
        <v>54</v>
      </c>
      <c r="L49" s="7"/>
      <c r="M49" s="7"/>
      <c r="N49" s="7" t="str">
        <f aca="false">IFERROR(INDEX(H49:K49,MATCH(L49,{"A","B","C","D"},0)),"")</f>
        <v/>
      </c>
      <c r="O49" s="7" t="str">
        <f aca="false">IFERROR(INDEX(H49:K49,MATCH(M49,{"A","B","C","D"},0)),"")</f>
        <v/>
      </c>
    </row>
    <row r="50" customFormat="false" ht="23.85" hidden="false" customHeight="false" outlineLevel="0" collapsed="false">
      <c r="A50" s="7" t="n">
        <v>10</v>
      </c>
      <c r="B50" s="7" t="n">
        <v>4</v>
      </c>
      <c r="C50" s="8" t="s">
        <v>404</v>
      </c>
      <c r="D50" s="8" t="s">
        <v>363</v>
      </c>
      <c r="E50" s="8" t="s">
        <v>364</v>
      </c>
      <c r="F50" s="8" t="s">
        <v>365</v>
      </c>
      <c r="G50" s="8" t="s">
        <v>366</v>
      </c>
      <c r="H50" s="7" t="s">
        <v>54</v>
      </c>
      <c r="I50" s="7" t="s">
        <v>55</v>
      </c>
      <c r="J50" s="7" t="s">
        <v>57</v>
      </c>
      <c r="K50" s="7" t="s">
        <v>56</v>
      </c>
      <c r="L50" s="7"/>
      <c r="M50" s="7"/>
      <c r="N50" s="7" t="str">
        <f aca="false">IFERROR(INDEX(H50:K50,MATCH(L50,{"A","B","C","D"},0)),"")</f>
        <v/>
      </c>
      <c r="O50" s="7" t="str">
        <f aca="false">IFERROR(INDEX(H50:K50,MATCH(M50,{"A","B","C","D"},0)),"")</f>
        <v/>
      </c>
    </row>
    <row r="51" customFormat="false" ht="23.85" hidden="false" customHeight="false" outlineLevel="0" collapsed="false">
      <c r="A51" s="7" t="n">
        <v>10</v>
      </c>
      <c r="B51" s="7" t="n">
        <v>5</v>
      </c>
      <c r="C51" s="8" t="s">
        <v>405</v>
      </c>
      <c r="D51" s="8" t="s">
        <v>286</v>
      </c>
      <c r="E51" s="8" t="s">
        <v>370</v>
      </c>
      <c r="F51" s="8" t="s">
        <v>369</v>
      </c>
      <c r="G51" s="8" t="s">
        <v>368</v>
      </c>
      <c r="H51" s="7" t="s">
        <v>54</v>
      </c>
      <c r="I51" s="7" t="s">
        <v>55</v>
      </c>
      <c r="J51" s="7" t="s">
        <v>56</v>
      </c>
      <c r="K51" s="7" t="s">
        <v>57</v>
      </c>
      <c r="L51" s="7"/>
      <c r="M51" s="7"/>
      <c r="N51" s="7" t="str">
        <f aca="false">IFERROR(INDEX(H51:K51,MATCH(L51,{"A","B","C","D"},0)),"")</f>
        <v/>
      </c>
      <c r="O51" s="7" t="str">
        <f aca="false">IFERROR(INDEX(H51:K51,MATCH(M51,{"A","B","C","D"},0)),"")</f>
        <v/>
      </c>
    </row>
    <row r="54" customFormat="false" ht="15" hidden="false" customHeight="false" outlineLevel="0" collapsed="false">
      <c r="A54" s="9" t="s">
        <v>143</v>
      </c>
      <c r="B54" s="9"/>
      <c r="C54" s="9"/>
      <c r="D54" s="9"/>
      <c r="E54" s="9"/>
      <c r="F54" s="9"/>
    </row>
    <row r="55" customFormat="false" ht="46.25" hidden="false" customHeight="false" outlineLevel="0" collapsed="false">
      <c r="A55" s="10" t="s">
        <v>34</v>
      </c>
      <c r="B55" s="10" t="s">
        <v>144</v>
      </c>
      <c r="C55" s="10" t="s">
        <v>145</v>
      </c>
      <c r="D55" s="10" t="s">
        <v>146</v>
      </c>
      <c r="E55" s="10" t="s">
        <v>147</v>
      </c>
      <c r="F55" s="10" t="s">
        <v>148</v>
      </c>
    </row>
    <row r="56" customFormat="false" ht="15" hidden="false" customHeight="false" outlineLevel="0" collapsed="false">
      <c r="A56" s="11" t="n">
        <v>1</v>
      </c>
      <c r="B56" s="12" t="n">
        <f aca="false">SUMPRODUCT(($A$2:$A$51=$A56)*($N$2:$N$51="ST"))-SUMPRODUCT(($A$2:$A$51=$A56)*($O$2:$O$51="ST"))</f>
        <v>0</v>
      </c>
      <c r="C56" s="12" t="n">
        <f aca="false">SUMPRODUCT(($A$2:$A$51=$A56)*($N$2:$N$51="RB"))-SUMPRODUCT(($A$2:$A$51=$A56)*($O$2:$O$51="RB"))</f>
        <v>0</v>
      </c>
      <c r="D56" s="12" t="n">
        <f aca="false">SUMPRODUCT(($A$2:$A$51=$A56)*($N$2:$N$51="IN"))-SUMPRODUCT(($A$2:$A$51=$A56)*($O$2:$O$51="IN"))</f>
        <v>0</v>
      </c>
      <c r="E56" s="12" t="n">
        <f aca="false">SUMPRODUCT(($A$2:$A$51=$A56)*($N$2:$N$51="EX"))-SUMPRODUCT(($A$2:$A$51=$A56)*($O$2:$O$51="EX"))</f>
        <v>0</v>
      </c>
      <c r="F56" s="12" t="str">
        <f aca="false">IF(COUNT(B56:E56)=0,"",INDEX({"Strategic Thinking";"Relationship Building";"Influencing";"Executing"},MATCH(MAX(B56:E56),B56:E56,0)))</f>
        <v>Strategic Thinking</v>
      </c>
    </row>
    <row r="57" customFormat="false" ht="15" hidden="false" customHeight="false" outlineLevel="0" collapsed="false">
      <c r="A57" s="11" t="n">
        <v>2</v>
      </c>
      <c r="B57" s="12" t="n">
        <f aca="false">SUMPRODUCT(($A$2:$A$51=$A57)*($N$2:$N$51="ST"))-SUMPRODUCT(($A$2:$A$51=$A57)*($O$2:$O$51="ST"))</f>
        <v>0</v>
      </c>
      <c r="C57" s="12" t="n">
        <f aca="false">SUMPRODUCT(($A$2:$A$51=$A57)*($N$2:$N$51="RB"))-SUMPRODUCT(($A$2:$A$51=$A57)*($O$2:$O$51="RB"))</f>
        <v>0</v>
      </c>
      <c r="D57" s="12" t="n">
        <f aca="false">SUMPRODUCT(($A$2:$A$51=$A57)*($N$2:$N$51="IN"))-SUMPRODUCT(($A$2:$A$51=$A57)*($O$2:$O$51="IN"))</f>
        <v>0</v>
      </c>
      <c r="E57" s="12" t="n">
        <f aca="false">SUMPRODUCT(($A$2:$A$51=$A57)*($N$2:$N$51="EX"))-SUMPRODUCT(($A$2:$A$51=$A57)*($O$2:$O$51="EX"))</f>
        <v>0</v>
      </c>
      <c r="F57" s="12" t="str">
        <f aca="false">IF(COUNT(B57:E57)=0,"",INDEX({"Strategic Thinking";"Relationship Building";"Influencing";"Executing"},MATCH(MAX(B57:E57),B57:E57,0)))</f>
        <v>Strategic Thinking</v>
      </c>
    </row>
    <row r="58" customFormat="false" ht="15" hidden="false" customHeight="false" outlineLevel="0" collapsed="false">
      <c r="A58" s="11" t="n">
        <v>3</v>
      </c>
      <c r="B58" s="12" t="n">
        <f aca="false">SUMPRODUCT(($A$2:$A$51=$A58)*($N$2:$N$51="ST"))-SUMPRODUCT(($A$2:$A$51=$A58)*($O$2:$O$51="ST"))</f>
        <v>0</v>
      </c>
      <c r="C58" s="12" t="n">
        <f aca="false">SUMPRODUCT(($A$2:$A$51=$A58)*($N$2:$N$51="RB"))-SUMPRODUCT(($A$2:$A$51=$A58)*($O$2:$O$51="RB"))</f>
        <v>0</v>
      </c>
      <c r="D58" s="12" t="n">
        <f aca="false">SUMPRODUCT(($A$2:$A$51=$A58)*($N$2:$N$51="IN"))-SUMPRODUCT(($A$2:$A$51=$A58)*($O$2:$O$51="IN"))</f>
        <v>0</v>
      </c>
      <c r="E58" s="12" t="n">
        <f aca="false">SUMPRODUCT(($A$2:$A$51=$A58)*($N$2:$N$51="EX"))-SUMPRODUCT(($A$2:$A$51=$A58)*($O$2:$O$51="EX"))</f>
        <v>0</v>
      </c>
      <c r="F58" s="12" t="str">
        <f aca="false">IF(COUNT(B58:E58)=0,"",INDEX({"Strategic Thinking";"Relationship Building";"Influencing";"Executing"},MATCH(MAX(B58:E58),B58:E58,0)))</f>
        <v>Strategic Thinking</v>
      </c>
    </row>
    <row r="59" customFormat="false" ht="15" hidden="false" customHeight="false" outlineLevel="0" collapsed="false">
      <c r="A59" s="11" t="n">
        <v>4</v>
      </c>
      <c r="B59" s="12" t="n">
        <f aca="false">SUMPRODUCT(($A$2:$A$51=$A59)*($N$2:$N$51="ST"))-SUMPRODUCT(($A$2:$A$51=$A59)*($O$2:$O$51="ST"))</f>
        <v>0</v>
      </c>
      <c r="C59" s="12" t="n">
        <f aca="false">SUMPRODUCT(($A$2:$A$51=$A59)*($N$2:$N$51="RB"))-SUMPRODUCT(($A$2:$A$51=$A59)*($O$2:$O$51="RB"))</f>
        <v>0</v>
      </c>
      <c r="D59" s="12" t="n">
        <f aca="false">SUMPRODUCT(($A$2:$A$51=$A59)*($N$2:$N$51="IN"))-SUMPRODUCT(($A$2:$A$51=$A59)*($O$2:$O$51="IN"))</f>
        <v>0</v>
      </c>
      <c r="E59" s="12" t="n">
        <f aca="false">SUMPRODUCT(($A$2:$A$51=$A59)*($N$2:$N$51="EX"))-SUMPRODUCT(($A$2:$A$51=$A59)*($O$2:$O$51="EX"))</f>
        <v>0</v>
      </c>
      <c r="F59" s="12" t="str">
        <f aca="false">IF(COUNT(B59:E59)=0,"",INDEX({"Strategic Thinking";"Relationship Building";"Influencing";"Executing"},MATCH(MAX(B59:E59),B59:E59,0)))</f>
        <v>Strategic Thinking</v>
      </c>
    </row>
    <row r="60" customFormat="false" ht="15" hidden="false" customHeight="false" outlineLevel="0" collapsed="false">
      <c r="A60" s="11" t="n">
        <v>5</v>
      </c>
      <c r="B60" s="12" t="n">
        <f aca="false">SUMPRODUCT(($A$2:$A$51=$A60)*($N$2:$N$51="ST"))-SUMPRODUCT(($A$2:$A$51=$A60)*($O$2:$O$51="ST"))</f>
        <v>0</v>
      </c>
      <c r="C60" s="12" t="n">
        <f aca="false">SUMPRODUCT(($A$2:$A$51=$A60)*($N$2:$N$51="RB"))-SUMPRODUCT(($A$2:$A$51=$A60)*($O$2:$O$51="RB"))</f>
        <v>0</v>
      </c>
      <c r="D60" s="12" t="n">
        <f aca="false">SUMPRODUCT(($A$2:$A$51=$A60)*($N$2:$N$51="IN"))-SUMPRODUCT(($A$2:$A$51=$A60)*($O$2:$O$51="IN"))</f>
        <v>0</v>
      </c>
      <c r="E60" s="12" t="n">
        <f aca="false">SUMPRODUCT(($A$2:$A$51=$A60)*($N$2:$N$51="EX"))-SUMPRODUCT(($A$2:$A$51=$A60)*($O$2:$O$51="EX"))</f>
        <v>0</v>
      </c>
      <c r="F60" s="12" t="str">
        <f aca="false">IF(COUNT(B60:E60)=0,"",INDEX({"Strategic Thinking";"Relationship Building";"Influencing";"Executing"},MATCH(MAX(B60:E60),B60:E60,0)))</f>
        <v>Strategic Thinking</v>
      </c>
    </row>
    <row r="61" customFormat="false" ht="15" hidden="false" customHeight="false" outlineLevel="0" collapsed="false">
      <c r="A61" s="11" t="n">
        <v>6</v>
      </c>
      <c r="B61" s="12" t="n">
        <f aca="false">SUMPRODUCT(($A$2:$A$51=$A61)*($N$2:$N$51="ST"))-SUMPRODUCT(($A$2:$A$51=$A61)*($O$2:$O$51="ST"))</f>
        <v>0</v>
      </c>
      <c r="C61" s="12" t="n">
        <f aca="false">SUMPRODUCT(($A$2:$A$51=$A61)*($N$2:$N$51="RB"))-SUMPRODUCT(($A$2:$A$51=$A61)*($O$2:$O$51="RB"))</f>
        <v>0</v>
      </c>
      <c r="D61" s="12" t="n">
        <f aca="false">SUMPRODUCT(($A$2:$A$51=$A61)*($N$2:$N$51="IN"))-SUMPRODUCT(($A$2:$A$51=$A61)*($O$2:$O$51="IN"))</f>
        <v>0</v>
      </c>
      <c r="E61" s="12" t="n">
        <f aca="false">SUMPRODUCT(($A$2:$A$51=$A61)*($N$2:$N$51="EX"))-SUMPRODUCT(($A$2:$A$51=$A61)*($O$2:$O$51="EX"))</f>
        <v>0</v>
      </c>
      <c r="F61" s="12" t="str">
        <f aca="false">IF(COUNT(B61:E61)=0,"",INDEX({"Strategic Thinking";"Relationship Building";"Influencing";"Executing"},MATCH(MAX(B61:E61),B61:E61,0)))</f>
        <v>Strategic Thinking</v>
      </c>
    </row>
    <row r="62" customFormat="false" ht="15" hidden="false" customHeight="false" outlineLevel="0" collapsed="false">
      <c r="A62" s="11" t="n">
        <v>7</v>
      </c>
      <c r="B62" s="12" t="n">
        <f aca="false">SUMPRODUCT(($A$2:$A$51=$A62)*($N$2:$N$51="ST"))-SUMPRODUCT(($A$2:$A$51=$A62)*($O$2:$O$51="ST"))</f>
        <v>0</v>
      </c>
      <c r="C62" s="12" t="n">
        <f aca="false">SUMPRODUCT(($A$2:$A$51=$A62)*($N$2:$N$51="RB"))-SUMPRODUCT(($A$2:$A$51=$A62)*($O$2:$O$51="RB"))</f>
        <v>0</v>
      </c>
      <c r="D62" s="12" t="n">
        <f aca="false">SUMPRODUCT(($A$2:$A$51=$A62)*($N$2:$N$51="IN"))-SUMPRODUCT(($A$2:$A$51=$A62)*($O$2:$O$51="IN"))</f>
        <v>0</v>
      </c>
      <c r="E62" s="12" t="n">
        <f aca="false">SUMPRODUCT(($A$2:$A$51=$A62)*($N$2:$N$51="EX"))-SUMPRODUCT(($A$2:$A$51=$A62)*($O$2:$O$51="EX"))</f>
        <v>0</v>
      </c>
      <c r="F62" s="12" t="str">
        <f aca="false">IF(COUNT(B62:E62)=0,"",INDEX({"Strategic Thinking";"Relationship Building";"Influencing";"Executing"},MATCH(MAX(B62:E62),B62:E62,0)))</f>
        <v>Strategic Thinking</v>
      </c>
    </row>
    <row r="63" customFormat="false" ht="15" hidden="false" customHeight="false" outlineLevel="0" collapsed="false">
      <c r="A63" s="11" t="n">
        <v>8</v>
      </c>
      <c r="B63" s="12" t="n">
        <f aca="false">SUMPRODUCT(($A$2:$A$51=$A63)*($N$2:$N$51="ST"))-SUMPRODUCT(($A$2:$A$51=$A63)*($O$2:$O$51="ST"))</f>
        <v>0</v>
      </c>
      <c r="C63" s="12" t="n">
        <f aca="false">SUMPRODUCT(($A$2:$A$51=$A63)*($N$2:$N$51="RB"))-SUMPRODUCT(($A$2:$A$51=$A63)*($O$2:$O$51="RB"))</f>
        <v>0</v>
      </c>
      <c r="D63" s="12" t="n">
        <f aca="false">SUMPRODUCT(($A$2:$A$51=$A63)*($N$2:$N$51="IN"))-SUMPRODUCT(($A$2:$A$51=$A63)*($O$2:$O$51="IN"))</f>
        <v>0</v>
      </c>
      <c r="E63" s="12" t="n">
        <f aca="false">SUMPRODUCT(($A$2:$A$51=$A63)*($N$2:$N$51="EX"))-SUMPRODUCT(($A$2:$A$51=$A63)*($O$2:$O$51="EX"))</f>
        <v>0</v>
      </c>
      <c r="F63" s="12" t="str">
        <f aca="false">IF(COUNT(B63:E63)=0,"",INDEX({"Strategic Thinking";"Relationship Building";"Influencing";"Executing"},MATCH(MAX(B63:E63),B63:E63,0)))</f>
        <v>Strategic Thinking</v>
      </c>
    </row>
    <row r="64" customFormat="false" ht="15" hidden="false" customHeight="false" outlineLevel="0" collapsed="false">
      <c r="A64" s="11" t="n">
        <v>9</v>
      </c>
      <c r="B64" s="12" t="n">
        <f aca="false">SUMPRODUCT(($A$2:$A$51=$A64)*($N$2:$N$51="ST"))-SUMPRODUCT(($A$2:$A$51=$A64)*($O$2:$O$51="ST"))</f>
        <v>0</v>
      </c>
      <c r="C64" s="12" t="n">
        <f aca="false">SUMPRODUCT(($A$2:$A$51=$A64)*($N$2:$N$51="RB"))-SUMPRODUCT(($A$2:$A$51=$A64)*($O$2:$O$51="RB"))</f>
        <v>0</v>
      </c>
      <c r="D64" s="12" t="n">
        <f aca="false">SUMPRODUCT(($A$2:$A$51=$A64)*($N$2:$N$51="IN"))-SUMPRODUCT(($A$2:$A$51=$A64)*($O$2:$O$51="IN"))</f>
        <v>0</v>
      </c>
      <c r="E64" s="12" t="n">
        <f aca="false">SUMPRODUCT(($A$2:$A$51=$A64)*($N$2:$N$51="EX"))-SUMPRODUCT(($A$2:$A$51=$A64)*($O$2:$O$51="EX"))</f>
        <v>0</v>
      </c>
      <c r="F64" s="12" t="str">
        <f aca="false">IF(COUNT(B64:E64)=0,"",INDEX({"Strategic Thinking";"Relationship Building";"Influencing";"Executing"},MATCH(MAX(B64:E64),B64:E64,0)))</f>
        <v>Strategic Thinking</v>
      </c>
    </row>
    <row r="65" customFormat="false" ht="15" hidden="false" customHeight="false" outlineLevel="0" collapsed="false">
      <c r="A65" s="11" t="n">
        <v>10</v>
      </c>
      <c r="B65" s="12" t="n">
        <f aca="false">SUMPRODUCT(($A$2:$A$51=$A65)*($N$2:$N$51="ST"))-SUMPRODUCT(($A$2:$A$51=$A65)*($O$2:$O$51="ST"))</f>
        <v>0</v>
      </c>
      <c r="C65" s="12" t="n">
        <f aca="false">SUMPRODUCT(($A$2:$A$51=$A65)*($N$2:$N$51="RB"))-SUMPRODUCT(($A$2:$A$51=$A65)*($O$2:$O$51="RB"))</f>
        <v>0</v>
      </c>
      <c r="D65" s="12" t="n">
        <f aca="false">SUMPRODUCT(($A$2:$A$51=$A65)*($N$2:$N$51="IN"))-SUMPRODUCT(($A$2:$A$51=$A65)*($O$2:$O$51="IN"))</f>
        <v>0</v>
      </c>
      <c r="E65" s="12" t="n">
        <f aca="false">SUMPRODUCT(($A$2:$A$51=$A65)*($N$2:$N$51="EX"))-SUMPRODUCT(($A$2:$A$51=$A65)*($O$2:$O$51="EX"))</f>
        <v>0</v>
      </c>
      <c r="F65" s="12" t="str">
        <f aca="false">IF(COUNT(B65:E65)=0,"",INDEX({"Strategic Thinking";"Relationship Building";"Influencing";"Executing"},MATCH(MAX(B65:E65),B65:E65,0)))</f>
        <v>Strategic Thinking</v>
      </c>
    </row>
  </sheetData>
  <mergeCells count="1">
    <mergeCell ref="A54:F54"/>
  </mergeCells>
  <dataValidations count="1">
    <dataValidation allowBlank="true" error="Enter A, B, C or D" errorStyle="stop" errorTitle="Invalid entry" operator="between" showDropDown="false" showErrorMessage="true" showInputMessage="false" sqref="L2:M5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7" min="4" style="0" width="30"/>
    <col collapsed="false" customWidth="true" hidden="false" outlineLevel="0" max="11" min="8" style="0" width="9"/>
    <col collapsed="false" customWidth="true" hidden="false" outlineLevel="0" max="13" min="12" style="0" width="11"/>
    <col collapsed="false" customWidth="true" hidden="false" outlineLevel="0" max="15" min="14" style="0" width="12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customFormat="false" ht="23.85" hidden="false" customHeight="false" outlineLevel="0" collapsed="false">
      <c r="A2" s="5" t="n">
        <v>1</v>
      </c>
      <c r="B2" s="5" t="n">
        <v>1</v>
      </c>
      <c r="C2" s="6" t="s">
        <v>406</v>
      </c>
      <c r="D2" s="6" t="s">
        <v>407</v>
      </c>
      <c r="E2" s="6" t="s">
        <v>330</v>
      </c>
      <c r="F2" s="6" t="s">
        <v>408</v>
      </c>
      <c r="G2" s="6" t="s">
        <v>409</v>
      </c>
      <c r="H2" s="5" t="s">
        <v>54</v>
      </c>
      <c r="I2" s="5" t="s">
        <v>56</v>
      </c>
      <c r="J2" s="5" t="s">
        <v>55</v>
      </c>
      <c r="K2" s="5" t="s">
        <v>57</v>
      </c>
      <c r="L2" s="5"/>
      <c r="M2" s="5"/>
      <c r="N2" s="5" t="str">
        <f aca="false">IFERROR(INDEX(H2:K2,MATCH(L2,{"A","B","C","D"},0)),"")</f>
        <v/>
      </c>
      <c r="O2" s="5" t="str">
        <f aca="false">IFERROR(INDEX(H2:K2,MATCH(M2,{"A","B","C","D"},0)),"")</f>
        <v/>
      </c>
    </row>
    <row r="3" customFormat="false" ht="23.85" hidden="false" customHeight="false" outlineLevel="0" collapsed="false">
      <c r="A3" s="5" t="n">
        <v>1</v>
      </c>
      <c r="B3" s="5" t="n">
        <v>2</v>
      </c>
      <c r="C3" s="6" t="s">
        <v>410</v>
      </c>
      <c r="D3" s="6" t="s">
        <v>411</v>
      </c>
      <c r="E3" s="6" t="s">
        <v>412</v>
      </c>
      <c r="F3" s="6" t="s">
        <v>413</v>
      </c>
      <c r="G3" s="6" t="s">
        <v>414</v>
      </c>
      <c r="H3" s="5" t="s">
        <v>56</v>
      </c>
      <c r="I3" s="5" t="s">
        <v>57</v>
      </c>
      <c r="J3" s="5" t="s">
        <v>55</v>
      </c>
      <c r="K3" s="5" t="s">
        <v>54</v>
      </c>
      <c r="L3" s="5"/>
      <c r="M3" s="5"/>
      <c r="N3" s="5" t="str">
        <f aca="false">IFERROR(INDEX(H3:K3,MATCH(L3,{"A","B","C","D"},0)),"")</f>
        <v/>
      </c>
      <c r="O3" s="5" t="str">
        <f aca="false">IFERROR(INDEX(H3:K3,MATCH(M3,{"A","B","C","D"},0)),"")</f>
        <v/>
      </c>
    </row>
    <row r="4" customFormat="false" ht="23.85" hidden="false" customHeight="false" outlineLevel="0" collapsed="false">
      <c r="A4" s="5" t="n">
        <v>1</v>
      </c>
      <c r="B4" s="5" t="n">
        <v>3</v>
      </c>
      <c r="C4" s="6" t="s">
        <v>415</v>
      </c>
      <c r="D4" s="6" t="s">
        <v>249</v>
      </c>
      <c r="E4" s="6" t="s">
        <v>416</v>
      </c>
      <c r="F4" s="6" t="s">
        <v>417</v>
      </c>
      <c r="G4" s="6" t="s">
        <v>418</v>
      </c>
      <c r="H4" s="5" t="s">
        <v>56</v>
      </c>
      <c r="I4" s="5" t="s">
        <v>55</v>
      </c>
      <c r="J4" s="5" t="s">
        <v>57</v>
      </c>
      <c r="K4" s="5" t="s">
        <v>54</v>
      </c>
      <c r="L4" s="5"/>
      <c r="M4" s="5"/>
      <c r="N4" s="5" t="str">
        <f aca="false">IFERROR(INDEX(H4:K4,MATCH(L4,{"A","B","C","D"},0)),"")</f>
        <v/>
      </c>
      <c r="O4" s="5" t="str">
        <f aca="false">IFERROR(INDEX(H4:K4,MATCH(M4,{"A","B","C","D"},0)),"")</f>
        <v/>
      </c>
    </row>
    <row r="5" customFormat="false" ht="23.85" hidden="false" customHeight="false" outlineLevel="0" collapsed="false">
      <c r="A5" s="5" t="n">
        <v>1</v>
      </c>
      <c r="B5" s="5" t="n">
        <v>4</v>
      </c>
      <c r="C5" s="6" t="s">
        <v>419</v>
      </c>
      <c r="D5" s="6" t="s">
        <v>420</v>
      </c>
      <c r="E5" s="6" t="s">
        <v>421</v>
      </c>
      <c r="F5" s="6" t="s">
        <v>422</v>
      </c>
      <c r="G5" s="6" t="s">
        <v>423</v>
      </c>
      <c r="H5" s="5" t="s">
        <v>57</v>
      </c>
      <c r="I5" s="5" t="s">
        <v>54</v>
      </c>
      <c r="J5" s="5" t="s">
        <v>56</v>
      </c>
      <c r="K5" s="5" t="s">
        <v>55</v>
      </c>
      <c r="L5" s="5"/>
      <c r="M5" s="5"/>
      <c r="N5" s="5" t="str">
        <f aca="false">IFERROR(INDEX(H5:K5,MATCH(L5,{"A","B","C","D"},0)),"")</f>
        <v/>
      </c>
      <c r="O5" s="5" t="str">
        <f aca="false">IFERROR(INDEX(H5:K5,MATCH(M5,{"A","B","C","D"},0)),"")</f>
        <v/>
      </c>
    </row>
    <row r="6" customFormat="false" ht="23.85" hidden="false" customHeight="false" outlineLevel="0" collapsed="false">
      <c r="A6" s="5" t="n">
        <v>1</v>
      </c>
      <c r="B6" s="5" t="n">
        <v>5</v>
      </c>
      <c r="C6" s="6" t="s">
        <v>424</v>
      </c>
      <c r="D6" s="6" t="s">
        <v>425</v>
      </c>
      <c r="E6" s="6" t="s">
        <v>426</v>
      </c>
      <c r="F6" s="6" t="s">
        <v>262</v>
      </c>
      <c r="G6" s="6" t="s">
        <v>427</v>
      </c>
      <c r="H6" s="5" t="s">
        <v>54</v>
      </c>
      <c r="I6" s="5" t="s">
        <v>55</v>
      </c>
      <c r="J6" s="5" t="s">
        <v>57</v>
      </c>
      <c r="K6" s="5" t="s">
        <v>56</v>
      </c>
      <c r="L6" s="5"/>
      <c r="M6" s="5"/>
      <c r="N6" s="5" t="str">
        <f aca="false">IFERROR(INDEX(H6:K6,MATCH(L6,{"A","B","C","D"},0)),"")</f>
        <v/>
      </c>
      <c r="O6" s="5" t="str">
        <f aca="false">IFERROR(INDEX(H6:K6,MATCH(M6,{"A","B","C","D"},0)),"")</f>
        <v/>
      </c>
    </row>
    <row r="7" customFormat="false" ht="23.85" hidden="false" customHeight="false" outlineLevel="0" collapsed="false">
      <c r="A7" s="7" t="n">
        <v>2</v>
      </c>
      <c r="B7" s="7" t="n">
        <v>1</v>
      </c>
      <c r="C7" s="8" t="s">
        <v>349</v>
      </c>
      <c r="D7" s="8" t="s">
        <v>428</v>
      </c>
      <c r="E7" s="8" t="s">
        <v>429</v>
      </c>
      <c r="F7" s="8" t="s">
        <v>430</v>
      </c>
      <c r="G7" s="8" t="s">
        <v>431</v>
      </c>
      <c r="H7" s="7" t="s">
        <v>54</v>
      </c>
      <c r="I7" s="7" t="s">
        <v>57</v>
      </c>
      <c r="J7" s="7" t="s">
        <v>55</v>
      </c>
      <c r="K7" s="7" t="s">
        <v>56</v>
      </c>
      <c r="L7" s="7"/>
      <c r="M7" s="7"/>
      <c r="N7" s="7" t="str">
        <f aca="false">IFERROR(INDEX(H7:K7,MATCH(L7,{"A","B","C","D"},0)),"")</f>
        <v/>
      </c>
      <c r="O7" s="7" t="str">
        <f aca="false">IFERROR(INDEX(H7:K7,MATCH(M7,{"A","B","C","D"},0)),"")</f>
        <v/>
      </c>
    </row>
    <row r="8" customFormat="false" ht="23.85" hidden="false" customHeight="false" outlineLevel="0" collapsed="false">
      <c r="A8" s="7" t="n">
        <v>2</v>
      </c>
      <c r="B8" s="7" t="n">
        <v>2</v>
      </c>
      <c r="C8" s="8" t="s">
        <v>432</v>
      </c>
      <c r="D8" s="8" t="s">
        <v>433</v>
      </c>
      <c r="E8" s="8" t="s">
        <v>434</v>
      </c>
      <c r="F8" s="8" t="s">
        <v>435</v>
      </c>
      <c r="G8" s="8" t="s">
        <v>355</v>
      </c>
      <c r="H8" s="7" t="s">
        <v>55</v>
      </c>
      <c r="I8" s="7" t="s">
        <v>54</v>
      </c>
      <c r="J8" s="7" t="s">
        <v>56</v>
      </c>
      <c r="K8" s="7" t="s">
        <v>57</v>
      </c>
      <c r="L8" s="7"/>
      <c r="M8" s="7"/>
      <c r="N8" s="7" t="str">
        <f aca="false">IFERROR(INDEX(H8:K8,MATCH(L8,{"A","B","C","D"},0)),"")</f>
        <v/>
      </c>
      <c r="O8" s="7" t="str">
        <f aca="false">IFERROR(INDEX(H8:K8,MATCH(M8,{"A","B","C","D"},0)),"")</f>
        <v/>
      </c>
    </row>
    <row r="9" customFormat="false" ht="23.85" hidden="false" customHeight="false" outlineLevel="0" collapsed="false">
      <c r="A9" s="7" t="n">
        <v>2</v>
      </c>
      <c r="B9" s="7" t="n">
        <v>3</v>
      </c>
      <c r="C9" s="8" t="s">
        <v>436</v>
      </c>
      <c r="D9" s="8" t="s">
        <v>360</v>
      </c>
      <c r="E9" s="8" t="s">
        <v>437</v>
      </c>
      <c r="F9" s="8" t="s">
        <v>438</v>
      </c>
      <c r="G9" s="8" t="s">
        <v>439</v>
      </c>
      <c r="H9" s="7" t="s">
        <v>57</v>
      </c>
      <c r="I9" s="7" t="s">
        <v>56</v>
      </c>
      <c r="J9" s="7" t="s">
        <v>55</v>
      </c>
      <c r="K9" s="7" t="s">
        <v>54</v>
      </c>
      <c r="L9" s="7"/>
      <c r="M9" s="7"/>
      <c r="N9" s="7" t="str">
        <f aca="false">IFERROR(INDEX(H9:K9,MATCH(L9,{"A","B","C","D"},0)),"")</f>
        <v/>
      </c>
      <c r="O9" s="7" t="str">
        <f aca="false">IFERROR(INDEX(H9:K9,MATCH(M9,{"A","B","C","D"},0)),"")</f>
        <v/>
      </c>
    </row>
    <row r="10" customFormat="false" ht="23.85" hidden="false" customHeight="false" outlineLevel="0" collapsed="false">
      <c r="A10" s="7" t="n">
        <v>2</v>
      </c>
      <c r="B10" s="7" t="n">
        <v>4</v>
      </c>
      <c r="C10" s="8" t="s">
        <v>440</v>
      </c>
      <c r="D10" s="8" t="s">
        <v>441</v>
      </c>
      <c r="E10" s="8" t="s">
        <v>442</v>
      </c>
      <c r="F10" s="8" t="s">
        <v>365</v>
      </c>
      <c r="G10" s="8" t="s">
        <v>366</v>
      </c>
      <c r="H10" s="7" t="s">
        <v>54</v>
      </c>
      <c r="I10" s="7" t="s">
        <v>55</v>
      </c>
      <c r="J10" s="7" t="s">
        <v>57</v>
      </c>
      <c r="K10" s="7" t="s">
        <v>56</v>
      </c>
      <c r="L10" s="7"/>
      <c r="M10" s="7"/>
      <c r="N10" s="7" t="str">
        <f aca="false">IFERROR(INDEX(H10:K10,MATCH(L10,{"A","B","C","D"},0)),"")</f>
        <v/>
      </c>
      <c r="O10" s="7" t="str">
        <f aca="false">IFERROR(INDEX(H10:K10,MATCH(M10,{"A","B","C","D"},0)),"")</f>
        <v/>
      </c>
    </row>
    <row r="11" customFormat="false" ht="23.85" hidden="false" customHeight="false" outlineLevel="0" collapsed="false">
      <c r="A11" s="7" t="n">
        <v>2</v>
      </c>
      <c r="B11" s="7" t="n">
        <v>5</v>
      </c>
      <c r="C11" s="8" t="s">
        <v>443</v>
      </c>
      <c r="D11" s="8" t="s">
        <v>369</v>
      </c>
      <c r="E11" s="8" t="s">
        <v>444</v>
      </c>
      <c r="F11" s="8" t="s">
        <v>445</v>
      </c>
      <c r="G11" s="8" t="s">
        <v>446</v>
      </c>
      <c r="H11" s="7" t="s">
        <v>56</v>
      </c>
      <c r="I11" s="7" t="s">
        <v>54</v>
      </c>
      <c r="J11" s="7" t="s">
        <v>57</v>
      </c>
      <c r="K11" s="7" t="s">
        <v>55</v>
      </c>
      <c r="L11" s="7"/>
      <c r="M11" s="7"/>
      <c r="N11" s="7" t="str">
        <f aca="false">IFERROR(INDEX(H11:K11,MATCH(L11,{"A","B","C","D"},0)),"")</f>
        <v/>
      </c>
      <c r="O11" s="7" t="str">
        <f aca="false">IFERROR(INDEX(H11:K11,MATCH(M11,{"A","B","C","D"},0)),"")</f>
        <v/>
      </c>
    </row>
    <row r="12" customFormat="false" ht="23.85" hidden="false" customHeight="false" outlineLevel="0" collapsed="false">
      <c r="A12" s="5" t="n">
        <v>3</v>
      </c>
      <c r="B12" s="5" t="n">
        <v>1</v>
      </c>
      <c r="C12" s="6" t="s">
        <v>447</v>
      </c>
      <c r="D12" s="6" t="s">
        <v>408</v>
      </c>
      <c r="E12" s="6" t="s">
        <v>407</v>
      </c>
      <c r="F12" s="6" t="s">
        <v>409</v>
      </c>
      <c r="G12" s="6" t="s">
        <v>330</v>
      </c>
      <c r="H12" s="5" t="s">
        <v>55</v>
      </c>
      <c r="I12" s="5" t="s">
        <v>54</v>
      </c>
      <c r="J12" s="5" t="s">
        <v>57</v>
      </c>
      <c r="K12" s="5" t="s">
        <v>56</v>
      </c>
      <c r="L12" s="5"/>
      <c r="M12" s="5"/>
      <c r="N12" s="5" t="str">
        <f aca="false">IFERROR(INDEX(H12:K12,MATCH(L12,{"A","B","C","D"},0)),"")</f>
        <v/>
      </c>
      <c r="O12" s="5" t="str">
        <f aca="false">IFERROR(INDEX(H12:K12,MATCH(M12,{"A","B","C","D"},0)),"")</f>
        <v/>
      </c>
    </row>
    <row r="13" customFormat="false" ht="23.85" hidden="false" customHeight="false" outlineLevel="0" collapsed="false">
      <c r="A13" s="5" t="n">
        <v>3</v>
      </c>
      <c r="B13" s="5" t="n">
        <v>2</v>
      </c>
      <c r="C13" s="6" t="s">
        <v>448</v>
      </c>
      <c r="D13" s="6" t="s">
        <v>412</v>
      </c>
      <c r="E13" s="6" t="s">
        <v>414</v>
      </c>
      <c r="F13" s="6" t="s">
        <v>413</v>
      </c>
      <c r="G13" s="6" t="s">
        <v>411</v>
      </c>
      <c r="H13" s="5" t="s">
        <v>57</v>
      </c>
      <c r="I13" s="5" t="s">
        <v>54</v>
      </c>
      <c r="J13" s="5" t="s">
        <v>55</v>
      </c>
      <c r="K13" s="5" t="s">
        <v>56</v>
      </c>
      <c r="L13" s="5"/>
      <c r="M13" s="5"/>
      <c r="N13" s="5" t="str">
        <f aca="false">IFERROR(INDEX(H13:K13,MATCH(L13,{"A","B","C","D"},0)),"")</f>
        <v/>
      </c>
      <c r="O13" s="5" t="str">
        <f aca="false">IFERROR(INDEX(H13:K13,MATCH(M13,{"A","B","C","D"},0)),"")</f>
        <v/>
      </c>
    </row>
    <row r="14" customFormat="false" ht="23.85" hidden="false" customHeight="false" outlineLevel="0" collapsed="false">
      <c r="A14" s="5" t="n">
        <v>3</v>
      </c>
      <c r="B14" s="5" t="n">
        <v>3</v>
      </c>
      <c r="C14" s="6" t="s">
        <v>449</v>
      </c>
      <c r="D14" s="6" t="s">
        <v>418</v>
      </c>
      <c r="E14" s="6" t="s">
        <v>416</v>
      </c>
      <c r="F14" s="6" t="s">
        <v>417</v>
      </c>
      <c r="G14" s="6" t="s">
        <v>249</v>
      </c>
      <c r="H14" s="5" t="s">
        <v>54</v>
      </c>
      <c r="I14" s="5" t="s">
        <v>55</v>
      </c>
      <c r="J14" s="5" t="s">
        <v>57</v>
      </c>
      <c r="K14" s="5" t="s">
        <v>56</v>
      </c>
      <c r="L14" s="5"/>
      <c r="M14" s="5"/>
      <c r="N14" s="5" t="str">
        <f aca="false">IFERROR(INDEX(H14:K14,MATCH(L14,{"A","B","C","D"},0)),"")</f>
        <v/>
      </c>
      <c r="O14" s="5" t="str">
        <f aca="false">IFERROR(INDEX(H14:K14,MATCH(M14,{"A","B","C","D"},0)),"")</f>
        <v/>
      </c>
    </row>
    <row r="15" customFormat="false" ht="23.85" hidden="false" customHeight="false" outlineLevel="0" collapsed="false">
      <c r="A15" s="5" t="n">
        <v>3</v>
      </c>
      <c r="B15" s="5" t="n">
        <v>4</v>
      </c>
      <c r="C15" s="6" t="s">
        <v>450</v>
      </c>
      <c r="D15" s="6" t="s">
        <v>422</v>
      </c>
      <c r="E15" s="6" t="s">
        <v>421</v>
      </c>
      <c r="F15" s="6" t="s">
        <v>420</v>
      </c>
      <c r="G15" s="6" t="s">
        <v>423</v>
      </c>
      <c r="H15" s="5" t="s">
        <v>56</v>
      </c>
      <c r="I15" s="5" t="s">
        <v>54</v>
      </c>
      <c r="J15" s="5" t="s">
        <v>57</v>
      </c>
      <c r="K15" s="5" t="s">
        <v>55</v>
      </c>
      <c r="L15" s="5"/>
      <c r="M15" s="5"/>
      <c r="N15" s="5" t="str">
        <f aca="false">IFERROR(INDEX(H15:K15,MATCH(L15,{"A","B","C","D"},0)),"")</f>
        <v/>
      </c>
      <c r="O15" s="5" t="str">
        <f aca="false">IFERROR(INDEX(H15:K15,MATCH(M15,{"A","B","C","D"},0)),"")</f>
        <v/>
      </c>
    </row>
    <row r="16" customFormat="false" ht="23.85" hidden="false" customHeight="false" outlineLevel="0" collapsed="false">
      <c r="A16" s="5" t="n">
        <v>3</v>
      </c>
      <c r="B16" s="5" t="n">
        <v>5</v>
      </c>
      <c r="C16" s="6" t="s">
        <v>451</v>
      </c>
      <c r="D16" s="6" t="s">
        <v>427</v>
      </c>
      <c r="E16" s="6" t="s">
        <v>262</v>
      </c>
      <c r="F16" s="6" t="s">
        <v>425</v>
      </c>
      <c r="G16" s="6" t="s">
        <v>426</v>
      </c>
      <c r="H16" s="5" t="s">
        <v>56</v>
      </c>
      <c r="I16" s="5" t="s">
        <v>57</v>
      </c>
      <c r="J16" s="5" t="s">
        <v>54</v>
      </c>
      <c r="K16" s="5" t="s">
        <v>55</v>
      </c>
      <c r="L16" s="5"/>
      <c r="M16" s="5"/>
      <c r="N16" s="5" t="str">
        <f aca="false">IFERROR(INDEX(H16:K16,MATCH(L16,{"A","B","C","D"},0)),"")</f>
        <v/>
      </c>
      <c r="O16" s="5" t="str">
        <f aca="false">IFERROR(INDEX(H16:K16,MATCH(M16,{"A","B","C","D"},0)),"")</f>
        <v/>
      </c>
    </row>
    <row r="17" customFormat="false" ht="23.85" hidden="false" customHeight="false" outlineLevel="0" collapsed="false">
      <c r="A17" s="7" t="n">
        <v>4</v>
      </c>
      <c r="B17" s="7" t="n">
        <v>1</v>
      </c>
      <c r="C17" s="8" t="s">
        <v>452</v>
      </c>
      <c r="D17" s="8" t="s">
        <v>431</v>
      </c>
      <c r="E17" s="8" t="s">
        <v>428</v>
      </c>
      <c r="F17" s="8" t="s">
        <v>429</v>
      </c>
      <c r="G17" s="8" t="s">
        <v>430</v>
      </c>
      <c r="H17" s="7" t="s">
        <v>56</v>
      </c>
      <c r="I17" s="7" t="s">
        <v>54</v>
      </c>
      <c r="J17" s="7" t="s">
        <v>57</v>
      </c>
      <c r="K17" s="7" t="s">
        <v>55</v>
      </c>
      <c r="L17" s="7"/>
      <c r="M17" s="7"/>
      <c r="N17" s="7" t="str">
        <f aca="false">IFERROR(INDEX(H17:K17,MATCH(L17,{"A","B","C","D"},0)),"")</f>
        <v/>
      </c>
      <c r="O17" s="7" t="str">
        <f aca="false">IFERROR(INDEX(H17:K17,MATCH(M17,{"A","B","C","D"},0)),"")</f>
        <v/>
      </c>
    </row>
    <row r="18" customFormat="false" ht="23.85" hidden="false" customHeight="false" outlineLevel="0" collapsed="false">
      <c r="A18" s="7" t="n">
        <v>4</v>
      </c>
      <c r="B18" s="7" t="n">
        <v>2</v>
      </c>
      <c r="C18" s="8" t="s">
        <v>453</v>
      </c>
      <c r="D18" s="8" t="s">
        <v>355</v>
      </c>
      <c r="E18" s="8" t="s">
        <v>435</v>
      </c>
      <c r="F18" s="8" t="s">
        <v>434</v>
      </c>
      <c r="G18" s="8" t="s">
        <v>433</v>
      </c>
      <c r="H18" s="7" t="s">
        <v>57</v>
      </c>
      <c r="I18" s="7" t="s">
        <v>56</v>
      </c>
      <c r="J18" s="7" t="s">
        <v>54</v>
      </c>
      <c r="K18" s="7" t="s">
        <v>55</v>
      </c>
      <c r="L18" s="7"/>
      <c r="M18" s="7"/>
      <c r="N18" s="7" t="str">
        <f aca="false">IFERROR(INDEX(H18:K18,MATCH(L18,{"A","B","C","D"},0)),"")</f>
        <v/>
      </c>
      <c r="O18" s="7" t="str">
        <f aca="false">IFERROR(INDEX(H18:K18,MATCH(M18,{"A","B","C","D"},0)),"")</f>
        <v/>
      </c>
    </row>
    <row r="19" customFormat="false" ht="23.85" hidden="false" customHeight="false" outlineLevel="0" collapsed="false">
      <c r="A19" s="7" t="n">
        <v>4</v>
      </c>
      <c r="B19" s="7" t="n">
        <v>3</v>
      </c>
      <c r="C19" s="8" t="s">
        <v>454</v>
      </c>
      <c r="D19" s="8" t="s">
        <v>360</v>
      </c>
      <c r="E19" s="8" t="s">
        <v>437</v>
      </c>
      <c r="F19" s="8" t="s">
        <v>438</v>
      </c>
      <c r="G19" s="8" t="s">
        <v>439</v>
      </c>
      <c r="H19" s="7" t="s">
        <v>57</v>
      </c>
      <c r="I19" s="7" t="s">
        <v>56</v>
      </c>
      <c r="J19" s="7" t="s">
        <v>55</v>
      </c>
      <c r="K19" s="7" t="s">
        <v>54</v>
      </c>
      <c r="L19" s="7"/>
      <c r="M19" s="7"/>
      <c r="N19" s="7" t="str">
        <f aca="false">IFERROR(INDEX(H19:K19,MATCH(L19,{"A","B","C","D"},0)),"")</f>
        <v/>
      </c>
      <c r="O19" s="7" t="str">
        <f aca="false">IFERROR(INDEX(H19:K19,MATCH(M19,{"A","B","C","D"},0)),"")</f>
        <v/>
      </c>
    </row>
    <row r="20" customFormat="false" ht="23.85" hidden="false" customHeight="false" outlineLevel="0" collapsed="false">
      <c r="A20" s="7" t="n">
        <v>4</v>
      </c>
      <c r="B20" s="7" t="n">
        <v>4</v>
      </c>
      <c r="C20" s="8" t="s">
        <v>455</v>
      </c>
      <c r="D20" s="8" t="s">
        <v>441</v>
      </c>
      <c r="E20" s="8" t="s">
        <v>366</v>
      </c>
      <c r="F20" s="8" t="s">
        <v>365</v>
      </c>
      <c r="G20" s="8" t="s">
        <v>442</v>
      </c>
      <c r="H20" s="7" t="s">
        <v>54</v>
      </c>
      <c r="I20" s="7" t="s">
        <v>56</v>
      </c>
      <c r="J20" s="7" t="s">
        <v>57</v>
      </c>
      <c r="K20" s="7" t="s">
        <v>55</v>
      </c>
      <c r="L20" s="7"/>
      <c r="M20" s="7"/>
      <c r="N20" s="7" t="str">
        <f aca="false">IFERROR(INDEX(H20:K20,MATCH(L20,{"A","B","C","D"},0)),"")</f>
        <v/>
      </c>
      <c r="O20" s="7" t="str">
        <f aca="false">IFERROR(INDEX(H20:K20,MATCH(M20,{"A","B","C","D"},0)),"")</f>
        <v/>
      </c>
    </row>
    <row r="21" customFormat="false" ht="23.85" hidden="false" customHeight="false" outlineLevel="0" collapsed="false">
      <c r="A21" s="7" t="n">
        <v>4</v>
      </c>
      <c r="B21" s="7" t="n">
        <v>5</v>
      </c>
      <c r="C21" s="8" t="s">
        <v>456</v>
      </c>
      <c r="D21" s="8" t="s">
        <v>369</v>
      </c>
      <c r="E21" s="8" t="s">
        <v>446</v>
      </c>
      <c r="F21" s="8" t="s">
        <v>445</v>
      </c>
      <c r="G21" s="8" t="s">
        <v>444</v>
      </c>
      <c r="H21" s="7" t="s">
        <v>56</v>
      </c>
      <c r="I21" s="7" t="s">
        <v>55</v>
      </c>
      <c r="J21" s="7" t="s">
        <v>57</v>
      </c>
      <c r="K21" s="7" t="s">
        <v>54</v>
      </c>
      <c r="L21" s="7"/>
      <c r="M21" s="7"/>
      <c r="N21" s="7" t="str">
        <f aca="false">IFERROR(INDEX(H21:K21,MATCH(L21,{"A","B","C","D"},0)),"")</f>
        <v/>
      </c>
      <c r="O21" s="7" t="str">
        <f aca="false">IFERROR(INDEX(H21:K21,MATCH(M21,{"A","B","C","D"},0)),"")</f>
        <v/>
      </c>
    </row>
    <row r="22" customFormat="false" ht="23.85" hidden="false" customHeight="false" outlineLevel="0" collapsed="false">
      <c r="A22" s="5" t="n">
        <v>5</v>
      </c>
      <c r="B22" s="5" t="n">
        <v>1</v>
      </c>
      <c r="C22" s="6" t="s">
        <v>457</v>
      </c>
      <c r="D22" s="6" t="s">
        <v>330</v>
      </c>
      <c r="E22" s="6" t="s">
        <v>408</v>
      </c>
      <c r="F22" s="6" t="s">
        <v>409</v>
      </c>
      <c r="G22" s="6" t="s">
        <v>407</v>
      </c>
      <c r="H22" s="5" t="s">
        <v>56</v>
      </c>
      <c r="I22" s="5" t="s">
        <v>55</v>
      </c>
      <c r="J22" s="5" t="s">
        <v>57</v>
      </c>
      <c r="K22" s="5" t="s">
        <v>54</v>
      </c>
      <c r="L22" s="5"/>
      <c r="M22" s="5"/>
      <c r="N22" s="5" t="str">
        <f aca="false">IFERROR(INDEX(H22:K22,MATCH(L22,{"A","B","C","D"},0)),"")</f>
        <v/>
      </c>
      <c r="O22" s="5" t="str">
        <f aca="false">IFERROR(INDEX(H22:K22,MATCH(M22,{"A","B","C","D"},0)),"")</f>
        <v/>
      </c>
    </row>
    <row r="23" customFormat="false" ht="23.85" hidden="false" customHeight="false" outlineLevel="0" collapsed="false">
      <c r="A23" s="5" t="n">
        <v>5</v>
      </c>
      <c r="B23" s="5" t="n">
        <v>2</v>
      </c>
      <c r="C23" s="6" t="s">
        <v>381</v>
      </c>
      <c r="D23" s="6" t="s">
        <v>414</v>
      </c>
      <c r="E23" s="6" t="s">
        <v>412</v>
      </c>
      <c r="F23" s="6" t="s">
        <v>411</v>
      </c>
      <c r="G23" s="6" t="s">
        <v>413</v>
      </c>
      <c r="H23" s="5" t="s">
        <v>54</v>
      </c>
      <c r="I23" s="5" t="s">
        <v>57</v>
      </c>
      <c r="J23" s="5" t="s">
        <v>56</v>
      </c>
      <c r="K23" s="5" t="s">
        <v>55</v>
      </c>
      <c r="L23" s="5"/>
      <c r="M23" s="5"/>
      <c r="N23" s="5" t="str">
        <f aca="false">IFERROR(INDEX(H23:K23,MATCH(L23,{"A","B","C","D"},0)),"")</f>
        <v/>
      </c>
      <c r="O23" s="5" t="str">
        <f aca="false">IFERROR(INDEX(H23:K23,MATCH(M23,{"A","B","C","D"},0)),"")</f>
        <v/>
      </c>
    </row>
    <row r="24" customFormat="false" ht="23.85" hidden="false" customHeight="false" outlineLevel="0" collapsed="false">
      <c r="A24" s="5" t="n">
        <v>5</v>
      </c>
      <c r="B24" s="5" t="n">
        <v>3</v>
      </c>
      <c r="C24" s="6" t="s">
        <v>458</v>
      </c>
      <c r="D24" s="6" t="s">
        <v>418</v>
      </c>
      <c r="E24" s="6" t="s">
        <v>416</v>
      </c>
      <c r="F24" s="6" t="s">
        <v>249</v>
      </c>
      <c r="G24" s="6" t="s">
        <v>417</v>
      </c>
      <c r="H24" s="5" t="s">
        <v>54</v>
      </c>
      <c r="I24" s="5" t="s">
        <v>55</v>
      </c>
      <c r="J24" s="5" t="s">
        <v>56</v>
      </c>
      <c r="K24" s="5" t="s">
        <v>57</v>
      </c>
      <c r="L24" s="5"/>
      <c r="M24" s="5"/>
      <c r="N24" s="5" t="str">
        <f aca="false">IFERROR(INDEX(H24:K24,MATCH(L24,{"A","B","C","D"},0)),"")</f>
        <v/>
      </c>
      <c r="O24" s="5" t="str">
        <f aca="false">IFERROR(INDEX(H24:K24,MATCH(M24,{"A","B","C","D"},0)),"")</f>
        <v/>
      </c>
    </row>
    <row r="25" customFormat="false" ht="23.85" hidden="false" customHeight="false" outlineLevel="0" collapsed="false">
      <c r="A25" s="5" t="n">
        <v>5</v>
      </c>
      <c r="B25" s="5" t="n">
        <v>4</v>
      </c>
      <c r="C25" s="6" t="s">
        <v>459</v>
      </c>
      <c r="D25" s="6" t="s">
        <v>421</v>
      </c>
      <c r="E25" s="6" t="s">
        <v>420</v>
      </c>
      <c r="F25" s="6" t="s">
        <v>422</v>
      </c>
      <c r="G25" s="6" t="s">
        <v>423</v>
      </c>
      <c r="H25" s="5" t="s">
        <v>54</v>
      </c>
      <c r="I25" s="5" t="s">
        <v>57</v>
      </c>
      <c r="J25" s="5" t="s">
        <v>56</v>
      </c>
      <c r="K25" s="5" t="s">
        <v>55</v>
      </c>
      <c r="L25" s="5"/>
      <c r="M25" s="5"/>
      <c r="N25" s="5" t="str">
        <f aca="false">IFERROR(INDEX(H25:K25,MATCH(L25,{"A","B","C","D"},0)),"")</f>
        <v/>
      </c>
      <c r="O25" s="5" t="str">
        <f aca="false">IFERROR(INDEX(H25:K25,MATCH(M25,{"A","B","C","D"},0)),"")</f>
        <v/>
      </c>
    </row>
    <row r="26" customFormat="false" ht="23.85" hidden="false" customHeight="false" outlineLevel="0" collapsed="false">
      <c r="A26" s="5" t="n">
        <v>5</v>
      </c>
      <c r="B26" s="5" t="n">
        <v>5</v>
      </c>
      <c r="C26" s="6" t="s">
        <v>301</v>
      </c>
      <c r="D26" s="6" t="s">
        <v>262</v>
      </c>
      <c r="E26" s="6" t="s">
        <v>427</v>
      </c>
      <c r="F26" s="6" t="s">
        <v>426</v>
      </c>
      <c r="G26" s="6" t="s">
        <v>425</v>
      </c>
      <c r="H26" s="5" t="s">
        <v>57</v>
      </c>
      <c r="I26" s="5" t="s">
        <v>56</v>
      </c>
      <c r="J26" s="5" t="s">
        <v>55</v>
      </c>
      <c r="K26" s="5" t="s">
        <v>54</v>
      </c>
      <c r="L26" s="5"/>
      <c r="M26" s="5"/>
      <c r="N26" s="5" t="str">
        <f aca="false">IFERROR(INDEX(H26:K26,MATCH(L26,{"A","B","C","D"},0)),"")</f>
        <v/>
      </c>
      <c r="O26" s="5" t="str">
        <f aca="false">IFERROR(INDEX(H26:K26,MATCH(M26,{"A","B","C","D"},0)),"")</f>
        <v/>
      </c>
    </row>
    <row r="27" customFormat="false" ht="23.85" hidden="false" customHeight="false" outlineLevel="0" collapsed="false">
      <c r="A27" s="7" t="n">
        <v>6</v>
      </c>
      <c r="B27" s="7" t="n">
        <v>1</v>
      </c>
      <c r="C27" s="8" t="s">
        <v>460</v>
      </c>
      <c r="D27" s="8" t="s">
        <v>431</v>
      </c>
      <c r="E27" s="8" t="s">
        <v>430</v>
      </c>
      <c r="F27" s="8" t="s">
        <v>429</v>
      </c>
      <c r="G27" s="8" t="s">
        <v>428</v>
      </c>
      <c r="H27" s="7" t="s">
        <v>56</v>
      </c>
      <c r="I27" s="7" t="s">
        <v>55</v>
      </c>
      <c r="J27" s="7" t="s">
        <v>57</v>
      </c>
      <c r="K27" s="7" t="s">
        <v>54</v>
      </c>
      <c r="L27" s="7"/>
      <c r="M27" s="7"/>
      <c r="N27" s="7" t="str">
        <f aca="false">IFERROR(INDEX(H27:K27,MATCH(L27,{"A","B","C","D"},0)),"")</f>
        <v/>
      </c>
      <c r="O27" s="7" t="str">
        <f aca="false">IFERROR(INDEX(H27:K27,MATCH(M27,{"A","B","C","D"},0)),"")</f>
        <v/>
      </c>
    </row>
    <row r="28" customFormat="false" ht="23.85" hidden="false" customHeight="false" outlineLevel="0" collapsed="false">
      <c r="A28" s="7" t="n">
        <v>6</v>
      </c>
      <c r="B28" s="7" t="n">
        <v>2</v>
      </c>
      <c r="C28" s="8" t="s">
        <v>461</v>
      </c>
      <c r="D28" s="8" t="s">
        <v>355</v>
      </c>
      <c r="E28" s="8" t="s">
        <v>433</v>
      </c>
      <c r="F28" s="8" t="s">
        <v>434</v>
      </c>
      <c r="G28" s="8" t="s">
        <v>435</v>
      </c>
      <c r="H28" s="7" t="s">
        <v>57</v>
      </c>
      <c r="I28" s="7" t="s">
        <v>55</v>
      </c>
      <c r="J28" s="7" t="s">
        <v>54</v>
      </c>
      <c r="K28" s="7" t="s">
        <v>56</v>
      </c>
      <c r="L28" s="7"/>
      <c r="M28" s="7"/>
      <c r="N28" s="7" t="str">
        <f aca="false">IFERROR(INDEX(H28:K28,MATCH(L28,{"A","B","C","D"},0)),"")</f>
        <v/>
      </c>
      <c r="O28" s="7" t="str">
        <f aca="false">IFERROR(INDEX(H28:K28,MATCH(M28,{"A","B","C","D"},0)),"")</f>
        <v/>
      </c>
    </row>
    <row r="29" customFormat="false" ht="23.85" hidden="false" customHeight="false" outlineLevel="0" collapsed="false">
      <c r="A29" s="7" t="n">
        <v>6</v>
      </c>
      <c r="B29" s="7" t="n">
        <v>3</v>
      </c>
      <c r="C29" s="8" t="s">
        <v>462</v>
      </c>
      <c r="D29" s="8" t="s">
        <v>437</v>
      </c>
      <c r="E29" s="8" t="s">
        <v>438</v>
      </c>
      <c r="F29" s="8" t="s">
        <v>439</v>
      </c>
      <c r="G29" s="8" t="s">
        <v>360</v>
      </c>
      <c r="H29" s="7" t="s">
        <v>56</v>
      </c>
      <c r="I29" s="7" t="s">
        <v>55</v>
      </c>
      <c r="J29" s="7" t="s">
        <v>54</v>
      </c>
      <c r="K29" s="7" t="s">
        <v>57</v>
      </c>
      <c r="L29" s="7"/>
      <c r="M29" s="7"/>
      <c r="N29" s="7" t="str">
        <f aca="false">IFERROR(INDEX(H29:K29,MATCH(L29,{"A","B","C","D"},0)),"")</f>
        <v/>
      </c>
      <c r="O29" s="7" t="str">
        <f aca="false">IFERROR(INDEX(H29:K29,MATCH(M29,{"A","B","C","D"},0)),"")</f>
        <v/>
      </c>
    </row>
    <row r="30" customFormat="false" ht="23.85" hidden="false" customHeight="false" outlineLevel="0" collapsed="false">
      <c r="A30" s="7" t="n">
        <v>6</v>
      </c>
      <c r="B30" s="7" t="n">
        <v>4</v>
      </c>
      <c r="C30" s="8" t="s">
        <v>463</v>
      </c>
      <c r="D30" s="8" t="s">
        <v>366</v>
      </c>
      <c r="E30" s="8" t="s">
        <v>442</v>
      </c>
      <c r="F30" s="8" t="s">
        <v>441</v>
      </c>
      <c r="G30" s="8" t="s">
        <v>365</v>
      </c>
      <c r="H30" s="7" t="s">
        <v>56</v>
      </c>
      <c r="I30" s="7" t="s">
        <v>55</v>
      </c>
      <c r="J30" s="7" t="s">
        <v>54</v>
      </c>
      <c r="K30" s="7" t="s">
        <v>57</v>
      </c>
      <c r="L30" s="7"/>
      <c r="M30" s="7"/>
      <c r="N30" s="7" t="str">
        <f aca="false">IFERROR(INDEX(H30:K30,MATCH(L30,{"A","B","C","D"},0)),"")</f>
        <v/>
      </c>
      <c r="O30" s="7" t="str">
        <f aca="false">IFERROR(INDEX(H30:K30,MATCH(M30,{"A","B","C","D"},0)),"")</f>
        <v/>
      </c>
    </row>
    <row r="31" customFormat="false" ht="23.85" hidden="false" customHeight="false" outlineLevel="0" collapsed="false">
      <c r="A31" s="7" t="n">
        <v>6</v>
      </c>
      <c r="B31" s="7" t="n">
        <v>5</v>
      </c>
      <c r="C31" s="8" t="s">
        <v>464</v>
      </c>
      <c r="D31" s="8" t="s">
        <v>445</v>
      </c>
      <c r="E31" s="8" t="s">
        <v>369</v>
      </c>
      <c r="F31" s="8" t="s">
        <v>444</v>
      </c>
      <c r="G31" s="8" t="s">
        <v>446</v>
      </c>
      <c r="H31" s="7" t="s">
        <v>57</v>
      </c>
      <c r="I31" s="7" t="s">
        <v>56</v>
      </c>
      <c r="J31" s="7" t="s">
        <v>54</v>
      </c>
      <c r="K31" s="7" t="s">
        <v>55</v>
      </c>
      <c r="L31" s="7"/>
      <c r="M31" s="7"/>
      <c r="N31" s="7" t="str">
        <f aca="false">IFERROR(INDEX(H31:K31,MATCH(L31,{"A","B","C","D"},0)),"")</f>
        <v/>
      </c>
      <c r="O31" s="7" t="str">
        <f aca="false">IFERROR(INDEX(H31:K31,MATCH(M31,{"A","B","C","D"},0)),"")</f>
        <v/>
      </c>
    </row>
    <row r="32" customFormat="false" ht="23.85" hidden="false" customHeight="false" outlineLevel="0" collapsed="false">
      <c r="A32" s="5" t="n">
        <v>7</v>
      </c>
      <c r="B32" s="5" t="n">
        <v>1</v>
      </c>
      <c r="C32" s="6" t="s">
        <v>465</v>
      </c>
      <c r="D32" s="6" t="s">
        <v>408</v>
      </c>
      <c r="E32" s="6" t="s">
        <v>407</v>
      </c>
      <c r="F32" s="6" t="s">
        <v>409</v>
      </c>
      <c r="G32" s="6" t="s">
        <v>330</v>
      </c>
      <c r="H32" s="5" t="s">
        <v>55</v>
      </c>
      <c r="I32" s="5" t="s">
        <v>54</v>
      </c>
      <c r="J32" s="5" t="s">
        <v>57</v>
      </c>
      <c r="K32" s="5" t="s">
        <v>56</v>
      </c>
      <c r="L32" s="5"/>
      <c r="M32" s="5"/>
      <c r="N32" s="5" t="str">
        <f aca="false">IFERROR(INDEX(H32:K32,MATCH(L32,{"A","B","C","D"},0)),"")</f>
        <v/>
      </c>
      <c r="O32" s="5" t="str">
        <f aca="false">IFERROR(INDEX(H32:K32,MATCH(M32,{"A","B","C","D"},0)),"")</f>
        <v/>
      </c>
    </row>
    <row r="33" customFormat="false" ht="23.85" hidden="false" customHeight="false" outlineLevel="0" collapsed="false">
      <c r="A33" s="5" t="n">
        <v>7</v>
      </c>
      <c r="B33" s="5" t="n">
        <v>2</v>
      </c>
      <c r="C33" s="6" t="s">
        <v>466</v>
      </c>
      <c r="D33" s="6" t="s">
        <v>412</v>
      </c>
      <c r="E33" s="6" t="s">
        <v>413</v>
      </c>
      <c r="F33" s="6" t="s">
        <v>414</v>
      </c>
      <c r="G33" s="6" t="s">
        <v>411</v>
      </c>
      <c r="H33" s="5" t="s">
        <v>57</v>
      </c>
      <c r="I33" s="5" t="s">
        <v>55</v>
      </c>
      <c r="J33" s="5" t="s">
        <v>54</v>
      </c>
      <c r="K33" s="5" t="s">
        <v>56</v>
      </c>
      <c r="L33" s="5"/>
      <c r="M33" s="5"/>
      <c r="N33" s="5" t="str">
        <f aca="false">IFERROR(INDEX(H33:K33,MATCH(L33,{"A","B","C","D"},0)),"")</f>
        <v/>
      </c>
      <c r="O33" s="5" t="str">
        <f aca="false">IFERROR(INDEX(H33:K33,MATCH(M33,{"A","B","C","D"},0)),"")</f>
        <v/>
      </c>
    </row>
    <row r="34" customFormat="false" ht="23.85" hidden="false" customHeight="false" outlineLevel="0" collapsed="false">
      <c r="A34" s="5" t="n">
        <v>7</v>
      </c>
      <c r="B34" s="5" t="n">
        <v>3</v>
      </c>
      <c r="C34" s="6" t="s">
        <v>467</v>
      </c>
      <c r="D34" s="6" t="s">
        <v>249</v>
      </c>
      <c r="E34" s="6" t="s">
        <v>416</v>
      </c>
      <c r="F34" s="6" t="s">
        <v>417</v>
      </c>
      <c r="G34" s="6" t="s">
        <v>418</v>
      </c>
      <c r="H34" s="5" t="s">
        <v>56</v>
      </c>
      <c r="I34" s="5" t="s">
        <v>55</v>
      </c>
      <c r="J34" s="5" t="s">
        <v>57</v>
      </c>
      <c r="K34" s="5" t="s">
        <v>54</v>
      </c>
      <c r="L34" s="5"/>
      <c r="M34" s="5"/>
      <c r="N34" s="5" t="str">
        <f aca="false">IFERROR(INDEX(H34:K34,MATCH(L34,{"A","B","C","D"},0)),"")</f>
        <v/>
      </c>
      <c r="O34" s="5" t="str">
        <f aca="false">IFERROR(INDEX(H34:K34,MATCH(M34,{"A","B","C","D"},0)),"")</f>
        <v/>
      </c>
    </row>
    <row r="35" customFormat="false" ht="23.85" hidden="false" customHeight="false" outlineLevel="0" collapsed="false">
      <c r="A35" s="5" t="n">
        <v>7</v>
      </c>
      <c r="B35" s="5" t="n">
        <v>4</v>
      </c>
      <c r="C35" s="6" t="s">
        <v>468</v>
      </c>
      <c r="D35" s="6" t="s">
        <v>420</v>
      </c>
      <c r="E35" s="6" t="s">
        <v>422</v>
      </c>
      <c r="F35" s="6" t="s">
        <v>423</v>
      </c>
      <c r="G35" s="6" t="s">
        <v>421</v>
      </c>
      <c r="H35" s="5" t="s">
        <v>57</v>
      </c>
      <c r="I35" s="5" t="s">
        <v>56</v>
      </c>
      <c r="J35" s="5" t="s">
        <v>55</v>
      </c>
      <c r="K35" s="5" t="s">
        <v>54</v>
      </c>
      <c r="L35" s="5"/>
      <c r="M35" s="5"/>
      <c r="N35" s="5" t="str">
        <f aca="false">IFERROR(INDEX(H35:K35,MATCH(L35,{"A","B","C","D"},0)),"")</f>
        <v/>
      </c>
      <c r="O35" s="5" t="str">
        <f aca="false">IFERROR(INDEX(H35:K35,MATCH(M35,{"A","B","C","D"},0)),"")</f>
        <v/>
      </c>
    </row>
    <row r="36" customFormat="false" ht="23.85" hidden="false" customHeight="false" outlineLevel="0" collapsed="false">
      <c r="A36" s="5" t="n">
        <v>7</v>
      </c>
      <c r="B36" s="5" t="n">
        <v>5</v>
      </c>
      <c r="C36" s="6" t="s">
        <v>469</v>
      </c>
      <c r="D36" s="6" t="s">
        <v>426</v>
      </c>
      <c r="E36" s="6" t="s">
        <v>262</v>
      </c>
      <c r="F36" s="6" t="s">
        <v>425</v>
      </c>
      <c r="G36" s="6" t="s">
        <v>427</v>
      </c>
      <c r="H36" s="5" t="s">
        <v>55</v>
      </c>
      <c r="I36" s="5" t="s">
        <v>57</v>
      </c>
      <c r="J36" s="5" t="s">
        <v>54</v>
      </c>
      <c r="K36" s="5" t="s">
        <v>56</v>
      </c>
      <c r="L36" s="5"/>
      <c r="M36" s="5"/>
      <c r="N36" s="5" t="str">
        <f aca="false">IFERROR(INDEX(H36:K36,MATCH(L36,{"A","B","C","D"},0)),"")</f>
        <v/>
      </c>
      <c r="O36" s="5" t="str">
        <f aca="false">IFERROR(INDEX(H36:K36,MATCH(M36,{"A","B","C","D"},0)),"")</f>
        <v/>
      </c>
    </row>
    <row r="37" customFormat="false" ht="23.85" hidden="false" customHeight="false" outlineLevel="0" collapsed="false">
      <c r="A37" s="7" t="n">
        <v>8</v>
      </c>
      <c r="B37" s="7" t="n">
        <v>1</v>
      </c>
      <c r="C37" s="8" t="s">
        <v>470</v>
      </c>
      <c r="D37" s="8" t="s">
        <v>428</v>
      </c>
      <c r="E37" s="8" t="s">
        <v>429</v>
      </c>
      <c r="F37" s="8" t="s">
        <v>431</v>
      </c>
      <c r="G37" s="8" t="s">
        <v>430</v>
      </c>
      <c r="H37" s="7" t="s">
        <v>54</v>
      </c>
      <c r="I37" s="7" t="s">
        <v>57</v>
      </c>
      <c r="J37" s="7" t="s">
        <v>56</v>
      </c>
      <c r="K37" s="7" t="s">
        <v>55</v>
      </c>
      <c r="L37" s="7"/>
      <c r="M37" s="7"/>
      <c r="N37" s="7" t="str">
        <f aca="false">IFERROR(INDEX(H37:K37,MATCH(L37,{"A","B","C","D"},0)),"")</f>
        <v/>
      </c>
      <c r="O37" s="7" t="str">
        <f aca="false">IFERROR(INDEX(H37:K37,MATCH(M37,{"A","B","C","D"},0)),"")</f>
        <v/>
      </c>
    </row>
    <row r="38" customFormat="false" ht="23.85" hidden="false" customHeight="false" outlineLevel="0" collapsed="false">
      <c r="A38" s="7" t="n">
        <v>8</v>
      </c>
      <c r="B38" s="7" t="n">
        <v>2</v>
      </c>
      <c r="C38" s="8" t="s">
        <v>471</v>
      </c>
      <c r="D38" s="8" t="s">
        <v>433</v>
      </c>
      <c r="E38" s="8" t="s">
        <v>434</v>
      </c>
      <c r="F38" s="8" t="s">
        <v>355</v>
      </c>
      <c r="G38" s="8" t="s">
        <v>435</v>
      </c>
      <c r="H38" s="7" t="s">
        <v>55</v>
      </c>
      <c r="I38" s="7" t="s">
        <v>54</v>
      </c>
      <c r="J38" s="7" t="s">
        <v>57</v>
      </c>
      <c r="K38" s="7" t="s">
        <v>56</v>
      </c>
      <c r="L38" s="7"/>
      <c r="M38" s="7"/>
      <c r="N38" s="7" t="str">
        <f aca="false">IFERROR(INDEX(H38:K38,MATCH(L38,{"A","B","C","D"},0)),"")</f>
        <v/>
      </c>
      <c r="O38" s="7" t="str">
        <f aca="false">IFERROR(INDEX(H38:K38,MATCH(M38,{"A","B","C","D"},0)),"")</f>
        <v/>
      </c>
    </row>
    <row r="39" customFormat="false" ht="23.85" hidden="false" customHeight="false" outlineLevel="0" collapsed="false">
      <c r="A39" s="7" t="n">
        <v>8</v>
      </c>
      <c r="B39" s="7" t="n">
        <v>3</v>
      </c>
      <c r="C39" s="8" t="s">
        <v>472</v>
      </c>
      <c r="D39" s="8" t="s">
        <v>439</v>
      </c>
      <c r="E39" s="8" t="s">
        <v>438</v>
      </c>
      <c r="F39" s="8" t="s">
        <v>437</v>
      </c>
      <c r="G39" s="8" t="s">
        <v>360</v>
      </c>
      <c r="H39" s="7" t="s">
        <v>54</v>
      </c>
      <c r="I39" s="7" t="s">
        <v>55</v>
      </c>
      <c r="J39" s="7" t="s">
        <v>56</v>
      </c>
      <c r="K39" s="7" t="s">
        <v>57</v>
      </c>
      <c r="L39" s="7"/>
      <c r="M39" s="7"/>
      <c r="N39" s="7" t="str">
        <f aca="false">IFERROR(INDEX(H39:K39,MATCH(L39,{"A","B","C","D"},0)),"")</f>
        <v/>
      </c>
      <c r="O39" s="7" t="str">
        <f aca="false">IFERROR(INDEX(H39:K39,MATCH(M39,{"A","B","C","D"},0)),"")</f>
        <v/>
      </c>
    </row>
    <row r="40" customFormat="false" ht="23.85" hidden="false" customHeight="false" outlineLevel="0" collapsed="false">
      <c r="A40" s="7" t="n">
        <v>8</v>
      </c>
      <c r="B40" s="7" t="n">
        <v>4</v>
      </c>
      <c r="C40" s="8" t="s">
        <v>473</v>
      </c>
      <c r="D40" s="8" t="s">
        <v>366</v>
      </c>
      <c r="E40" s="8" t="s">
        <v>441</v>
      </c>
      <c r="F40" s="8" t="s">
        <v>365</v>
      </c>
      <c r="G40" s="8" t="s">
        <v>442</v>
      </c>
      <c r="H40" s="7" t="s">
        <v>56</v>
      </c>
      <c r="I40" s="7" t="s">
        <v>54</v>
      </c>
      <c r="J40" s="7" t="s">
        <v>57</v>
      </c>
      <c r="K40" s="7" t="s">
        <v>55</v>
      </c>
      <c r="L40" s="7"/>
      <c r="M40" s="7"/>
      <c r="N40" s="7" t="str">
        <f aca="false">IFERROR(INDEX(H40:K40,MATCH(L40,{"A","B","C","D"},0)),"")</f>
        <v/>
      </c>
      <c r="O40" s="7" t="str">
        <f aca="false">IFERROR(INDEX(H40:K40,MATCH(M40,{"A","B","C","D"},0)),"")</f>
        <v/>
      </c>
    </row>
    <row r="41" customFormat="false" ht="23.85" hidden="false" customHeight="false" outlineLevel="0" collapsed="false">
      <c r="A41" s="7" t="n">
        <v>8</v>
      </c>
      <c r="B41" s="7" t="n">
        <v>5</v>
      </c>
      <c r="C41" s="8" t="s">
        <v>474</v>
      </c>
      <c r="D41" s="8" t="s">
        <v>445</v>
      </c>
      <c r="E41" s="8" t="s">
        <v>369</v>
      </c>
      <c r="F41" s="8" t="s">
        <v>446</v>
      </c>
      <c r="G41" s="8" t="s">
        <v>444</v>
      </c>
      <c r="H41" s="7" t="s">
        <v>57</v>
      </c>
      <c r="I41" s="7" t="s">
        <v>56</v>
      </c>
      <c r="J41" s="7" t="s">
        <v>55</v>
      </c>
      <c r="K41" s="7" t="s">
        <v>54</v>
      </c>
      <c r="L41" s="7"/>
      <c r="M41" s="7"/>
      <c r="N41" s="7" t="str">
        <f aca="false">IFERROR(INDEX(H41:K41,MATCH(L41,{"A","B","C","D"},0)),"")</f>
        <v/>
      </c>
      <c r="O41" s="7" t="str">
        <f aca="false">IFERROR(INDEX(H41:K41,MATCH(M41,{"A","B","C","D"},0)),"")</f>
        <v/>
      </c>
    </row>
    <row r="42" customFormat="false" ht="23.85" hidden="false" customHeight="false" outlineLevel="0" collapsed="false">
      <c r="A42" s="5" t="n">
        <v>9</v>
      </c>
      <c r="B42" s="5" t="n">
        <v>1</v>
      </c>
      <c r="C42" s="6" t="s">
        <v>475</v>
      </c>
      <c r="D42" s="6" t="s">
        <v>408</v>
      </c>
      <c r="E42" s="6" t="s">
        <v>407</v>
      </c>
      <c r="F42" s="6" t="s">
        <v>409</v>
      </c>
      <c r="G42" s="6" t="s">
        <v>330</v>
      </c>
      <c r="H42" s="5" t="s">
        <v>55</v>
      </c>
      <c r="I42" s="5" t="s">
        <v>54</v>
      </c>
      <c r="J42" s="5" t="s">
        <v>57</v>
      </c>
      <c r="K42" s="5" t="s">
        <v>56</v>
      </c>
      <c r="L42" s="5"/>
      <c r="M42" s="5"/>
      <c r="N42" s="5" t="str">
        <f aca="false">IFERROR(INDEX(H42:K42,MATCH(L42,{"A","B","C","D"},0)),"")</f>
        <v/>
      </c>
      <c r="O42" s="5" t="str">
        <f aca="false">IFERROR(INDEX(H42:K42,MATCH(M42,{"A","B","C","D"},0)),"")</f>
        <v/>
      </c>
    </row>
    <row r="43" customFormat="false" ht="23.85" hidden="false" customHeight="false" outlineLevel="0" collapsed="false">
      <c r="A43" s="5" t="n">
        <v>9</v>
      </c>
      <c r="B43" s="5" t="n">
        <v>2</v>
      </c>
      <c r="C43" s="6" t="s">
        <v>476</v>
      </c>
      <c r="D43" s="6" t="s">
        <v>412</v>
      </c>
      <c r="E43" s="6" t="s">
        <v>411</v>
      </c>
      <c r="F43" s="6" t="s">
        <v>414</v>
      </c>
      <c r="G43" s="6" t="s">
        <v>413</v>
      </c>
      <c r="H43" s="5" t="s">
        <v>57</v>
      </c>
      <c r="I43" s="5" t="s">
        <v>56</v>
      </c>
      <c r="J43" s="5" t="s">
        <v>54</v>
      </c>
      <c r="K43" s="5" t="s">
        <v>55</v>
      </c>
      <c r="L43" s="5"/>
      <c r="M43" s="5"/>
      <c r="N43" s="5" t="str">
        <f aca="false">IFERROR(INDEX(H43:K43,MATCH(L43,{"A","B","C","D"},0)),"")</f>
        <v/>
      </c>
      <c r="O43" s="5" t="str">
        <f aca="false">IFERROR(INDEX(H43:K43,MATCH(M43,{"A","B","C","D"},0)),"")</f>
        <v/>
      </c>
    </row>
    <row r="44" customFormat="false" ht="23.85" hidden="false" customHeight="false" outlineLevel="0" collapsed="false">
      <c r="A44" s="5" t="n">
        <v>9</v>
      </c>
      <c r="B44" s="5" t="n">
        <v>3</v>
      </c>
      <c r="C44" s="6" t="s">
        <v>477</v>
      </c>
      <c r="D44" s="6" t="s">
        <v>417</v>
      </c>
      <c r="E44" s="6" t="s">
        <v>418</v>
      </c>
      <c r="F44" s="6" t="s">
        <v>249</v>
      </c>
      <c r="G44" s="6" t="s">
        <v>416</v>
      </c>
      <c r="H44" s="5" t="s">
        <v>57</v>
      </c>
      <c r="I44" s="5" t="s">
        <v>54</v>
      </c>
      <c r="J44" s="5" t="s">
        <v>56</v>
      </c>
      <c r="K44" s="5" t="s">
        <v>55</v>
      </c>
      <c r="L44" s="5"/>
      <c r="M44" s="5"/>
      <c r="N44" s="5" t="str">
        <f aca="false">IFERROR(INDEX(H44:K44,MATCH(L44,{"A","B","C","D"},0)),"")</f>
        <v/>
      </c>
      <c r="O44" s="5" t="str">
        <f aca="false">IFERROR(INDEX(H44:K44,MATCH(M44,{"A","B","C","D"},0)),"")</f>
        <v/>
      </c>
    </row>
    <row r="45" customFormat="false" ht="23.85" hidden="false" customHeight="false" outlineLevel="0" collapsed="false">
      <c r="A45" s="5" t="n">
        <v>9</v>
      </c>
      <c r="B45" s="5" t="n">
        <v>4</v>
      </c>
      <c r="C45" s="6" t="s">
        <v>478</v>
      </c>
      <c r="D45" s="6" t="s">
        <v>422</v>
      </c>
      <c r="E45" s="6" t="s">
        <v>421</v>
      </c>
      <c r="F45" s="6" t="s">
        <v>420</v>
      </c>
      <c r="G45" s="6" t="s">
        <v>423</v>
      </c>
      <c r="H45" s="5" t="s">
        <v>56</v>
      </c>
      <c r="I45" s="5" t="s">
        <v>54</v>
      </c>
      <c r="J45" s="5" t="s">
        <v>57</v>
      </c>
      <c r="K45" s="5" t="s">
        <v>55</v>
      </c>
      <c r="L45" s="5"/>
      <c r="M45" s="5"/>
      <c r="N45" s="5" t="str">
        <f aca="false">IFERROR(INDEX(H45:K45,MATCH(L45,{"A","B","C","D"},0)),"")</f>
        <v/>
      </c>
      <c r="O45" s="5" t="str">
        <f aca="false">IFERROR(INDEX(H45:K45,MATCH(M45,{"A","B","C","D"},0)),"")</f>
        <v/>
      </c>
    </row>
    <row r="46" customFormat="false" ht="23.85" hidden="false" customHeight="false" outlineLevel="0" collapsed="false">
      <c r="A46" s="5" t="n">
        <v>9</v>
      </c>
      <c r="B46" s="5" t="n">
        <v>5</v>
      </c>
      <c r="C46" s="6" t="s">
        <v>479</v>
      </c>
      <c r="D46" s="6" t="s">
        <v>262</v>
      </c>
      <c r="E46" s="6" t="s">
        <v>426</v>
      </c>
      <c r="F46" s="6" t="s">
        <v>425</v>
      </c>
      <c r="G46" s="6" t="s">
        <v>427</v>
      </c>
      <c r="H46" s="5" t="s">
        <v>57</v>
      </c>
      <c r="I46" s="5" t="s">
        <v>55</v>
      </c>
      <c r="J46" s="5" t="s">
        <v>54</v>
      </c>
      <c r="K46" s="5" t="s">
        <v>56</v>
      </c>
      <c r="L46" s="5"/>
      <c r="M46" s="5"/>
      <c r="N46" s="5" t="str">
        <f aca="false">IFERROR(INDEX(H46:K46,MATCH(L46,{"A","B","C","D"},0)),"")</f>
        <v/>
      </c>
      <c r="O46" s="5" t="str">
        <f aca="false">IFERROR(INDEX(H46:K46,MATCH(M46,{"A","B","C","D"},0)),"")</f>
        <v/>
      </c>
    </row>
    <row r="47" customFormat="false" ht="23.85" hidden="false" customHeight="false" outlineLevel="0" collapsed="false">
      <c r="A47" s="7" t="n">
        <v>10</v>
      </c>
      <c r="B47" s="7" t="n">
        <v>1</v>
      </c>
      <c r="C47" s="8" t="s">
        <v>480</v>
      </c>
      <c r="D47" s="8" t="s">
        <v>429</v>
      </c>
      <c r="E47" s="8" t="s">
        <v>430</v>
      </c>
      <c r="F47" s="8" t="s">
        <v>431</v>
      </c>
      <c r="G47" s="8" t="s">
        <v>428</v>
      </c>
      <c r="H47" s="7" t="s">
        <v>57</v>
      </c>
      <c r="I47" s="7" t="s">
        <v>55</v>
      </c>
      <c r="J47" s="7" t="s">
        <v>56</v>
      </c>
      <c r="K47" s="7" t="s">
        <v>54</v>
      </c>
      <c r="L47" s="7"/>
      <c r="M47" s="7"/>
      <c r="N47" s="7" t="str">
        <f aca="false">IFERROR(INDEX(H47:K47,MATCH(L47,{"A","B","C","D"},0)),"")</f>
        <v/>
      </c>
      <c r="O47" s="7" t="str">
        <f aca="false">IFERROR(INDEX(H47:K47,MATCH(M47,{"A","B","C","D"},0)),"")</f>
        <v/>
      </c>
    </row>
    <row r="48" customFormat="false" ht="23.85" hidden="false" customHeight="false" outlineLevel="0" collapsed="false">
      <c r="A48" s="7" t="n">
        <v>10</v>
      </c>
      <c r="B48" s="7" t="n">
        <v>2</v>
      </c>
      <c r="C48" s="8" t="s">
        <v>402</v>
      </c>
      <c r="D48" s="8" t="s">
        <v>435</v>
      </c>
      <c r="E48" s="8" t="s">
        <v>434</v>
      </c>
      <c r="F48" s="8" t="s">
        <v>433</v>
      </c>
      <c r="G48" s="8" t="s">
        <v>355</v>
      </c>
      <c r="H48" s="7" t="s">
        <v>56</v>
      </c>
      <c r="I48" s="7" t="s">
        <v>54</v>
      </c>
      <c r="J48" s="7" t="s">
        <v>55</v>
      </c>
      <c r="K48" s="7" t="s">
        <v>57</v>
      </c>
      <c r="L48" s="7"/>
      <c r="M48" s="7"/>
      <c r="N48" s="7" t="str">
        <f aca="false">IFERROR(INDEX(H48:K48,MATCH(L48,{"A","B","C","D"},0)),"")</f>
        <v/>
      </c>
      <c r="O48" s="7" t="str">
        <f aca="false">IFERROR(INDEX(H48:K48,MATCH(M48,{"A","B","C","D"},0)),"")</f>
        <v/>
      </c>
    </row>
    <row r="49" customFormat="false" ht="23.85" hidden="false" customHeight="false" outlineLevel="0" collapsed="false">
      <c r="A49" s="7" t="n">
        <v>10</v>
      </c>
      <c r="B49" s="7" t="n">
        <v>3</v>
      </c>
      <c r="C49" s="8" t="s">
        <v>481</v>
      </c>
      <c r="D49" s="8" t="s">
        <v>439</v>
      </c>
      <c r="E49" s="8" t="s">
        <v>437</v>
      </c>
      <c r="F49" s="8" t="s">
        <v>438</v>
      </c>
      <c r="G49" s="8" t="s">
        <v>360</v>
      </c>
      <c r="H49" s="7" t="s">
        <v>54</v>
      </c>
      <c r="I49" s="7" t="s">
        <v>56</v>
      </c>
      <c r="J49" s="7" t="s">
        <v>55</v>
      </c>
      <c r="K49" s="7" t="s">
        <v>57</v>
      </c>
      <c r="L49" s="7"/>
      <c r="M49" s="7"/>
      <c r="N49" s="7" t="str">
        <f aca="false">IFERROR(INDEX(H49:K49,MATCH(L49,{"A","B","C","D"},0)),"")</f>
        <v/>
      </c>
      <c r="O49" s="7" t="str">
        <f aca="false">IFERROR(INDEX(H49:K49,MATCH(M49,{"A","B","C","D"},0)),"")</f>
        <v/>
      </c>
    </row>
    <row r="50" customFormat="false" ht="23.85" hidden="false" customHeight="false" outlineLevel="0" collapsed="false">
      <c r="A50" s="7" t="n">
        <v>10</v>
      </c>
      <c r="B50" s="7" t="n">
        <v>4</v>
      </c>
      <c r="C50" s="8" t="s">
        <v>482</v>
      </c>
      <c r="D50" s="8" t="s">
        <v>365</v>
      </c>
      <c r="E50" s="8" t="s">
        <v>366</v>
      </c>
      <c r="F50" s="8" t="s">
        <v>441</v>
      </c>
      <c r="G50" s="8" t="s">
        <v>442</v>
      </c>
      <c r="H50" s="7" t="s">
        <v>57</v>
      </c>
      <c r="I50" s="7" t="s">
        <v>56</v>
      </c>
      <c r="J50" s="7" t="s">
        <v>54</v>
      </c>
      <c r="K50" s="7" t="s">
        <v>55</v>
      </c>
      <c r="L50" s="7"/>
      <c r="M50" s="7"/>
      <c r="N50" s="7" t="str">
        <f aca="false">IFERROR(INDEX(H50:K50,MATCH(L50,{"A","B","C","D"},0)),"")</f>
        <v/>
      </c>
      <c r="O50" s="7" t="str">
        <f aca="false">IFERROR(INDEX(H50:K50,MATCH(M50,{"A","B","C","D"},0)),"")</f>
        <v/>
      </c>
    </row>
    <row r="51" customFormat="false" ht="23.85" hidden="false" customHeight="false" outlineLevel="0" collapsed="false">
      <c r="A51" s="7" t="n">
        <v>10</v>
      </c>
      <c r="B51" s="7" t="n">
        <v>5</v>
      </c>
      <c r="C51" s="8" t="s">
        <v>483</v>
      </c>
      <c r="D51" s="8" t="s">
        <v>445</v>
      </c>
      <c r="E51" s="8" t="s">
        <v>446</v>
      </c>
      <c r="F51" s="8" t="s">
        <v>369</v>
      </c>
      <c r="G51" s="8" t="s">
        <v>444</v>
      </c>
      <c r="H51" s="7" t="s">
        <v>57</v>
      </c>
      <c r="I51" s="7" t="s">
        <v>55</v>
      </c>
      <c r="J51" s="7" t="s">
        <v>56</v>
      </c>
      <c r="K51" s="7" t="s">
        <v>54</v>
      </c>
      <c r="L51" s="7"/>
      <c r="M51" s="7"/>
      <c r="N51" s="7" t="str">
        <f aca="false">IFERROR(INDEX(H51:K51,MATCH(L51,{"A","B","C","D"},0)),"")</f>
        <v/>
      </c>
      <c r="O51" s="7" t="str">
        <f aca="false">IFERROR(INDEX(H51:K51,MATCH(M51,{"A","B","C","D"},0)),"")</f>
        <v/>
      </c>
    </row>
    <row r="54" customFormat="false" ht="15" hidden="false" customHeight="false" outlineLevel="0" collapsed="false">
      <c r="A54" s="9" t="s">
        <v>143</v>
      </c>
      <c r="B54" s="9"/>
      <c r="C54" s="9"/>
      <c r="D54" s="9"/>
      <c r="E54" s="9"/>
      <c r="F54" s="9"/>
    </row>
    <row r="55" customFormat="false" ht="46.25" hidden="false" customHeight="false" outlineLevel="0" collapsed="false">
      <c r="A55" s="10" t="s">
        <v>34</v>
      </c>
      <c r="B55" s="10" t="s">
        <v>144</v>
      </c>
      <c r="C55" s="10" t="s">
        <v>145</v>
      </c>
      <c r="D55" s="10" t="s">
        <v>146</v>
      </c>
      <c r="E55" s="10" t="s">
        <v>147</v>
      </c>
      <c r="F55" s="10" t="s">
        <v>148</v>
      </c>
    </row>
    <row r="56" customFormat="false" ht="15" hidden="false" customHeight="false" outlineLevel="0" collapsed="false">
      <c r="A56" s="11" t="n">
        <v>1</v>
      </c>
      <c r="B56" s="12" t="n">
        <f aca="false">SUMPRODUCT(($A$2:$A$51=$A56)*($N$2:$N$51="ST"))-SUMPRODUCT(($A$2:$A$51=$A56)*($O$2:$O$51="ST"))</f>
        <v>0</v>
      </c>
      <c r="C56" s="12" t="n">
        <f aca="false">SUMPRODUCT(($A$2:$A$51=$A56)*($N$2:$N$51="RB"))-SUMPRODUCT(($A$2:$A$51=$A56)*($O$2:$O$51="RB"))</f>
        <v>0</v>
      </c>
      <c r="D56" s="12" t="n">
        <f aca="false">SUMPRODUCT(($A$2:$A$51=$A56)*($N$2:$N$51="IN"))-SUMPRODUCT(($A$2:$A$51=$A56)*($O$2:$O$51="IN"))</f>
        <v>0</v>
      </c>
      <c r="E56" s="12" t="n">
        <f aca="false">SUMPRODUCT(($A$2:$A$51=$A56)*($N$2:$N$51="EX"))-SUMPRODUCT(($A$2:$A$51=$A56)*($O$2:$O$51="EX"))</f>
        <v>0</v>
      </c>
      <c r="F56" s="12" t="str">
        <f aca="false">IF(COUNT(B56:E56)=0,"",INDEX({"Strategic Thinking";"Relationship Building";"Influencing";"Executing"},MATCH(MAX(B56:E56),B56:E56,0)))</f>
        <v>Strategic Thinking</v>
      </c>
    </row>
    <row r="57" customFormat="false" ht="15" hidden="false" customHeight="false" outlineLevel="0" collapsed="false">
      <c r="A57" s="11" t="n">
        <v>2</v>
      </c>
      <c r="B57" s="12" t="n">
        <f aca="false">SUMPRODUCT(($A$2:$A$51=$A57)*($N$2:$N$51="ST"))-SUMPRODUCT(($A$2:$A$51=$A57)*($O$2:$O$51="ST"))</f>
        <v>0</v>
      </c>
      <c r="C57" s="12" t="n">
        <f aca="false">SUMPRODUCT(($A$2:$A$51=$A57)*($N$2:$N$51="RB"))-SUMPRODUCT(($A$2:$A$51=$A57)*($O$2:$O$51="RB"))</f>
        <v>0</v>
      </c>
      <c r="D57" s="12" t="n">
        <f aca="false">SUMPRODUCT(($A$2:$A$51=$A57)*($N$2:$N$51="IN"))-SUMPRODUCT(($A$2:$A$51=$A57)*($O$2:$O$51="IN"))</f>
        <v>0</v>
      </c>
      <c r="E57" s="12" t="n">
        <f aca="false">SUMPRODUCT(($A$2:$A$51=$A57)*($N$2:$N$51="EX"))-SUMPRODUCT(($A$2:$A$51=$A57)*($O$2:$O$51="EX"))</f>
        <v>0</v>
      </c>
      <c r="F57" s="12" t="str">
        <f aca="false">IF(COUNT(B57:E57)=0,"",INDEX({"Strategic Thinking";"Relationship Building";"Influencing";"Executing"},MATCH(MAX(B57:E57),B57:E57,0)))</f>
        <v>Strategic Thinking</v>
      </c>
    </row>
    <row r="58" customFormat="false" ht="15" hidden="false" customHeight="false" outlineLevel="0" collapsed="false">
      <c r="A58" s="11" t="n">
        <v>3</v>
      </c>
      <c r="B58" s="12" t="n">
        <f aca="false">SUMPRODUCT(($A$2:$A$51=$A58)*($N$2:$N$51="ST"))-SUMPRODUCT(($A$2:$A$51=$A58)*($O$2:$O$51="ST"))</f>
        <v>0</v>
      </c>
      <c r="C58" s="12" t="n">
        <f aca="false">SUMPRODUCT(($A$2:$A$51=$A58)*($N$2:$N$51="RB"))-SUMPRODUCT(($A$2:$A$51=$A58)*($O$2:$O$51="RB"))</f>
        <v>0</v>
      </c>
      <c r="D58" s="12" t="n">
        <f aca="false">SUMPRODUCT(($A$2:$A$51=$A58)*($N$2:$N$51="IN"))-SUMPRODUCT(($A$2:$A$51=$A58)*($O$2:$O$51="IN"))</f>
        <v>0</v>
      </c>
      <c r="E58" s="12" t="n">
        <f aca="false">SUMPRODUCT(($A$2:$A$51=$A58)*($N$2:$N$51="EX"))-SUMPRODUCT(($A$2:$A$51=$A58)*($O$2:$O$51="EX"))</f>
        <v>0</v>
      </c>
      <c r="F58" s="12" t="str">
        <f aca="false">IF(COUNT(B58:E58)=0,"",INDEX({"Strategic Thinking";"Relationship Building";"Influencing";"Executing"},MATCH(MAX(B58:E58),B58:E58,0)))</f>
        <v>Strategic Thinking</v>
      </c>
    </row>
    <row r="59" customFormat="false" ht="15" hidden="false" customHeight="false" outlineLevel="0" collapsed="false">
      <c r="A59" s="11" t="n">
        <v>4</v>
      </c>
      <c r="B59" s="12" t="n">
        <f aca="false">SUMPRODUCT(($A$2:$A$51=$A59)*($N$2:$N$51="ST"))-SUMPRODUCT(($A$2:$A$51=$A59)*($O$2:$O$51="ST"))</f>
        <v>0</v>
      </c>
      <c r="C59" s="12" t="n">
        <f aca="false">SUMPRODUCT(($A$2:$A$51=$A59)*($N$2:$N$51="RB"))-SUMPRODUCT(($A$2:$A$51=$A59)*($O$2:$O$51="RB"))</f>
        <v>0</v>
      </c>
      <c r="D59" s="12" t="n">
        <f aca="false">SUMPRODUCT(($A$2:$A$51=$A59)*($N$2:$N$51="IN"))-SUMPRODUCT(($A$2:$A$51=$A59)*($O$2:$O$51="IN"))</f>
        <v>0</v>
      </c>
      <c r="E59" s="12" t="n">
        <f aca="false">SUMPRODUCT(($A$2:$A$51=$A59)*($N$2:$N$51="EX"))-SUMPRODUCT(($A$2:$A$51=$A59)*($O$2:$O$51="EX"))</f>
        <v>0</v>
      </c>
      <c r="F59" s="12" t="str">
        <f aca="false">IF(COUNT(B59:E59)=0,"",INDEX({"Strategic Thinking";"Relationship Building";"Influencing";"Executing"},MATCH(MAX(B59:E59),B59:E59,0)))</f>
        <v>Strategic Thinking</v>
      </c>
    </row>
    <row r="60" customFormat="false" ht="15" hidden="false" customHeight="false" outlineLevel="0" collapsed="false">
      <c r="A60" s="11" t="n">
        <v>5</v>
      </c>
      <c r="B60" s="12" t="n">
        <f aca="false">SUMPRODUCT(($A$2:$A$51=$A60)*($N$2:$N$51="ST"))-SUMPRODUCT(($A$2:$A$51=$A60)*($O$2:$O$51="ST"))</f>
        <v>0</v>
      </c>
      <c r="C60" s="12" t="n">
        <f aca="false">SUMPRODUCT(($A$2:$A$51=$A60)*($N$2:$N$51="RB"))-SUMPRODUCT(($A$2:$A$51=$A60)*($O$2:$O$51="RB"))</f>
        <v>0</v>
      </c>
      <c r="D60" s="12" t="n">
        <f aca="false">SUMPRODUCT(($A$2:$A$51=$A60)*($N$2:$N$51="IN"))-SUMPRODUCT(($A$2:$A$51=$A60)*($O$2:$O$51="IN"))</f>
        <v>0</v>
      </c>
      <c r="E60" s="12" t="n">
        <f aca="false">SUMPRODUCT(($A$2:$A$51=$A60)*($N$2:$N$51="EX"))-SUMPRODUCT(($A$2:$A$51=$A60)*($O$2:$O$51="EX"))</f>
        <v>0</v>
      </c>
      <c r="F60" s="12" t="str">
        <f aca="false">IF(COUNT(B60:E60)=0,"",INDEX({"Strategic Thinking";"Relationship Building";"Influencing";"Executing"},MATCH(MAX(B60:E60),B60:E60,0)))</f>
        <v>Strategic Thinking</v>
      </c>
    </row>
    <row r="61" customFormat="false" ht="15" hidden="false" customHeight="false" outlineLevel="0" collapsed="false">
      <c r="A61" s="11" t="n">
        <v>6</v>
      </c>
      <c r="B61" s="12" t="n">
        <f aca="false">SUMPRODUCT(($A$2:$A$51=$A61)*($N$2:$N$51="ST"))-SUMPRODUCT(($A$2:$A$51=$A61)*($O$2:$O$51="ST"))</f>
        <v>0</v>
      </c>
      <c r="C61" s="12" t="n">
        <f aca="false">SUMPRODUCT(($A$2:$A$51=$A61)*($N$2:$N$51="RB"))-SUMPRODUCT(($A$2:$A$51=$A61)*($O$2:$O$51="RB"))</f>
        <v>0</v>
      </c>
      <c r="D61" s="12" t="n">
        <f aca="false">SUMPRODUCT(($A$2:$A$51=$A61)*($N$2:$N$51="IN"))-SUMPRODUCT(($A$2:$A$51=$A61)*($O$2:$O$51="IN"))</f>
        <v>0</v>
      </c>
      <c r="E61" s="12" t="n">
        <f aca="false">SUMPRODUCT(($A$2:$A$51=$A61)*($N$2:$N$51="EX"))-SUMPRODUCT(($A$2:$A$51=$A61)*($O$2:$O$51="EX"))</f>
        <v>0</v>
      </c>
      <c r="F61" s="12" t="str">
        <f aca="false">IF(COUNT(B61:E61)=0,"",INDEX({"Strategic Thinking";"Relationship Building";"Influencing";"Executing"},MATCH(MAX(B61:E61),B61:E61,0)))</f>
        <v>Strategic Thinking</v>
      </c>
    </row>
    <row r="62" customFormat="false" ht="15" hidden="false" customHeight="false" outlineLevel="0" collapsed="false">
      <c r="A62" s="11" t="n">
        <v>7</v>
      </c>
      <c r="B62" s="12" t="n">
        <f aca="false">SUMPRODUCT(($A$2:$A$51=$A62)*($N$2:$N$51="ST"))-SUMPRODUCT(($A$2:$A$51=$A62)*($O$2:$O$51="ST"))</f>
        <v>0</v>
      </c>
      <c r="C62" s="12" t="n">
        <f aca="false">SUMPRODUCT(($A$2:$A$51=$A62)*($N$2:$N$51="RB"))-SUMPRODUCT(($A$2:$A$51=$A62)*($O$2:$O$51="RB"))</f>
        <v>0</v>
      </c>
      <c r="D62" s="12" t="n">
        <f aca="false">SUMPRODUCT(($A$2:$A$51=$A62)*($N$2:$N$51="IN"))-SUMPRODUCT(($A$2:$A$51=$A62)*($O$2:$O$51="IN"))</f>
        <v>0</v>
      </c>
      <c r="E62" s="12" t="n">
        <f aca="false">SUMPRODUCT(($A$2:$A$51=$A62)*($N$2:$N$51="EX"))-SUMPRODUCT(($A$2:$A$51=$A62)*($O$2:$O$51="EX"))</f>
        <v>0</v>
      </c>
      <c r="F62" s="12" t="str">
        <f aca="false">IF(COUNT(B62:E62)=0,"",INDEX({"Strategic Thinking";"Relationship Building";"Influencing";"Executing"},MATCH(MAX(B62:E62),B62:E62,0)))</f>
        <v>Strategic Thinking</v>
      </c>
    </row>
    <row r="63" customFormat="false" ht="15" hidden="false" customHeight="false" outlineLevel="0" collapsed="false">
      <c r="A63" s="11" t="n">
        <v>8</v>
      </c>
      <c r="B63" s="12" t="n">
        <f aca="false">SUMPRODUCT(($A$2:$A$51=$A63)*($N$2:$N$51="ST"))-SUMPRODUCT(($A$2:$A$51=$A63)*($O$2:$O$51="ST"))</f>
        <v>0</v>
      </c>
      <c r="C63" s="12" t="n">
        <f aca="false">SUMPRODUCT(($A$2:$A$51=$A63)*($N$2:$N$51="RB"))-SUMPRODUCT(($A$2:$A$51=$A63)*($O$2:$O$51="RB"))</f>
        <v>0</v>
      </c>
      <c r="D63" s="12" t="n">
        <f aca="false">SUMPRODUCT(($A$2:$A$51=$A63)*($N$2:$N$51="IN"))-SUMPRODUCT(($A$2:$A$51=$A63)*($O$2:$O$51="IN"))</f>
        <v>0</v>
      </c>
      <c r="E63" s="12" t="n">
        <f aca="false">SUMPRODUCT(($A$2:$A$51=$A63)*($N$2:$N$51="EX"))-SUMPRODUCT(($A$2:$A$51=$A63)*($O$2:$O$51="EX"))</f>
        <v>0</v>
      </c>
      <c r="F63" s="12" t="str">
        <f aca="false">IF(COUNT(B63:E63)=0,"",INDEX({"Strategic Thinking";"Relationship Building";"Influencing";"Executing"},MATCH(MAX(B63:E63),B63:E63,0)))</f>
        <v>Strategic Thinking</v>
      </c>
    </row>
    <row r="64" customFormat="false" ht="15" hidden="false" customHeight="false" outlineLevel="0" collapsed="false">
      <c r="A64" s="11" t="n">
        <v>9</v>
      </c>
      <c r="B64" s="12" t="n">
        <f aca="false">SUMPRODUCT(($A$2:$A$51=$A64)*($N$2:$N$51="ST"))-SUMPRODUCT(($A$2:$A$51=$A64)*($O$2:$O$51="ST"))</f>
        <v>0</v>
      </c>
      <c r="C64" s="12" t="n">
        <f aca="false">SUMPRODUCT(($A$2:$A$51=$A64)*($N$2:$N$51="RB"))-SUMPRODUCT(($A$2:$A$51=$A64)*($O$2:$O$51="RB"))</f>
        <v>0</v>
      </c>
      <c r="D64" s="12" t="n">
        <f aca="false">SUMPRODUCT(($A$2:$A$51=$A64)*($N$2:$N$51="IN"))-SUMPRODUCT(($A$2:$A$51=$A64)*($O$2:$O$51="IN"))</f>
        <v>0</v>
      </c>
      <c r="E64" s="12" t="n">
        <f aca="false">SUMPRODUCT(($A$2:$A$51=$A64)*($N$2:$N$51="EX"))-SUMPRODUCT(($A$2:$A$51=$A64)*($O$2:$O$51="EX"))</f>
        <v>0</v>
      </c>
      <c r="F64" s="12" t="str">
        <f aca="false">IF(COUNT(B64:E64)=0,"",INDEX({"Strategic Thinking";"Relationship Building";"Influencing";"Executing"},MATCH(MAX(B64:E64),B64:E64,0)))</f>
        <v>Strategic Thinking</v>
      </c>
    </row>
    <row r="65" customFormat="false" ht="15" hidden="false" customHeight="false" outlineLevel="0" collapsed="false">
      <c r="A65" s="11" t="n">
        <v>10</v>
      </c>
      <c r="B65" s="12" t="n">
        <f aca="false">SUMPRODUCT(($A$2:$A$51=$A65)*($N$2:$N$51="ST"))-SUMPRODUCT(($A$2:$A$51=$A65)*($O$2:$O$51="ST"))</f>
        <v>0</v>
      </c>
      <c r="C65" s="12" t="n">
        <f aca="false">SUMPRODUCT(($A$2:$A$51=$A65)*($N$2:$N$51="RB"))-SUMPRODUCT(($A$2:$A$51=$A65)*($O$2:$O$51="RB"))</f>
        <v>0</v>
      </c>
      <c r="D65" s="12" t="n">
        <f aca="false">SUMPRODUCT(($A$2:$A$51=$A65)*($N$2:$N$51="IN"))-SUMPRODUCT(($A$2:$A$51=$A65)*($O$2:$O$51="IN"))</f>
        <v>0</v>
      </c>
      <c r="E65" s="12" t="n">
        <f aca="false">SUMPRODUCT(($A$2:$A$51=$A65)*($N$2:$N$51="EX"))-SUMPRODUCT(($A$2:$A$51=$A65)*($O$2:$O$51="EX"))</f>
        <v>0</v>
      </c>
      <c r="F65" s="12" t="str">
        <f aca="false">IF(COUNT(B65:E65)=0,"",INDEX({"Strategic Thinking";"Relationship Building";"Influencing";"Executing"},MATCH(MAX(B65:E65),B65:E65,0)))</f>
        <v>Strategic Thinking</v>
      </c>
    </row>
  </sheetData>
  <mergeCells count="1">
    <mergeCell ref="A54:F54"/>
  </mergeCells>
  <dataValidations count="1">
    <dataValidation allowBlank="true" error="Enter A, B, C or D" errorStyle="stop" errorTitle="Invalid entry" operator="between" showDropDown="false" showErrorMessage="true" showInputMessage="false" sqref="L2:M5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7" min="4" style="0" width="30"/>
    <col collapsed="false" customWidth="true" hidden="false" outlineLevel="0" max="11" min="8" style="0" width="9"/>
    <col collapsed="false" customWidth="true" hidden="false" outlineLevel="0" max="13" min="12" style="0" width="11"/>
    <col collapsed="false" customWidth="true" hidden="false" outlineLevel="0" max="15" min="14" style="0" width="12"/>
  </cols>
  <sheetData>
    <row r="1" customFormat="false" ht="23.85" hidden="false" customHeight="false" outlineLevel="0" collapsed="false">
      <c r="A1" s="4" t="s">
        <v>34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4" t="s">
        <v>48</v>
      </c>
    </row>
    <row r="2" customFormat="false" ht="23.85" hidden="false" customHeight="false" outlineLevel="0" collapsed="false">
      <c r="A2" s="5" t="n">
        <v>1</v>
      </c>
      <c r="B2" s="5" t="n">
        <v>1</v>
      </c>
      <c r="C2" s="6" t="s">
        <v>484</v>
      </c>
      <c r="D2" s="6" t="s">
        <v>328</v>
      </c>
      <c r="E2" s="6" t="s">
        <v>485</v>
      </c>
      <c r="F2" s="6" t="s">
        <v>486</v>
      </c>
      <c r="G2" s="6" t="s">
        <v>487</v>
      </c>
      <c r="H2" s="5" t="s">
        <v>57</v>
      </c>
      <c r="I2" s="5" t="s">
        <v>54</v>
      </c>
      <c r="J2" s="5" t="s">
        <v>56</v>
      </c>
      <c r="K2" s="5" t="s">
        <v>55</v>
      </c>
      <c r="L2" s="5"/>
      <c r="M2" s="5"/>
      <c r="N2" s="5" t="str">
        <f aca="false">IFERROR(INDEX(H2:K2,MATCH(L2,{"A","B","C","D"},0)),"")</f>
        <v/>
      </c>
      <c r="O2" s="5" t="str">
        <f aca="false">IFERROR(INDEX(H2:K2,MATCH(M2,{"A","B","C","D"},0)),"")</f>
        <v/>
      </c>
    </row>
    <row r="3" customFormat="false" ht="23.85" hidden="false" customHeight="false" outlineLevel="0" collapsed="false">
      <c r="A3" s="5" t="n">
        <v>1</v>
      </c>
      <c r="B3" s="5" t="n">
        <v>2</v>
      </c>
      <c r="C3" s="6" t="s">
        <v>488</v>
      </c>
      <c r="D3" s="6" t="s">
        <v>489</v>
      </c>
      <c r="E3" s="6" t="s">
        <v>490</v>
      </c>
      <c r="F3" s="6" t="s">
        <v>491</v>
      </c>
      <c r="G3" s="6" t="s">
        <v>492</v>
      </c>
      <c r="H3" s="5" t="s">
        <v>55</v>
      </c>
      <c r="I3" s="5" t="s">
        <v>54</v>
      </c>
      <c r="J3" s="5" t="s">
        <v>56</v>
      </c>
      <c r="K3" s="5" t="s">
        <v>57</v>
      </c>
      <c r="L3" s="5"/>
      <c r="M3" s="5"/>
      <c r="N3" s="5" t="str">
        <f aca="false">IFERROR(INDEX(H3:K3,MATCH(L3,{"A","B","C","D"},0)),"")</f>
        <v/>
      </c>
      <c r="O3" s="5" t="str">
        <f aca="false">IFERROR(INDEX(H3:K3,MATCH(M3,{"A","B","C","D"},0)),"")</f>
        <v/>
      </c>
    </row>
    <row r="4" customFormat="false" ht="23.85" hidden="false" customHeight="false" outlineLevel="0" collapsed="false">
      <c r="A4" s="5" t="n">
        <v>1</v>
      </c>
      <c r="B4" s="5" t="n">
        <v>3</v>
      </c>
      <c r="C4" s="6" t="s">
        <v>493</v>
      </c>
      <c r="D4" s="6" t="s">
        <v>494</v>
      </c>
      <c r="E4" s="6" t="s">
        <v>339</v>
      </c>
      <c r="F4" s="6" t="s">
        <v>249</v>
      </c>
      <c r="G4" s="6" t="s">
        <v>495</v>
      </c>
      <c r="H4" s="5" t="s">
        <v>55</v>
      </c>
      <c r="I4" s="5" t="s">
        <v>54</v>
      </c>
      <c r="J4" s="5" t="s">
        <v>56</v>
      </c>
      <c r="K4" s="5" t="s">
        <v>57</v>
      </c>
      <c r="L4" s="5"/>
      <c r="M4" s="5"/>
      <c r="N4" s="5" t="str">
        <f aca="false">IFERROR(INDEX(H4:K4,MATCH(L4,{"A","B","C","D"},0)),"")</f>
        <v/>
      </c>
      <c r="O4" s="5" t="str">
        <f aca="false">IFERROR(INDEX(H4:K4,MATCH(M4,{"A","B","C","D"},0)),"")</f>
        <v/>
      </c>
    </row>
    <row r="5" customFormat="false" ht="23.85" hidden="false" customHeight="false" outlineLevel="0" collapsed="false">
      <c r="A5" s="5" t="n">
        <v>1</v>
      </c>
      <c r="B5" s="5" t="n">
        <v>4</v>
      </c>
      <c r="C5" s="6" t="s">
        <v>496</v>
      </c>
      <c r="D5" s="6" t="s">
        <v>497</v>
      </c>
      <c r="E5" s="6" t="s">
        <v>498</v>
      </c>
      <c r="F5" s="6" t="s">
        <v>499</v>
      </c>
      <c r="G5" s="6" t="s">
        <v>500</v>
      </c>
      <c r="H5" s="5" t="s">
        <v>55</v>
      </c>
      <c r="I5" s="5" t="s">
        <v>56</v>
      </c>
      <c r="J5" s="5" t="s">
        <v>57</v>
      </c>
      <c r="K5" s="5" t="s">
        <v>54</v>
      </c>
      <c r="L5" s="5"/>
      <c r="M5" s="5"/>
      <c r="N5" s="5" t="str">
        <f aca="false">IFERROR(INDEX(H5:K5,MATCH(L5,{"A","B","C","D"},0)),"")</f>
        <v/>
      </c>
      <c r="O5" s="5" t="str">
        <f aca="false">IFERROR(INDEX(H5:K5,MATCH(M5,{"A","B","C","D"},0)),"")</f>
        <v/>
      </c>
    </row>
    <row r="6" customFormat="false" ht="23.85" hidden="false" customHeight="false" outlineLevel="0" collapsed="false">
      <c r="A6" s="5" t="n">
        <v>1</v>
      </c>
      <c r="B6" s="5" t="n">
        <v>5</v>
      </c>
      <c r="C6" s="6" t="s">
        <v>501</v>
      </c>
      <c r="D6" s="6" t="s">
        <v>262</v>
      </c>
      <c r="E6" s="6" t="s">
        <v>502</v>
      </c>
      <c r="F6" s="6" t="s">
        <v>503</v>
      </c>
      <c r="G6" s="6" t="s">
        <v>504</v>
      </c>
      <c r="H6" s="5" t="s">
        <v>57</v>
      </c>
      <c r="I6" s="5" t="s">
        <v>56</v>
      </c>
      <c r="J6" s="5" t="s">
        <v>55</v>
      </c>
      <c r="K6" s="5" t="s">
        <v>54</v>
      </c>
      <c r="L6" s="5"/>
      <c r="M6" s="5"/>
      <c r="N6" s="5" t="str">
        <f aca="false">IFERROR(INDEX(H6:K6,MATCH(L6,{"A","B","C","D"},0)),"")</f>
        <v/>
      </c>
      <c r="O6" s="5" t="str">
        <f aca="false">IFERROR(INDEX(H6:K6,MATCH(M6,{"A","B","C","D"},0)),"")</f>
        <v/>
      </c>
    </row>
    <row r="7" customFormat="false" ht="23.85" hidden="false" customHeight="false" outlineLevel="0" collapsed="false">
      <c r="A7" s="7" t="n">
        <v>2</v>
      </c>
      <c r="B7" s="7" t="n">
        <v>1</v>
      </c>
      <c r="C7" s="8" t="s">
        <v>505</v>
      </c>
      <c r="D7" s="8" t="s">
        <v>506</v>
      </c>
      <c r="E7" s="8" t="s">
        <v>507</v>
      </c>
      <c r="F7" s="8" t="s">
        <v>508</v>
      </c>
      <c r="G7" s="8" t="s">
        <v>509</v>
      </c>
      <c r="H7" s="7" t="s">
        <v>55</v>
      </c>
      <c r="I7" s="7" t="s">
        <v>57</v>
      </c>
      <c r="J7" s="7" t="s">
        <v>54</v>
      </c>
      <c r="K7" s="7" t="s">
        <v>56</v>
      </c>
      <c r="L7" s="7"/>
      <c r="M7" s="7"/>
      <c r="N7" s="7" t="str">
        <f aca="false">IFERROR(INDEX(H7:K7,MATCH(L7,{"A","B","C","D"},0)),"")</f>
        <v/>
      </c>
      <c r="O7" s="7" t="str">
        <f aca="false">IFERROR(INDEX(H7:K7,MATCH(M7,{"A","B","C","D"},0)),"")</f>
        <v/>
      </c>
    </row>
    <row r="8" customFormat="false" ht="23.85" hidden="false" customHeight="false" outlineLevel="0" collapsed="false">
      <c r="A8" s="7" t="n">
        <v>2</v>
      </c>
      <c r="B8" s="7" t="n">
        <v>2</v>
      </c>
      <c r="C8" s="8" t="s">
        <v>510</v>
      </c>
      <c r="D8" s="8" t="s">
        <v>511</v>
      </c>
      <c r="E8" s="8" t="s">
        <v>512</v>
      </c>
      <c r="F8" s="8" t="s">
        <v>513</v>
      </c>
      <c r="G8" s="8" t="s">
        <v>514</v>
      </c>
      <c r="H8" s="7" t="s">
        <v>54</v>
      </c>
      <c r="I8" s="7" t="s">
        <v>55</v>
      </c>
      <c r="J8" s="7" t="s">
        <v>56</v>
      </c>
      <c r="K8" s="7" t="s">
        <v>57</v>
      </c>
      <c r="L8" s="7"/>
      <c r="M8" s="7"/>
      <c r="N8" s="7" t="str">
        <f aca="false">IFERROR(INDEX(H8:K8,MATCH(L8,{"A","B","C","D"},0)),"")</f>
        <v/>
      </c>
      <c r="O8" s="7" t="str">
        <f aca="false">IFERROR(INDEX(H8:K8,MATCH(M8,{"A","B","C","D"},0)),"")</f>
        <v/>
      </c>
    </row>
    <row r="9" customFormat="false" ht="35.05" hidden="false" customHeight="false" outlineLevel="0" collapsed="false">
      <c r="A9" s="7" t="n">
        <v>2</v>
      </c>
      <c r="B9" s="7" t="n">
        <v>3</v>
      </c>
      <c r="C9" s="8" t="s">
        <v>515</v>
      </c>
      <c r="D9" s="8" t="s">
        <v>516</v>
      </c>
      <c r="E9" s="8" t="s">
        <v>438</v>
      </c>
      <c r="F9" s="8" t="s">
        <v>517</v>
      </c>
      <c r="G9" s="8" t="s">
        <v>518</v>
      </c>
      <c r="H9" s="7" t="s">
        <v>56</v>
      </c>
      <c r="I9" s="7" t="s">
        <v>55</v>
      </c>
      <c r="J9" s="7" t="s">
        <v>57</v>
      </c>
      <c r="K9" s="7" t="s">
        <v>54</v>
      </c>
      <c r="L9" s="7"/>
      <c r="M9" s="7"/>
      <c r="N9" s="7" t="str">
        <f aca="false">IFERROR(INDEX(H9:K9,MATCH(L9,{"A","B","C","D"},0)),"")</f>
        <v/>
      </c>
      <c r="O9" s="7" t="str">
        <f aca="false">IFERROR(INDEX(H9:K9,MATCH(M9,{"A","B","C","D"},0)),"")</f>
        <v/>
      </c>
    </row>
    <row r="10" customFormat="false" ht="23.85" hidden="false" customHeight="false" outlineLevel="0" collapsed="false">
      <c r="A10" s="7" t="n">
        <v>2</v>
      </c>
      <c r="B10" s="7" t="n">
        <v>4</v>
      </c>
      <c r="C10" s="8" t="s">
        <v>519</v>
      </c>
      <c r="D10" s="8" t="s">
        <v>520</v>
      </c>
      <c r="E10" s="8" t="s">
        <v>365</v>
      </c>
      <c r="F10" s="8" t="s">
        <v>366</v>
      </c>
      <c r="G10" s="8" t="s">
        <v>521</v>
      </c>
      <c r="H10" s="7" t="s">
        <v>55</v>
      </c>
      <c r="I10" s="7" t="s">
        <v>57</v>
      </c>
      <c r="J10" s="7" t="s">
        <v>56</v>
      </c>
      <c r="K10" s="7" t="s">
        <v>54</v>
      </c>
      <c r="L10" s="7"/>
      <c r="M10" s="7"/>
      <c r="N10" s="7" t="str">
        <f aca="false">IFERROR(INDEX(H10:K10,MATCH(L10,{"A","B","C","D"},0)),"")</f>
        <v/>
      </c>
      <c r="O10" s="7" t="str">
        <f aca="false">IFERROR(INDEX(H10:K10,MATCH(M10,{"A","B","C","D"},0)),"")</f>
        <v/>
      </c>
    </row>
    <row r="11" customFormat="false" ht="23.85" hidden="false" customHeight="false" outlineLevel="0" collapsed="false">
      <c r="A11" s="7" t="n">
        <v>2</v>
      </c>
      <c r="B11" s="7" t="n">
        <v>5</v>
      </c>
      <c r="C11" s="8" t="s">
        <v>522</v>
      </c>
      <c r="D11" s="8" t="s">
        <v>523</v>
      </c>
      <c r="E11" s="8" t="s">
        <v>524</v>
      </c>
      <c r="F11" s="8" t="s">
        <v>446</v>
      </c>
      <c r="G11" s="8" t="s">
        <v>525</v>
      </c>
      <c r="H11" s="7" t="s">
        <v>56</v>
      </c>
      <c r="I11" s="7" t="s">
        <v>57</v>
      </c>
      <c r="J11" s="7" t="s">
        <v>55</v>
      </c>
      <c r="K11" s="7" t="s">
        <v>54</v>
      </c>
      <c r="L11" s="7"/>
      <c r="M11" s="7"/>
      <c r="N11" s="7" t="str">
        <f aca="false">IFERROR(INDEX(H11:K11,MATCH(L11,{"A","B","C","D"},0)),"")</f>
        <v/>
      </c>
      <c r="O11" s="7" t="str">
        <f aca="false">IFERROR(INDEX(H11:K11,MATCH(M11,{"A","B","C","D"},0)),"")</f>
        <v/>
      </c>
    </row>
    <row r="12" customFormat="false" ht="23.85" hidden="false" customHeight="false" outlineLevel="0" collapsed="false">
      <c r="A12" s="5" t="n">
        <v>3</v>
      </c>
      <c r="B12" s="5" t="n">
        <v>1</v>
      </c>
      <c r="C12" s="6" t="s">
        <v>526</v>
      </c>
      <c r="D12" s="6" t="s">
        <v>487</v>
      </c>
      <c r="E12" s="6" t="s">
        <v>485</v>
      </c>
      <c r="F12" s="6" t="s">
        <v>328</v>
      </c>
      <c r="G12" s="6" t="s">
        <v>486</v>
      </c>
      <c r="H12" s="5" t="s">
        <v>55</v>
      </c>
      <c r="I12" s="5" t="s">
        <v>54</v>
      </c>
      <c r="J12" s="5" t="s">
        <v>57</v>
      </c>
      <c r="K12" s="5" t="s">
        <v>56</v>
      </c>
      <c r="L12" s="5"/>
      <c r="M12" s="5"/>
      <c r="N12" s="5" t="str">
        <f aca="false">IFERROR(INDEX(H12:K12,MATCH(L12,{"A","B","C","D"},0)),"")</f>
        <v/>
      </c>
      <c r="O12" s="5" t="str">
        <f aca="false">IFERROR(INDEX(H12:K12,MATCH(M12,{"A","B","C","D"},0)),"")</f>
        <v/>
      </c>
    </row>
    <row r="13" customFormat="false" ht="23.85" hidden="false" customHeight="false" outlineLevel="0" collapsed="false">
      <c r="A13" s="5" t="n">
        <v>3</v>
      </c>
      <c r="B13" s="5" t="n">
        <v>2</v>
      </c>
      <c r="C13" s="6" t="s">
        <v>527</v>
      </c>
      <c r="D13" s="6" t="s">
        <v>489</v>
      </c>
      <c r="E13" s="6" t="s">
        <v>490</v>
      </c>
      <c r="F13" s="6" t="s">
        <v>492</v>
      </c>
      <c r="G13" s="6" t="s">
        <v>491</v>
      </c>
      <c r="H13" s="5" t="s">
        <v>55</v>
      </c>
      <c r="I13" s="5" t="s">
        <v>54</v>
      </c>
      <c r="J13" s="5" t="s">
        <v>57</v>
      </c>
      <c r="K13" s="5" t="s">
        <v>56</v>
      </c>
      <c r="L13" s="5"/>
      <c r="M13" s="5"/>
      <c r="N13" s="5" t="str">
        <f aca="false">IFERROR(INDEX(H13:K13,MATCH(L13,{"A","B","C","D"},0)),"")</f>
        <v/>
      </c>
      <c r="O13" s="5" t="str">
        <f aca="false">IFERROR(INDEX(H13:K13,MATCH(M13,{"A","B","C","D"},0)),"")</f>
        <v/>
      </c>
    </row>
    <row r="14" customFormat="false" ht="23.85" hidden="false" customHeight="false" outlineLevel="0" collapsed="false">
      <c r="A14" s="5" t="n">
        <v>3</v>
      </c>
      <c r="B14" s="5" t="n">
        <v>3</v>
      </c>
      <c r="C14" s="6" t="s">
        <v>528</v>
      </c>
      <c r="D14" s="6" t="s">
        <v>339</v>
      </c>
      <c r="E14" s="6" t="s">
        <v>249</v>
      </c>
      <c r="F14" s="6" t="s">
        <v>494</v>
      </c>
      <c r="G14" s="6" t="s">
        <v>495</v>
      </c>
      <c r="H14" s="5" t="s">
        <v>54</v>
      </c>
      <c r="I14" s="5" t="s">
        <v>56</v>
      </c>
      <c r="J14" s="5" t="s">
        <v>55</v>
      </c>
      <c r="K14" s="5" t="s">
        <v>57</v>
      </c>
      <c r="L14" s="5"/>
      <c r="M14" s="5"/>
      <c r="N14" s="5" t="str">
        <f aca="false">IFERROR(INDEX(H14:K14,MATCH(L14,{"A","B","C","D"},0)),"")</f>
        <v/>
      </c>
      <c r="O14" s="5" t="str">
        <f aca="false">IFERROR(INDEX(H14:K14,MATCH(M14,{"A","B","C","D"},0)),"")</f>
        <v/>
      </c>
    </row>
    <row r="15" customFormat="false" ht="23.85" hidden="false" customHeight="false" outlineLevel="0" collapsed="false">
      <c r="A15" s="5" t="n">
        <v>3</v>
      </c>
      <c r="B15" s="5" t="n">
        <v>4</v>
      </c>
      <c r="C15" s="6" t="s">
        <v>529</v>
      </c>
      <c r="D15" s="6" t="s">
        <v>498</v>
      </c>
      <c r="E15" s="6" t="s">
        <v>499</v>
      </c>
      <c r="F15" s="6" t="s">
        <v>497</v>
      </c>
      <c r="G15" s="6" t="s">
        <v>500</v>
      </c>
      <c r="H15" s="5" t="s">
        <v>56</v>
      </c>
      <c r="I15" s="5" t="s">
        <v>57</v>
      </c>
      <c r="J15" s="5" t="s">
        <v>55</v>
      </c>
      <c r="K15" s="5" t="s">
        <v>54</v>
      </c>
      <c r="L15" s="5"/>
      <c r="M15" s="5"/>
      <c r="N15" s="5" t="str">
        <f aca="false">IFERROR(INDEX(H15:K15,MATCH(L15,{"A","B","C","D"},0)),"")</f>
        <v/>
      </c>
      <c r="O15" s="5" t="str">
        <f aca="false">IFERROR(INDEX(H15:K15,MATCH(M15,{"A","B","C","D"},0)),"")</f>
        <v/>
      </c>
    </row>
    <row r="16" customFormat="false" ht="23.85" hidden="false" customHeight="false" outlineLevel="0" collapsed="false">
      <c r="A16" s="5" t="n">
        <v>3</v>
      </c>
      <c r="B16" s="5" t="n">
        <v>5</v>
      </c>
      <c r="C16" s="6" t="s">
        <v>530</v>
      </c>
      <c r="D16" s="6" t="s">
        <v>504</v>
      </c>
      <c r="E16" s="6" t="s">
        <v>262</v>
      </c>
      <c r="F16" s="6" t="s">
        <v>503</v>
      </c>
      <c r="G16" s="6" t="s">
        <v>502</v>
      </c>
      <c r="H16" s="5" t="s">
        <v>54</v>
      </c>
      <c r="I16" s="5" t="s">
        <v>57</v>
      </c>
      <c r="J16" s="5" t="s">
        <v>55</v>
      </c>
      <c r="K16" s="5" t="s">
        <v>56</v>
      </c>
      <c r="L16" s="5"/>
      <c r="M16" s="5"/>
      <c r="N16" s="5" t="str">
        <f aca="false">IFERROR(INDEX(H16:K16,MATCH(L16,{"A","B","C","D"},0)),"")</f>
        <v/>
      </c>
      <c r="O16" s="5" t="str">
        <f aca="false">IFERROR(INDEX(H16:K16,MATCH(M16,{"A","B","C","D"},0)),"")</f>
        <v/>
      </c>
    </row>
    <row r="17" customFormat="false" ht="23.85" hidden="false" customHeight="false" outlineLevel="0" collapsed="false">
      <c r="A17" s="7" t="n">
        <v>4</v>
      </c>
      <c r="B17" s="7" t="n">
        <v>1</v>
      </c>
      <c r="C17" s="8" t="s">
        <v>531</v>
      </c>
      <c r="D17" s="8" t="s">
        <v>506</v>
      </c>
      <c r="E17" s="8" t="s">
        <v>509</v>
      </c>
      <c r="F17" s="8" t="s">
        <v>508</v>
      </c>
      <c r="G17" s="8" t="s">
        <v>507</v>
      </c>
      <c r="H17" s="7" t="s">
        <v>55</v>
      </c>
      <c r="I17" s="7" t="s">
        <v>56</v>
      </c>
      <c r="J17" s="7" t="s">
        <v>54</v>
      </c>
      <c r="K17" s="7" t="s">
        <v>57</v>
      </c>
      <c r="L17" s="7"/>
      <c r="M17" s="7"/>
      <c r="N17" s="7" t="str">
        <f aca="false">IFERROR(INDEX(H17:K17,MATCH(L17,{"A","B","C","D"},0)),"")</f>
        <v/>
      </c>
      <c r="O17" s="7" t="str">
        <f aca="false">IFERROR(INDEX(H17:K17,MATCH(M17,{"A","B","C","D"},0)),"")</f>
        <v/>
      </c>
    </row>
    <row r="18" customFormat="false" ht="23.85" hidden="false" customHeight="false" outlineLevel="0" collapsed="false">
      <c r="A18" s="7" t="n">
        <v>4</v>
      </c>
      <c r="B18" s="7" t="n">
        <v>2</v>
      </c>
      <c r="C18" s="8" t="s">
        <v>532</v>
      </c>
      <c r="D18" s="8" t="s">
        <v>513</v>
      </c>
      <c r="E18" s="8" t="s">
        <v>514</v>
      </c>
      <c r="F18" s="8" t="s">
        <v>511</v>
      </c>
      <c r="G18" s="8" t="s">
        <v>512</v>
      </c>
      <c r="H18" s="7" t="s">
        <v>56</v>
      </c>
      <c r="I18" s="7" t="s">
        <v>57</v>
      </c>
      <c r="J18" s="7" t="s">
        <v>54</v>
      </c>
      <c r="K18" s="7" t="s">
        <v>55</v>
      </c>
      <c r="L18" s="7"/>
      <c r="M18" s="7"/>
      <c r="N18" s="7" t="str">
        <f aca="false">IFERROR(INDEX(H18:K18,MATCH(L18,{"A","B","C","D"},0)),"")</f>
        <v/>
      </c>
      <c r="O18" s="7" t="str">
        <f aca="false">IFERROR(INDEX(H18:K18,MATCH(M18,{"A","B","C","D"},0)),"")</f>
        <v/>
      </c>
    </row>
    <row r="19" customFormat="false" ht="35.05" hidden="false" customHeight="false" outlineLevel="0" collapsed="false">
      <c r="A19" s="7" t="n">
        <v>4</v>
      </c>
      <c r="B19" s="7" t="n">
        <v>3</v>
      </c>
      <c r="C19" s="8" t="s">
        <v>533</v>
      </c>
      <c r="D19" s="8" t="s">
        <v>438</v>
      </c>
      <c r="E19" s="8" t="s">
        <v>518</v>
      </c>
      <c r="F19" s="8" t="s">
        <v>516</v>
      </c>
      <c r="G19" s="8" t="s">
        <v>517</v>
      </c>
      <c r="H19" s="7" t="s">
        <v>55</v>
      </c>
      <c r="I19" s="7" t="s">
        <v>54</v>
      </c>
      <c r="J19" s="7" t="s">
        <v>56</v>
      </c>
      <c r="K19" s="7" t="s">
        <v>57</v>
      </c>
      <c r="L19" s="7"/>
      <c r="M19" s="7"/>
      <c r="N19" s="7" t="str">
        <f aca="false">IFERROR(INDEX(H19:K19,MATCH(L19,{"A","B","C","D"},0)),"")</f>
        <v/>
      </c>
      <c r="O19" s="7" t="str">
        <f aca="false">IFERROR(INDEX(H19:K19,MATCH(M19,{"A","B","C","D"},0)),"")</f>
        <v/>
      </c>
    </row>
    <row r="20" customFormat="false" ht="23.85" hidden="false" customHeight="false" outlineLevel="0" collapsed="false">
      <c r="A20" s="7" t="n">
        <v>4</v>
      </c>
      <c r="B20" s="7" t="n">
        <v>4</v>
      </c>
      <c r="C20" s="8" t="s">
        <v>534</v>
      </c>
      <c r="D20" s="8" t="s">
        <v>521</v>
      </c>
      <c r="E20" s="8" t="s">
        <v>520</v>
      </c>
      <c r="F20" s="8" t="s">
        <v>366</v>
      </c>
      <c r="G20" s="8" t="s">
        <v>365</v>
      </c>
      <c r="H20" s="7" t="s">
        <v>54</v>
      </c>
      <c r="I20" s="7" t="s">
        <v>55</v>
      </c>
      <c r="J20" s="7" t="s">
        <v>56</v>
      </c>
      <c r="K20" s="7" t="s">
        <v>57</v>
      </c>
      <c r="L20" s="7"/>
      <c r="M20" s="7"/>
      <c r="N20" s="7" t="str">
        <f aca="false">IFERROR(INDEX(H20:K20,MATCH(L20,{"A","B","C","D"},0)),"")</f>
        <v/>
      </c>
      <c r="O20" s="7" t="str">
        <f aca="false">IFERROR(INDEX(H20:K20,MATCH(M20,{"A","B","C","D"},0)),"")</f>
        <v/>
      </c>
    </row>
    <row r="21" customFormat="false" ht="23.85" hidden="false" customHeight="false" outlineLevel="0" collapsed="false">
      <c r="A21" s="7" t="n">
        <v>4</v>
      </c>
      <c r="B21" s="7" t="n">
        <v>5</v>
      </c>
      <c r="C21" s="8" t="s">
        <v>535</v>
      </c>
      <c r="D21" s="8" t="s">
        <v>446</v>
      </c>
      <c r="E21" s="8" t="s">
        <v>524</v>
      </c>
      <c r="F21" s="8" t="s">
        <v>523</v>
      </c>
      <c r="G21" s="8" t="s">
        <v>525</v>
      </c>
      <c r="H21" s="7" t="s">
        <v>55</v>
      </c>
      <c r="I21" s="7" t="s">
        <v>57</v>
      </c>
      <c r="J21" s="7" t="s">
        <v>56</v>
      </c>
      <c r="K21" s="7" t="s">
        <v>54</v>
      </c>
      <c r="L21" s="7"/>
      <c r="M21" s="7"/>
      <c r="N21" s="7" t="str">
        <f aca="false">IFERROR(INDEX(H21:K21,MATCH(L21,{"A","B","C","D"},0)),"")</f>
        <v/>
      </c>
      <c r="O21" s="7" t="str">
        <f aca="false">IFERROR(INDEX(H21:K21,MATCH(M21,{"A","B","C","D"},0)),"")</f>
        <v/>
      </c>
    </row>
    <row r="22" customFormat="false" ht="23.85" hidden="false" customHeight="false" outlineLevel="0" collapsed="false">
      <c r="A22" s="5" t="n">
        <v>5</v>
      </c>
      <c r="B22" s="5" t="n">
        <v>1</v>
      </c>
      <c r="C22" s="6" t="s">
        <v>536</v>
      </c>
      <c r="D22" s="6" t="s">
        <v>485</v>
      </c>
      <c r="E22" s="6" t="s">
        <v>487</v>
      </c>
      <c r="F22" s="6" t="s">
        <v>328</v>
      </c>
      <c r="G22" s="6" t="s">
        <v>486</v>
      </c>
      <c r="H22" s="5" t="s">
        <v>54</v>
      </c>
      <c r="I22" s="5" t="s">
        <v>55</v>
      </c>
      <c r="J22" s="5" t="s">
        <v>57</v>
      </c>
      <c r="K22" s="5" t="s">
        <v>56</v>
      </c>
      <c r="L22" s="5"/>
      <c r="M22" s="5"/>
      <c r="N22" s="5" t="str">
        <f aca="false">IFERROR(INDEX(H22:K22,MATCH(L22,{"A","B","C","D"},0)),"")</f>
        <v/>
      </c>
      <c r="O22" s="5" t="str">
        <f aca="false">IFERROR(INDEX(H22:K22,MATCH(M22,{"A","B","C","D"},0)),"")</f>
        <v/>
      </c>
    </row>
    <row r="23" customFormat="false" ht="23.85" hidden="false" customHeight="false" outlineLevel="0" collapsed="false">
      <c r="A23" s="5" t="n">
        <v>5</v>
      </c>
      <c r="B23" s="5" t="n">
        <v>2</v>
      </c>
      <c r="C23" s="6" t="s">
        <v>537</v>
      </c>
      <c r="D23" s="6" t="s">
        <v>490</v>
      </c>
      <c r="E23" s="6" t="s">
        <v>489</v>
      </c>
      <c r="F23" s="6" t="s">
        <v>492</v>
      </c>
      <c r="G23" s="6" t="s">
        <v>491</v>
      </c>
      <c r="H23" s="5" t="s">
        <v>54</v>
      </c>
      <c r="I23" s="5" t="s">
        <v>55</v>
      </c>
      <c r="J23" s="5" t="s">
        <v>57</v>
      </c>
      <c r="K23" s="5" t="s">
        <v>56</v>
      </c>
      <c r="L23" s="5"/>
      <c r="M23" s="5"/>
      <c r="N23" s="5" t="str">
        <f aca="false">IFERROR(INDEX(H23:K23,MATCH(L23,{"A","B","C","D"},0)),"")</f>
        <v/>
      </c>
      <c r="O23" s="5" t="str">
        <f aca="false">IFERROR(INDEX(H23:K23,MATCH(M23,{"A","B","C","D"},0)),"")</f>
        <v/>
      </c>
    </row>
    <row r="24" customFormat="false" ht="23.85" hidden="false" customHeight="false" outlineLevel="0" collapsed="false">
      <c r="A24" s="5" t="n">
        <v>5</v>
      </c>
      <c r="B24" s="5" t="n">
        <v>3</v>
      </c>
      <c r="C24" s="6" t="s">
        <v>538</v>
      </c>
      <c r="D24" s="6" t="s">
        <v>494</v>
      </c>
      <c r="E24" s="6" t="s">
        <v>339</v>
      </c>
      <c r="F24" s="6" t="s">
        <v>495</v>
      </c>
      <c r="G24" s="6" t="s">
        <v>249</v>
      </c>
      <c r="H24" s="5" t="s">
        <v>55</v>
      </c>
      <c r="I24" s="5" t="s">
        <v>54</v>
      </c>
      <c r="J24" s="5" t="s">
        <v>57</v>
      </c>
      <c r="K24" s="5" t="s">
        <v>56</v>
      </c>
      <c r="L24" s="5"/>
      <c r="M24" s="5"/>
      <c r="N24" s="5" t="str">
        <f aca="false">IFERROR(INDEX(H24:K24,MATCH(L24,{"A","B","C","D"},0)),"")</f>
        <v/>
      </c>
      <c r="O24" s="5" t="str">
        <f aca="false">IFERROR(INDEX(H24:K24,MATCH(M24,{"A","B","C","D"},0)),"")</f>
        <v/>
      </c>
    </row>
    <row r="25" customFormat="false" ht="23.85" hidden="false" customHeight="false" outlineLevel="0" collapsed="false">
      <c r="A25" s="5" t="n">
        <v>5</v>
      </c>
      <c r="B25" s="5" t="n">
        <v>4</v>
      </c>
      <c r="C25" s="6" t="s">
        <v>539</v>
      </c>
      <c r="D25" s="6" t="s">
        <v>499</v>
      </c>
      <c r="E25" s="6" t="s">
        <v>498</v>
      </c>
      <c r="F25" s="6" t="s">
        <v>500</v>
      </c>
      <c r="G25" s="6" t="s">
        <v>497</v>
      </c>
      <c r="H25" s="5" t="s">
        <v>57</v>
      </c>
      <c r="I25" s="5" t="s">
        <v>56</v>
      </c>
      <c r="J25" s="5" t="s">
        <v>54</v>
      </c>
      <c r="K25" s="5" t="s">
        <v>55</v>
      </c>
      <c r="L25" s="5"/>
      <c r="M25" s="5"/>
      <c r="N25" s="5" t="str">
        <f aca="false">IFERROR(INDEX(H25:K25,MATCH(L25,{"A","B","C","D"},0)),"")</f>
        <v/>
      </c>
      <c r="O25" s="5" t="str">
        <f aca="false">IFERROR(INDEX(H25:K25,MATCH(M25,{"A","B","C","D"},0)),"")</f>
        <v/>
      </c>
    </row>
    <row r="26" customFormat="false" ht="23.85" hidden="false" customHeight="false" outlineLevel="0" collapsed="false">
      <c r="A26" s="5" t="n">
        <v>5</v>
      </c>
      <c r="B26" s="5" t="n">
        <v>5</v>
      </c>
      <c r="C26" s="6" t="s">
        <v>540</v>
      </c>
      <c r="D26" s="6" t="s">
        <v>262</v>
      </c>
      <c r="E26" s="6" t="s">
        <v>503</v>
      </c>
      <c r="F26" s="6" t="s">
        <v>504</v>
      </c>
      <c r="G26" s="6" t="s">
        <v>502</v>
      </c>
      <c r="H26" s="5" t="s">
        <v>57</v>
      </c>
      <c r="I26" s="5" t="s">
        <v>55</v>
      </c>
      <c r="J26" s="5" t="s">
        <v>54</v>
      </c>
      <c r="K26" s="5" t="s">
        <v>56</v>
      </c>
      <c r="L26" s="5"/>
      <c r="M26" s="5"/>
      <c r="N26" s="5" t="str">
        <f aca="false">IFERROR(INDEX(H26:K26,MATCH(L26,{"A","B","C","D"},0)),"")</f>
        <v/>
      </c>
      <c r="O26" s="5" t="str">
        <f aca="false">IFERROR(INDEX(H26:K26,MATCH(M26,{"A","B","C","D"},0)),"")</f>
        <v/>
      </c>
    </row>
    <row r="27" customFormat="false" ht="23.85" hidden="false" customHeight="false" outlineLevel="0" collapsed="false">
      <c r="A27" s="7" t="n">
        <v>6</v>
      </c>
      <c r="B27" s="7" t="n">
        <v>1</v>
      </c>
      <c r="C27" s="8" t="s">
        <v>541</v>
      </c>
      <c r="D27" s="8" t="s">
        <v>508</v>
      </c>
      <c r="E27" s="8" t="s">
        <v>509</v>
      </c>
      <c r="F27" s="8" t="s">
        <v>506</v>
      </c>
      <c r="G27" s="8" t="s">
        <v>507</v>
      </c>
      <c r="H27" s="7" t="s">
        <v>54</v>
      </c>
      <c r="I27" s="7" t="s">
        <v>56</v>
      </c>
      <c r="J27" s="7" t="s">
        <v>55</v>
      </c>
      <c r="K27" s="7" t="s">
        <v>57</v>
      </c>
      <c r="L27" s="7"/>
      <c r="M27" s="7"/>
      <c r="N27" s="7" t="str">
        <f aca="false">IFERROR(INDEX(H27:K27,MATCH(L27,{"A","B","C","D"},0)),"")</f>
        <v/>
      </c>
      <c r="O27" s="7" t="str">
        <f aca="false">IFERROR(INDEX(H27:K27,MATCH(M27,{"A","B","C","D"},0)),"")</f>
        <v/>
      </c>
    </row>
    <row r="28" customFormat="false" ht="23.85" hidden="false" customHeight="false" outlineLevel="0" collapsed="false">
      <c r="A28" s="7" t="n">
        <v>6</v>
      </c>
      <c r="B28" s="7" t="n">
        <v>2</v>
      </c>
      <c r="C28" s="8" t="s">
        <v>542</v>
      </c>
      <c r="D28" s="8" t="s">
        <v>513</v>
      </c>
      <c r="E28" s="8" t="s">
        <v>512</v>
      </c>
      <c r="F28" s="8" t="s">
        <v>511</v>
      </c>
      <c r="G28" s="8" t="s">
        <v>514</v>
      </c>
      <c r="H28" s="7" t="s">
        <v>56</v>
      </c>
      <c r="I28" s="7" t="s">
        <v>55</v>
      </c>
      <c r="J28" s="7" t="s">
        <v>54</v>
      </c>
      <c r="K28" s="7" t="s">
        <v>57</v>
      </c>
      <c r="L28" s="7"/>
      <c r="M28" s="7"/>
      <c r="N28" s="7" t="str">
        <f aca="false">IFERROR(INDEX(H28:K28,MATCH(L28,{"A","B","C","D"},0)),"")</f>
        <v/>
      </c>
      <c r="O28" s="7" t="str">
        <f aca="false">IFERROR(INDEX(H28:K28,MATCH(M28,{"A","B","C","D"},0)),"")</f>
        <v/>
      </c>
    </row>
    <row r="29" customFormat="false" ht="35.05" hidden="false" customHeight="false" outlineLevel="0" collapsed="false">
      <c r="A29" s="7" t="n">
        <v>6</v>
      </c>
      <c r="B29" s="7" t="n">
        <v>3</v>
      </c>
      <c r="C29" s="8" t="s">
        <v>543</v>
      </c>
      <c r="D29" s="8" t="s">
        <v>517</v>
      </c>
      <c r="E29" s="8" t="s">
        <v>438</v>
      </c>
      <c r="F29" s="8" t="s">
        <v>518</v>
      </c>
      <c r="G29" s="8" t="s">
        <v>516</v>
      </c>
      <c r="H29" s="7" t="s">
        <v>57</v>
      </c>
      <c r="I29" s="7" t="s">
        <v>55</v>
      </c>
      <c r="J29" s="7" t="s">
        <v>54</v>
      </c>
      <c r="K29" s="7" t="s">
        <v>56</v>
      </c>
      <c r="L29" s="7"/>
      <c r="M29" s="7"/>
      <c r="N29" s="7" t="str">
        <f aca="false">IFERROR(INDEX(H29:K29,MATCH(L29,{"A","B","C","D"},0)),"")</f>
        <v/>
      </c>
      <c r="O29" s="7" t="str">
        <f aca="false">IFERROR(INDEX(H29:K29,MATCH(M29,{"A","B","C","D"},0)),"")</f>
        <v/>
      </c>
    </row>
    <row r="30" customFormat="false" ht="23.85" hidden="false" customHeight="false" outlineLevel="0" collapsed="false">
      <c r="A30" s="7" t="n">
        <v>6</v>
      </c>
      <c r="B30" s="7" t="n">
        <v>4</v>
      </c>
      <c r="C30" s="8" t="s">
        <v>544</v>
      </c>
      <c r="D30" s="8" t="s">
        <v>365</v>
      </c>
      <c r="E30" s="8" t="s">
        <v>520</v>
      </c>
      <c r="F30" s="8" t="s">
        <v>366</v>
      </c>
      <c r="G30" s="8" t="s">
        <v>521</v>
      </c>
      <c r="H30" s="7" t="s">
        <v>57</v>
      </c>
      <c r="I30" s="7" t="s">
        <v>55</v>
      </c>
      <c r="J30" s="7" t="s">
        <v>56</v>
      </c>
      <c r="K30" s="7" t="s">
        <v>54</v>
      </c>
      <c r="L30" s="7"/>
      <c r="M30" s="7"/>
      <c r="N30" s="7" t="str">
        <f aca="false">IFERROR(INDEX(H30:K30,MATCH(L30,{"A","B","C","D"},0)),"")</f>
        <v/>
      </c>
      <c r="O30" s="7" t="str">
        <f aca="false">IFERROR(INDEX(H30:K30,MATCH(M30,{"A","B","C","D"},0)),"")</f>
        <v/>
      </c>
    </row>
    <row r="31" customFormat="false" ht="23.85" hidden="false" customHeight="false" outlineLevel="0" collapsed="false">
      <c r="A31" s="7" t="n">
        <v>6</v>
      </c>
      <c r="B31" s="7" t="n">
        <v>5</v>
      </c>
      <c r="C31" s="8" t="s">
        <v>545</v>
      </c>
      <c r="D31" s="8" t="s">
        <v>524</v>
      </c>
      <c r="E31" s="8" t="s">
        <v>446</v>
      </c>
      <c r="F31" s="8" t="s">
        <v>523</v>
      </c>
      <c r="G31" s="8" t="s">
        <v>525</v>
      </c>
      <c r="H31" s="7" t="s">
        <v>57</v>
      </c>
      <c r="I31" s="7" t="s">
        <v>55</v>
      </c>
      <c r="J31" s="7" t="s">
        <v>56</v>
      </c>
      <c r="K31" s="7" t="s">
        <v>54</v>
      </c>
      <c r="L31" s="7"/>
      <c r="M31" s="7"/>
      <c r="N31" s="7" t="str">
        <f aca="false">IFERROR(INDEX(H31:K31,MATCH(L31,{"A","B","C","D"},0)),"")</f>
        <v/>
      </c>
      <c r="O31" s="7" t="str">
        <f aca="false">IFERROR(INDEX(H31:K31,MATCH(M31,{"A","B","C","D"},0)),"")</f>
        <v/>
      </c>
    </row>
    <row r="32" customFormat="false" ht="23.85" hidden="false" customHeight="false" outlineLevel="0" collapsed="false">
      <c r="A32" s="5" t="n">
        <v>7</v>
      </c>
      <c r="B32" s="5" t="n">
        <v>1</v>
      </c>
      <c r="C32" s="6" t="s">
        <v>546</v>
      </c>
      <c r="D32" s="6" t="s">
        <v>486</v>
      </c>
      <c r="E32" s="6" t="s">
        <v>487</v>
      </c>
      <c r="F32" s="6" t="s">
        <v>328</v>
      </c>
      <c r="G32" s="6" t="s">
        <v>485</v>
      </c>
      <c r="H32" s="5" t="s">
        <v>56</v>
      </c>
      <c r="I32" s="5" t="s">
        <v>55</v>
      </c>
      <c r="J32" s="5" t="s">
        <v>57</v>
      </c>
      <c r="K32" s="5" t="s">
        <v>54</v>
      </c>
      <c r="L32" s="5"/>
      <c r="M32" s="5"/>
      <c r="N32" s="5" t="str">
        <f aca="false">IFERROR(INDEX(H32:K32,MATCH(L32,{"A","B","C","D"},0)),"")</f>
        <v/>
      </c>
      <c r="O32" s="5" t="str">
        <f aca="false">IFERROR(INDEX(H32:K32,MATCH(M32,{"A","B","C","D"},0)),"")</f>
        <v/>
      </c>
    </row>
    <row r="33" customFormat="false" ht="23.85" hidden="false" customHeight="false" outlineLevel="0" collapsed="false">
      <c r="A33" s="5" t="n">
        <v>7</v>
      </c>
      <c r="B33" s="5" t="n">
        <v>2</v>
      </c>
      <c r="C33" s="6" t="s">
        <v>547</v>
      </c>
      <c r="D33" s="6" t="s">
        <v>490</v>
      </c>
      <c r="E33" s="6" t="s">
        <v>489</v>
      </c>
      <c r="F33" s="6" t="s">
        <v>492</v>
      </c>
      <c r="G33" s="6" t="s">
        <v>491</v>
      </c>
      <c r="H33" s="5" t="s">
        <v>54</v>
      </c>
      <c r="I33" s="5" t="s">
        <v>55</v>
      </c>
      <c r="J33" s="5" t="s">
        <v>57</v>
      </c>
      <c r="K33" s="5" t="s">
        <v>56</v>
      </c>
      <c r="L33" s="5"/>
      <c r="M33" s="5"/>
      <c r="N33" s="5" t="str">
        <f aca="false">IFERROR(INDEX(H33:K33,MATCH(L33,{"A","B","C","D"},0)),"")</f>
        <v/>
      </c>
      <c r="O33" s="5" t="str">
        <f aca="false">IFERROR(INDEX(H33:K33,MATCH(M33,{"A","B","C","D"},0)),"")</f>
        <v/>
      </c>
    </row>
    <row r="34" customFormat="false" ht="23.85" hidden="false" customHeight="false" outlineLevel="0" collapsed="false">
      <c r="A34" s="5" t="n">
        <v>7</v>
      </c>
      <c r="B34" s="5" t="n">
        <v>3</v>
      </c>
      <c r="C34" s="6" t="s">
        <v>548</v>
      </c>
      <c r="D34" s="6" t="s">
        <v>249</v>
      </c>
      <c r="E34" s="6" t="s">
        <v>339</v>
      </c>
      <c r="F34" s="6" t="s">
        <v>494</v>
      </c>
      <c r="G34" s="6" t="s">
        <v>495</v>
      </c>
      <c r="H34" s="5" t="s">
        <v>56</v>
      </c>
      <c r="I34" s="5" t="s">
        <v>54</v>
      </c>
      <c r="J34" s="5" t="s">
        <v>55</v>
      </c>
      <c r="K34" s="5" t="s">
        <v>57</v>
      </c>
      <c r="L34" s="5"/>
      <c r="M34" s="5"/>
      <c r="N34" s="5" t="str">
        <f aca="false">IFERROR(INDEX(H34:K34,MATCH(L34,{"A","B","C","D"},0)),"")</f>
        <v/>
      </c>
      <c r="O34" s="5" t="str">
        <f aca="false">IFERROR(INDEX(H34:K34,MATCH(M34,{"A","B","C","D"},0)),"")</f>
        <v/>
      </c>
    </row>
    <row r="35" customFormat="false" ht="23.85" hidden="false" customHeight="false" outlineLevel="0" collapsed="false">
      <c r="A35" s="5" t="n">
        <v>7</v>
      </c>
      <c r="B35" s="5" t="n">
        <v>4</v>
      </c>
      <c r="C35" s="6" t="s">
        <v>549</v>
      </c>
      <c r="D35" s="6" t="s">
        <v>498</v>
      </c>
      <c r="E35" s="6" t="s">
        <v>499</v>
      </c>
      <c r="F35" s="6" t="s">
        <v>500</v>
      </c>
      <c r="G35" s="6" t="s">
        <v>497</v>
      </c>
      <c r="H35" s="5" t="s">
        <v>56</v>
      </c>
      <c r="I35" s="5" t="s">
        <v>57</v>
      </c>
      <c r="J35" s="5" t="s">
        <v>54</v>
      </c>
      <c r="K35" s="5" t="s">
        <v>55</v>
      </c>
      <c r="L35" s="5"/>
      <c r="M35" s="5"/>
      <c r="N35" s="5" t="str">
        <f aca="false">IFERROR(INDEX(H35:K35,MATCH(L35,{"A","B","C","D"},0)),"")</f>
        <v/>
      </c>
      <c r="O35" s="5" t="str">
        <f aca="false">IFERROR(INDEX(H35:K35,MATCH(M35,{"A","B","C","D"},0)),"")</f>
        <v/>
      </c>
    </row>
    <row r="36" customFormat="false" ht="23.85" hidden="false" customHeight="false" outlineLevel="0" collapsed="false">
      <c r="A36" s="5" t="n">
        <v>7</v>
      </c>
      <c r="B36" s="5" t="n">
        <v>5</v>
      </c>
      <c r="C36" s="6" t="s">
        <v>550</v>
      </c>
      <c r="D36" s="6" t="s">
        <v>262</v>
      </c>
      <c r="E36" s="6" t="s">
        <v>503</v>
      </c>
      <c r="F36" s="6" t="s">
        <v>502</v>
      </c>
      <c r="G36" s="6" t="s">
        <v>504</v>
      </c>
      <c r="H36" s="5" t="s">
        <v>57</v>
      </c>
      <c r="I36" s="5" t="s">
        <v>55</v>
      </c>
      <c r="J36" s="5" t="s">
        <v>56</v>
      </c>
      <c r="K36" s="5" t="s">
        <v>54</v>
      </c>
      <c r="L36" s="5"/>
      <c r="M36" s="5"/>
      <c r="N36" s="5" t="str">
        <f aca="false">IFERROR(INDEX(H36:K36,MATCH(L36,{"A","B","C","D"},0)),"")</f>
        <v/>
      </c>
      <c r="O36" s="5" t="str">
        <f aca="false">IFERROR(INDEX(H36:K36,MATCH(M36,{"A","B","C","D"},0)),"")</f>
        <v/>
      </c>
    </row>
    <row r="37" customFormat="false" ht="23.85" hidden="false" customHeight="false" outlineLevel="0" collapsed="false">
      <c r="A37" s="7" t="n">
        <v>8</v>
      </c>
      <c r="B37" s="7" t="n">
        <v>1</v>
      </c>
      <c r="C37" s="8" t="s">
        <v>551</v>
      </c>
      <c r="D37" s="8" t="s">
        <v>506</v>
      </c>
      <c r="E37" s="8" t="s">
        <v>509</v>
      </c>
      <c r="F37" s="8" t="s">
        <v>507</v>
      </c>
      <c r="G37" s="8" t="s">
        <v>508</v>
      </c>
      <c r="H37" s="7" t="s">
        <v>55</v>
      </c>
      <c r="I37" s="7" t="s">
        <v>56</v>
      </c>
      <c r="J37" s="7" t="s">
        <v>57</v>
      </c>
      <c r="K37" s="7" t="s">
        <v>54</v>
      </c>
      <c r="L37" s="7"/>
      <c r="M37" s="7"/>
      <c r="N37" s="7" t="str">
        <f aca="false">IFERROR(INDEX(H37:K37,MATCH(L37,{"A","B","C","D"},0)),"")</f>
        <v/>
      </c>
      <c r="O37" s="7" t="str">
        <f aca="false">IFERROR(INDEX(H37:K37,MATCH(M37,{"A","B","C","D"},0)),"")</f>
        <v/>
      </c>
    </row>
    <row r="38" customFormat="false" ht="23.85" hidden="false" customHeight="false" outlineLevel="0" collapsed="false">
      <c r="A38" s="7" t="n">
        <v>8</v>
      </c>
      <c r="B38" s="7" t="n">
        <v>2</v>
      </c>
      <c r="C38" s="8" t="s">
        <v>552</v>
      </c>
      <c r="D38" s="8" t="s">
        <v>512</v>
      </c>
      <c r="E38" s="8" t="s">
        <v>514</v>
      </c>
      <c r="F38" s="8" t="s">
        <v>513</v>
      </c>
      <c r="G38" s="8" t="s">
        <v>511</v>
      </c>
      <c r="H38" s="7" t="s">
        <v>55</v>
      </c>
      <c r="I38" s="7" t="s">
        <v>57</v>
      </c>
      <c r="J38" s="7" t="s">
        <v>56</v>
      </c>
      <c r="K38" s="7" t="s">
        <v>54</v>
      </c>
      <c r="L38" s="7"/>
      <c r="M38" s="7"/>
      <c r="N38" s="7" t="str">
        <f aca="false">IFERROR(INDEX(H38:K38,MATCH(L38,{"A","B","C","D"},0)),"")</f>
        <v/>
      </c>
      <c r="O38" s="7" t="str">
        <f aca="false">IFERROR(INDEX(H38:K38,MATCH(M38,{"A","B","C","D"},0)),"")</f>
        <v/>
      </c>
    </row>
    <row r="39" customFormat="false" ht="35.05" hidden="false" customHeight="false" outlineLevel="0" collapsed="false">
      <c r="A39" s="7" t="n">
        <v>8</v>
      </c>
      <c r="B39" s="7" t="n">
        <v>3</v>
      </c>
      <c r="C39" s="8" t="s">
        <v>553</v>
      </c>
      <c r="D39" s="8" t="s">
        <v>518</v>
      </c>
      <c r="E39" s="8" t="s">
        <v>438</v>
      </c>
      <c r="F39" s="8" t="s">
        <v>516</v>
      </c>
      <c r="G39" s="8" t="s">
        <v>517</v>
      </c>
      <c r="H39" s="7" t="s">
        <v>54</v>
      </c>
      <c r="I39" s="7" t="s">
        <v>55</v>
      </c>
      <c r="J39" s="7" t="s">
        <v>56</v>
      </c>
      <c r="K39" s="7" t="s">
        <v>57</v>
      </c>
      <c r="L39" s="7"/>
      <c r="M39" s="7"/>
      <c r="N39" s="7" t="str">
        <f aca="false">IFERROR(INDEX(H39:K39,MATCH(L39,{"A","B","C","D"},0)),"")</f>
        <v/>
      </c>
      <c r="O39" s="7" t="str">
        <f aca="false">IFERROR(INDEX(H39:K39,MATCH(M39,{"A","B","C","D"},0)),"")</f>
        <v/>
      </c>
    </row>
    <row r="40" customFormat="false" ht="23.85" hidden="false" customHeight="false" outlineLevel="0" collapsed="false">
      <c r="A40" s="7" t="n">
        <v>8</v>
      </c>
      <c r="B40" s="7" t="n">
        <v>4</v>
      </c>
      <c r="C40" s="8" t="s">
        <v>554</v>
      </c>
      <c r="D40" s="8" t="s">
        <v>366</v>
      </c>
      <c r="E40" s="8" t="s">
        <v>365</v>
      </c>
      <c r="F40" s="8" t="s">
        <v>520</v>
      </c>
      <c r="G40" s="8" t="s">
        <v>521</v>
      </c>
      <c r="H40" s="7" t="s">
        <v>56</v>
      </c>
      <c r="I40" s="7" t="s">
        <v>57</v>
      </c>
      <c r="J40" s="7" t="s">
        <v>55</v>
      </c>
      <c r="K40" s="7" t="s">
        <v>54</v>
      </c>
      <c r="L40" s="7"/>
      <c r="M40" s="7"/>
      <c r="N40" s="7" t="str">
        <f aca="false">IFERROR(INDEX(H40:K40,MATCH(L40,{"A","B","C","D"},0)),"")</f>
        <v/>
      </c>
      <c r="O40" s="7" t="str">
        <f aca="false">IFERROR(INDEX(H40:K40,MATCH(M40,{"A","B","C","D"},0)),"")</f>
        <v/>
      </c>
    </row>
    <row r="41" customFormat="false" ht="23.85" hidden="false" customHeight="false" outlineLevel="0" collapsed="false">
      <c r="A41" s="7" t="n">
        <v>8</v>
      </c>
      <c r="B41" s="7" t="n">
        <v>5</v>
      </c>
      <c r="C41" s="8" t="s">
        <v>555</v>
      </c>
      <c r="D41" s="8" t="s">
        <v>446</v>
      </c>
      <c r="E41" s="8" t="s">
        <v>524</v>
      </c>
      <c r="F41" s="8" t="s">
        <v>523</v>
      </c>
      <c r="G41" s="8" t="s">
        <v>525</v>
      </c>
      <c r="H41" s="7" t="s">
        <v>55</v>
      </c>
      <c r="I41" s="7" t="s">
        <v>57</v>
      </c>
      <c r="J41" s="7" t="s">
        <v>56</v>
      </c>
      <c r="K41" s="7" t="s">
        <v>54</v>
      </c>
      <c r="L41" s="7"/>
      <c r="M41" s="7"/>
      <c r="N41" s="7" t="str">
        <f aca="false">IFERROR(INDEX(H41:K41,MATCH(L41,{"A","B","C","D"},0)),"")</f>
        <v/>
      </c>
      <c r="O41" s="7" t="str">
        <f aca="false">IFERROR(INDEX(H41:K41,MATCH(M41,{"A","B","C","D"},0)),"")</f>
        <v/>
      </c>
    </row>
    <row r="42" customFormat="false" ht="23.85" hidden="false" customHeight="false" outlineLevel="0" collapsed="false">
      <c r="A42" s="5" t="n">
        <v>9</v>
      </c>
      <c r="B42" s="5" t="n">
        <v>1</v>
      </c>
      <c r="C42" s="6" t="s">
        <v>556</v>
      </c>
      <c r="D42" s="6" t="s">
        <v>487</v>
      </c>
      <c r="E42" s="6" t="s">
        <v>328</v>
      </c>
      <c r="F42" s="6" t="s">
        <v>486</v>
      </c>
      <c r="G42" s="6" t="s">
        <v>485</v>
      </c>
      <c r="H42" s="5" t="s">
        <v>55</v>
      </c>
      <c r="I42" s="5" t="s">
        <v>57</v>
      </c>
      <c r="J42" s="5" t="s">
        <v>56</v>
      </c>
      <c r="K42" s="5" t="s">
        <v>54</v>
      </c>
      <c r="L42" s="5"/>
      <c r="M42" s="5"/>
      <c r="N42" s="5" t="str">
        <f aca="false">IFERROR(INDEX(H42:K42,MATCH(L42,{"A","B","C","D"},0)),"")</f>
        <v/>
      </c>
      <c r="O42" s="5" t="str">
        <f aca="false">IFERROR(INDEX(H42:K42,MATCH(M42,{"A","B","C","D"},0)),"")</f>
        <v/>
      </c>
    </row>
    <row r="43" customFormat="false" ht="23.85" hidden="false" customHeight="false" outlineLevel="0" collapsed="false">
      <c r="A43" s="5" t="n">
        <v>9</v>
      </c>
      <c r="B43" s="5" t="n">
        <v>2</v>
      </c>
      <c r="C43" s="6" t="s">
        <v>557</v>
      </c>
      <c r="D43" s="6" t="s">
        <v>491</v>
      </c>
      <c r="E43" s="6" t="s">
        <v>490</v>
      </c>
      <c r="F43" s="6" t="s">
        <v>492</v>
      </c>
      <c r="G43" s="6" t="s">
        <v>489</v>
      </c>
      <c r="H43" s="5" t="s">
        <v>56</v>
      </c>
      <c r="I43" s="5" t="s">
        <v>54</v>
      </c>
      <c r="J43" s="5" t="s">
        <v>57</v>
      </c>
      <c r="K43" s="5" t="s">
        <v>55</v>
      </c>
      <c r="L43" s="5"/>
      <c r="M43" s="5"/>
      <c r="N43" s="5" t="str">
        <f aca="false">IFERROR(INDEX(H43:K43,MATCH(L43,{"A","B","C","D"},0)),"")</f>
        <v/>
      </c>
      <c r="O43" s="5" t="str">
        <f aca="false">IFERROR(INDEX(H43:K43,MATCH(M43,{"A","B","C","D"},0)),"")</f>
        <v/>
      </c>
    </row>
    <row r="44" customFormat="false" ht="23.85" hidden="false" customHeight="false" outlineLevel="0" collapsed="false">
      <c r="A44" s="5" t="n">
        <v>9</v>
      </c>
      <c r="B44" s="5" t="n">
        <v>3</v>
      </c>
      <c r="C44" s="6" t="s">
        <v>558</v>
      </c>
      <c r="D44" s="6" t="s">
        <v>494</v>
      </c>
      <c r="E44" s="6" t="s">
        <v>249</v>
      </c>
      <c r="F44" s="6" t="s">
        <v>495</v>
      </c>
      <c r="G44" s="6" t="s">
        <v>339</v>
      </c>
      <c r="H44" s="5" t="s">
        <v>55</v>
      </c>
      <c r="I44" s="5" t="s">
        <v>56</v>
      </c>
      <c r="J44" s="5" t="s">
        <v>57</v>
      </c>
      <c r="K44" s="5" t="s">
        <v>54</v>
      </c>
      <c r="L44" s="5"/>
      <c r="M44" s="5"/>
      <c r="N44" s="5" t="str">
        <f aca="false">IFERROR(INDEX(H44:K44,MATCH(L44,{"A","B","C","D"},0)),"")</f>
        <v/>
      </c>
      <c r="O44" s="5" t="str">
        <f aca="false">IFERROR(INDEX(H44:K44,MATCH(M44,{"A","B","C","D"},0)),"")</f>
        <v/>
      </c>
    </row>
    <row r="45" customFormat="false" ht="23.85" hidden="false" customHeight="false" outlineLevel="0" collapsed="false">
      <c r="A45" s="5" t="n">
        <v>9</v>
      </c>
      <c r="B45" s="5" t="n">
        <v>4</v>
      </c>
      <c r="C45" s="6" t="s">
        <v>559</v>
      </c>
      <c r="D45" s="6" t="s">
        <v>497</v>
      </c>
      <c r="E45" s="6" t="s">
        <v>498</v>
      </c>
      <c r="F45" s="6" t="s">
        <v>500</v>
      </c>
      <c r="G45" s="6" t="s">
        <v>499</v>
      </c>
      <c r="H45" s="5" t="s">
        <v>55</v>
      </c>
      <c r="I45" s="5" t="s">
        <v>56</v>
      </c>
      <c r="J45" s="5" t="s">
        <v>54</v>
      </c>
      <c r="K45" s="5" t="s">
        <v>57</v>
      </c>
      <c r="L45" s="5"/>
      <c r="M45" s="5"/>
      <c r="N45" s="5" t="str">
        <f aca="false">IFERROR(INDEX(H45:K45,MATCH(L45,{"A","B","C","D"},0)),"")</f>
        <v/>
      </c>
      <c r="O45" s="5" t="str">
        <f aca="false">IFERROR(INDEX(H45:K45,MATCH(M45,{"A","B","C","D"},0)),"")</f>
        <v/>
      </c>
    </row>
    <row r="46" customFormat="false" ht="23.85" hidden="false" customHeight="false" outlineLevel="0" collapsed="false">
      <c r="A46" s="5" t="n">
        <v>9</v>
      </c>
      <c r="B46" s="5" t="n">
        <v>5</v>
      </c>
      <c r="C46" s="6" t="s">
        <v>560</v>
      </c>
      <c r="D46" s="6" t="s">
        <v>502</v>
      </c>
      <c r="E46" s="6" t="s">
        <v>504</v>
      </c>
      <c r="F46" s="6" t="s">
        <v>262</v>
      </c>
      <c r="G46" s="6" t="s">
        <v>503</v>
      </c>
      <c r="H46" s="5" t="s">
        <v>56</v>
      </c>
      <c r="I46" s="5" t="s">
        <v>54</v>
      </c>
      <c r="J46" s="5" t="s">
        <v>57</v>
      </c>
      <c r="K46" s="5" t="s">
        <v>55</v>
      </c>
      <c r="L46" s="5"/>
      <c r="M46" s="5"/>
      <c r="N46" s="5" t="str">
        <f aca="false">IFERROR(INDEX(H46:K46,MATCH(L46,{"A","B","C","D"},0)),"")</f>
        <v/>
      </c>
      <c r="O46" s="5" t="str">
        <f aca="false">IFERROR(INDEX(H46:K46,MATCH(M46,{"A","B","C","D"},0)),"")</f>
        <v/>
      </c>
    </row>
    <row r="47" customFormat="false" ht="23.85" hidden="false" customHeight="false" outlineLevel="0" collapsed="false">
      <c r="A47" s="7" t="n">
        <v>10</v>
      </c>
      <c r="B47" s="7" t="n">
        <v>1</v>
      </c>
      <c r="C47" s="8" t="s">
        <v>561</v>
      </c>
      <c r="D47" s="8" t="s">
        <v>507</v>
      </c>
      <c r="E47" s="8" t="s">
        <v>506</v>
      </c>
      <c r="F47" s="8" t="s">
        <v>509</v>
      </c>
      <c r="G47" s="8" t="s">
        <v>508</v>
      </c>
      <c r="H47" s="7" t="s">
        <v>57</v>
      </c>
      <c r="I47" s="7" t="s">
        <v>55</v>
      </c>
      <c r="J47" s="7" t="s">
        <v>56</v>
      </c>
      <c r="K47" s="7" t="s">
        <v>54</v>
      </c>
      <c r="L47" s="7"/>
      <c r="M47" s="7"/>
      <c r="N47" s="7" t="str">
        <f aca="false">IFERROR(INDEX(H47:K47,MATCH(L47,{"A","B","C","D"},0)),"")</f>
        <v/>
      </c>
      <c r="O47" s="7" t="str">
        <f aca="false">IFERROR(INDEX(H47:K47,MATCH(M47,{"A","B","C","D"},0)),"")</f>
        <v/>
      </c>
    </row>
    <row r="48" customFormat="false" ht="23.85" hidden="false" customHeight="false" outlineLevel="0" collapsed="false">
      <c r="A48" s="7" t="n">
        <v>10</v>
      </c>
      <c r="B48" s="7" t="n">
        <v>2</v>
      </c>
      <c r="C48" s="8" t="s">
        <v>562</v>
      </c>
      <c r="D48" s="8" t="s">
        <v>511</v>
      </c>
      <c r="E48" s="8" t="s">
        <v>512</v>
      </c>
      <c r="F48" s="8" t="s">
        <v>514</v>
      </c>
      <c r="G48" s="8" t="s">
        <v>513</v>
      </c>
      <c r="H48" s="7" t="s">
        <v>54</v>
      </c>
      <c r="I48" s="7" t="s">
        <v>55</v>
      </c>
      <c r="J48" s="7" t="s">
        <v>57</v>
      </c>
      <c r="K48" s="7" t="s">
        <v>56</v>
      </c>
      <c r="L48" s="7"/>
      <c r="M48" s="7"/>
      <c r="N48" s="7" t="str">
        <f aca="false">IFERROR(INDEX(H48:K48,MATCH(L48,{"A","B","C","D"},0)),"")</f>
        <v/>
      </c>
      <c r="O48" s="7" t="str">
        <f aca="false">IFERROR(INDEX(H48:K48,MATCH(M48,{"A","B","C","D"},0)),"")</f>
        <v/>
      </c>
    </row>
    <row r="49" customFormat="false" ht="35.05" hidden="false" customHeight="false" outlineLevel="0" collapsed="false">
      <c r="A49" s="7" t="n">
        <v>10</v>
      </c>
      <c r="B49" s="7" t="n">
        <v>3</v>
      </c>
      <c r="C49" s="8" t="s">
        <v>563</v>
      </c>
      <c r="D49" s="8" t="s">
        <v>518</v>
      </c>
      <c r="E49" s="8" t="s">
        <v>438</v>
      </c>
      <c r="F49" s="8" t="s">
        <v>516</v>
      </c>
      <c r="G49" s="8" t="s">
        <v>517</v>
      </c>
      <c r="H49" s="7" t="s">
        <v>54</v>
      </c>
      <c r="I49" s="7" t="s">
        <v>55</v>
      </c>
      <c r="J49" s="7" t="s">
        <v>56</v>
      </c>
      <c r="K49" s="7" t="s">
        <v>57</v>
      </c>
      <c r="L49" s="7"/>
      <c r="M49" s="7"/>
      <c r="N49" s="7" t="str">
        <f aca="false">IFERROR(INDEX(H49:K49,MATCH(L49,{"A","B","C","D"},0)),"")</f>
        <v/>
      </c>
      <c r="O49" s="7" t="str">
        <f aca="false">IFERROR(INDEX(H49:K49,MATCH(M49,{"A","B","C","D"},0)),"")</f>
        <v/>
      </c>
    </row>
    <row r="50" customFormat="false" ht="23.85" hidden="false" customHeight="false" outlineLevel="0" collapsed="false">
      <c r="A50" s="7" t="n">
        <v>10</v>
      </c>
      <c r="B50" s="7" t="n">
        <v>4</v>
      </c>
      <c r="C50" s="8" t="s">
        <v>564</v>
      </c>
      <c r="D50" s="8" t="s">
        <v>520</v>
      </c>
      <c r="E50" s="8" t="s">
        <v>365</v>
      </c>
      <c r="F50" s="8" t="s">
        <v>521</v>
      </c>
      <c r="G50" s="8" t="s">
        <v>366</v>
      </c>
      <c r="H50" s="7" t="s">
        <v>55</v>
      </c>
      <c r="I50" s="7" t="s">
        <v>57</v>
      </c>
      <c r="J50" s="7" t="s">
        <v>54</v>
      </c>
      <c r="K50" s="7" t="s">
        <v>56</v>
      </c>
      <c r="L50" s="7"/>
      <c r="M50" s="7"/>
      <c r="N50" s="7" t="str">
        <f aca="false">IFERROR(INDEX(H50:K50,MATCH(L50,{"A","B","C","D"},0)),"")</f>
        <v/>
      </c>
      <c r="O50" s="7" t="str">
        <f aca="false">IFERROR(INDEX(H50:K50,MATCH(M50,{"A","B","C","D"},0)),"")</f>
        <v/>
      </c>
    </row>
    <row r="51" customFormat="false" ht="23.85" hidden="false" customHeight="false" outlineLevel="0" collapsed="false">
      <c r="A51" s="7" t="n">
        <v>10</v>
      </c>
      <c r="B51" s="7" t="n">
        <v>5</v>
      </c>
      <c r="C51" s="8" t="s">
        <v>565</v>
      </c>
      <c r="D51" s="8" t="s">
        <v>524</v>
      </c>
      <c r="E51" s="8" t="s">
        <v>446</v>
      </c>
      <c r="F51" s="8" t="s">
        <v>523</v>
      </c>
      <c r="G51" s="8" t="s">
        <v>525</v>
      </c>
      <c r="H51" s="7" t="s">
        <v>57</v>
      </c>
      <c r="I51" s="7" t="s">
        <v>55</v>
      </c>
      <c r="J51" s="7" t="s">
        <v>56</v>
      </c>
      <c r="K51" s="7" t="s">
        <v>54</v>
      </c>
      <c r="L51" s="7"/>
      <c r="M51" s="7"/>
      <c r="N51" s="7" t="str">
        <f aca="false">IFERROR(INDEX(H51:K51,MATCH(L51,{"A","B","C","D"},0)),"")</f>
        <v/>
      </c>
      <c r="O51" s="7" t="str">
        <f aca="false">IFERROR(INDEX(H51:K51,MATCH(M51,{"A","B","C","D"},0)),"")</f>
        <v/>
      </c>
    </row>
    <row r="54" customFormat="false" ht="15" hidden="false" customHeight="false" outlineLevel="0" collapsed="false">
      <c r="A54" s="9" t="s">
        <v>143</v>
      </c>
      <c r="B54" s="9"/>
      <c r="C54" s="9"/>
      <c r="D54" s="9"/>
      <c r="E54" s="9"/>
      <c r="F54" s="9"/>
    </row>
    <row r="55" customFormat="false" ht="46.25" hidden="false" customHeight="false" outlineLevel="0" collapsed="false">
      <c r="A55" s="10" t="s">
        <v>34</v>
      </c>
      <c r="B55" s="10" t="s">
        <v>144</v>
      </c>
      <c r="C55" s="10" t="s">
        <v>145</v>
      </c>
      <c r="D55" s="10" t="s">
        <v>146</v>
      </c>
      <c r="E55" s="10" t="s">
        <v>147</v>
      </c>
      <c r="F55" s="10" t="s">
        <v>148</v>
      </c>
    </row>
    <row r="56" customFormat="false" ht="15" hidden="false" customHeight="false" outlineLevel="0" collapsed="false">
      <c r="A56" s="11" t="n">
        <v>1</v>
      </c>
      <c r="B56" s="12" t="n">
        <f aca="false">SUMPRODUCT(($A$2:$A$51=$A56)*($N$2:$N$51="ST"))-SUMPRODUCT(($A$2:$A$51=$A56)*($O$2:$O$51="ST"))</f>
        <v>0</v>
      </c>
      <c r="C56" s="12" t="n">
        <f aca="false">SUMPRODUCT(($A$2:$A$51=$A56)*($N$2:$N$51="RB"))-SUMPRODUCT(($A$2:$A$51=$A56)*($O$2:$O$51="RB"))</f>
        <v>0</v>
      </c>
      <c r="D56" s="12" t="n">
        <f aca="false">SUMPRODUCT(($A$2:$A$51=$A56)*($N$2:$N$51="IN"))-SUMPRODUCT(($A$2:$A$51=$A56)*($O$2:$O$51="IN"))</f>
        <v>0</v>
      </c>
      <c r="E56" s="12" t="n">
        <f aca="false">SUMPRODUCT(($A$2:$A$51=$A56)*($N$2:$N$51="EX"))-SUMPRODUCT(($A$2:$A$51=$A56)*($O$2:$O$51="EX"))</f>
        <v>0</v>
      </c>
      <c r="F56" s="12" t="str">
        <f aca="false">IF(COUNT(B56:E56)=0,"",INDEX({"Strategic Thinking";"Relationship Building";"Influencing";"Executing"},MATCH(MAX(B56:E56),B56:E56,0)))</f>
        <v>Strategic Thinking</v>
      </c>
    </row>
    <row r="57" customFormat="false" ht="15" hidden="false" customHeight="false" outlineLevel="0" collapsed="false">
      <c r="A57" s="11" t="n">
        <v>2</v>
      </c>
      <c r="B57" s="12" t="n">
        <f aca="false">SUMPRODUCT(($A$2:$A$51=$A57)*($N$2:$N$51="ST"))-SUMPRODUCT(($A$2:$A$51=$A57)*($O$2:$O$51="ST"))</f>
        <v>0</v>
      </c>
      <c r="C57" s="12" t="n">
        <f aca="false">SUMPRODUCT(($A$2:$A$51=$A57)*($N$2:$N$51="RB"))-SUMPRODUCT(($A$2:$A$51=$A57)*($O$2:$O$51="RB"))</f>
        <v>0</v>
      </c>
      <c r="D57" s="12" t="n">
        <f aca="false">SUMPRODUCT(($A$2:$A$51=$A57)*($N$2:$N$51="IN"))-SUMPRODUCT(($A$2:$A$51=$A57)*($O$2:$O$51="IN"))</f>
        <v>0</v>
      </c>
      <c r="E57" s="12" t="n">
        <f aca="false">SUMPRODUCT(($A$2:$A$51=$A57)*($N$2:$N$51="EX"))-SUMPRODUCT(($A$2:$A$51=$A57)*($O$2:$O$51="EX"))</f>
        <v>0</v>
      </c>
      <c r="F57" s="12" t="str">
        <f aca="false">IF(COUNT(B57:E57)=0,"",INDEX({"Strategic Thinking";"Relationship Building";"Influencing";"Executing"},MATCH(MAX(B57:E57),B57:E57,0)))</f>
        <v>Strategic Thinking</v>
      </c>
    </row>
    <row r="58" customFormat="false" ht="15" hidden="false" customHeight="false" outlineLevel="0" collapsed="false">
      <c r="A58" s="11" t="n">
        <v>3</v>
      </c>
      <c r="B58" s="12" t="n">
        <f aca="false">SUMPRODUCT(($A$2:$A$51=$A58)*($N$2:$N$51="ST"))-SUMPRODUCT(($A$2:$A$51=$A58)*($O$2:$O$51="ST"))</f>
        <v>0</v>
      </c>
      <c r="C58" s="12" t="n">
        <f aca="false">SUMPRODUCT(($A$2:$A$51=$A58)*($N$2:$N$51="RB"))-SUMPRODUCT(($A$2:$A$51=$A58)*($O$2:$O$51="RB"))</f>
        <v>0</v>
      </c>
      <c r="D58" s="12" t="n">
        <f aca="false">SUMPRODUCT(($A$2:$A$51=$A58)*($N$2:$N$51="IN"))-SUMPRODUCT(($A$2:$A$51=$A58)*($O$2:$O$51="IN"))</f>
        <v>0</v>
      </c>
      <c r="E58" s="12" t="n">
        <f aca="false">SUMPRODUCT(($A$2:$A$51=$A58)*($N$2:$N$51="EX"))-SUMPRODUCT(($A$2:$A$51=$A58)*($O$2:$O$51="EX"))</f>
        <v>0</v>
      </c>
      <c r="F58" s="12" t="str">
        <f aca="false">IF(COUNT(B58:E58)=0,"",INDEX({"Strategic Thinking";"Relationship Building";"Influencing";"Executing"},MATCH(MAX(B58:E58),B58:E58,0)))</f>
        <v>Strategic Thinking</v>
      </c>
    </row>
    <row r="59" customFormat="false" ht="15" hidden="false" customHeight="false" outlineLevel="0" collapsed="false">
      <c r="A59" s="11" t="n">
        <v>4</v>
      </c>
      <c r="B59" s="12" t="n">
        <f aca="false">SUMPRODUCT(($A$2:$A$51=$A59)*($N$2:$N$51="ST"))-SUMPRODUCT(($A$2:$A$51=$A59)*($O$2:$O$51="ST"))</f>
        <v>0</v>
      </c>
      <c r="C59" s="12" t="n">
        <f aca="false">SUMPRODUCT(($A$2:$A$51=$A59)*($N$2:$N$51="RB"))-SUMPRODUCT(($A$2:$A$51=$A59)*($O$2:$O$51="RB"))</f>
        <v>0</v>
      </c>
      <c r="D59" s="12" t="n">
        <f aca="false">SUMPRODUCT(($A$2:$A$51=$A59)*($N$2:$N$51="IN"))-SUMPRODUCT(($A$2:$A$51=$A59)*($O$2:$O$51="IN"))</f>
        <v>0</v>
      </c>
      <c r="E59" s="12" t="n">
        <f aca="false">SUMPRODUCT(($A$2:$A$51=$A59)*($N$2:$N$51="EX"))-SUMPRODUCT(($A$2:$A$51=$A59)*($O$2:$O$51="EX"))</f>
        <v>0</v>
      </c>
      <c r="F59" s="12" t="str">
        <f aca="false">IF(COUNT(B59:E59)=0,"",INDEX({"Strategic Thinking";"Relationship Building";"Influencing";"Executing"},MATCH(MAX(B59:E59),B59:E59,0)))</f>
        <v>Strategic Thinking</v>
      </c>
    </row>
    <row r="60" customFormat="false" ht="15" hidden="false" customHeight="false" outlineLevel="0" collapsed="false">
      <c r="A60" s="11" t="n">
        <v>5</v>
      </c>
      <c r="B60" s="12" t="n">
        <f aca="false">SUMPRODUCT(($A$2:$A$51=$A60)*($N$2:$N$51="ST"))-SUMPRODUCT(($A$2:$A$51=$A60)*($O$2:$O$51="ST"))</f>
        <v>0</v>
      </c>
      <c r="C60" s="12" t="n">
        <f aca="false">SUMPRODUCT(($A$2:$A$51=$A60)*($N$2:$N$51="RB"))-SUMPRODUCT(($A$2:$A$51=$A60)*($O$2:$O$51="RB"))</f>
        <v>0</v>
      </c>
      <c r="D60" s="12" t="n">
        <f aca="false">SUMPRODUCT(($A$2:$A$51=$A60)*($N$2:$N$51="IN"))-SUMPRODUCT(($A$2:$A$51=$A60)*($O$2:$O$51="IN"))</f>
        <v>0</v>
      </c>
      <c r="E60" s="12" t="n">
        <f aca="false">SUMPRODUCT(($A$2:$A$51=$A60)*($N$2:$N$51="EX"))-SUMPRODUCT(($A$2:$A$51=$A60)*($O$2:$O$51="EX"))</f>
        <v>0</v>
      </c>
      <c r="F60" s="12" t="str">
        <f aca="false">IF(COUNT(B60:E60)=0,"",INDEX({"Strategic Thinking";"Relationship Building";"Influencing";"Executing"},MATCH(MAX(B60:E60),B60:E60,0)))</f>
        <v>Strategic Thinking</v>
      </c>
    </row>
    <row r="61" customFormat="false" ht="15" hidden="false" customHeight="false" outlineLevel="0" collapsed="false">
      <c r="A61" s="11" t="n">
        <v>6</v>
      </c>
      <c r="B61" s="12" t="n">
        <f aca="false">SUMPRODUCT(($A$2:$A$51=$A61)*($N$2:$N$51="ST"))-SUMPRODUCT(($A$2:$A$51=$A61)*($O$2:$O$51="ST"))</f>
        <v>0</v>
      </c>
      <c r="C61" s="12" t="n">
        <f aca="false">SUMPRODUCT(($A$2:$A$51=$A61)*($N$2:$N$51="RB"))-SUMPRODUCT(($A$2:$A$51=$A61)*($O$2:$O$51="RB"))</f>
        <v>0</v>
      </c>
      <c r="D61" s="12" t="n">
        <f aca="false">SUMPRODUCT(($A$2:$A$51=$A61)*($N$2:$N$51="IN"))-SUMPRODUCT(($A$2:$A$51=$A61)*($O$2:$O$51="IN"))</f>
        <v>0</v>
      </c>
      <c r="E61" s="12" t="n">
        <f aca="false">SUMPRODUCT(($A$2:$A$51=$A61)*($N$2:$N$51="EX"))-SUMPRODUCT(($A$2:$A$51=$A61)*($O$2:$O$51="EX"))</f>
        <v>0</v>
      </c>
      <c r="F61" s="12" t="str">
        <f aca="false">IF(COUNT(B61:E61)=0,"",INDEX({"Strategic Thinking";"Relationship Building";"Influencing";"Executing"},MATCH(MAX(B61:E61),B61:E61,0)))</f>
        <v>Strategic Thinking</v>
      </c>
    </row>
    <row r="62" customFormat="false" ht="15" hidden="false" customHeight="false" outlineLevel="0" collapsed="false">
      <c r="A62" s="11" t="n">
        <v>7</v>
      </c>
      <c r="B62" s="12" t="n">
        <f aca="false">SUMPRODUCT(($A$2:$A$51=$A62)*($N$2:$N$51="ST"))-SUMPRODUCT(($A$2:$A$51=$A62)*($O$2:$O$51="ST"))</f>
        <v>0</v>
      </c>
      <c r="C62" s="12" t="n">
        <f aca="false">SUMPRODUCT(($A$2:$A$51=$A62)*($N$2:$N$51="RB"))-SUMPRODUCT(($A$2:$A$51=$A62)*($O$2:$O$51="RB"))</f>
        <v>0</v>
      </c>
      <c r="D62" s="12" t="n">
        <f aca="false">SUMPRODUCT(($A$2:$A$51=$A62)*($N$2:$N$51="IN"))-SUMPRODUCT(($A$2:$A$51=$A62)*($O$2:$O$51="IN"))</f>
        <v>0</v>
      </c>
      <c r="E62" s="12" t="n">
        <f aca="false">SUMPRODUCT(($A$2:$A$51=$A62)*($N$2:$N$51="EX"))-SUMPRODUCT(($A$2:$A$51=$A62)*($O$2:$O$51="EX"))</f>
        <v>0</v>
      </c>
      <c r="F62" s="12" t="str">
        <f aca="false">IF(COUNT(B62:E62)=0,"",INDEX({"Strategic Thinking";"Relationship Building";"Influencing";"Executing"},MATCH(MAX(B62:E62),B62:E62,0)))</f>
        <v>Strategic Thinking</v>
      </c>
    </row>
    <row r="63" customFormat="false" ht="15" hidden="false" customHeight="false" outlineLevel="0" collapsed="false">
      <c r="A63" s="11" t="n">
        <v>8</v>
      </c>
      <c r="B63" s="12" t="n">
        <f aca="false">SUMPRODUCT(($A$2:$A$51=$A63)*($N$2:$N$51="ST"))-SUMPRODUCT(($A$2:$A$51=$A63)*($O$2:$O$51="ST"))</f>
        <v>0</v>
      </c>
      <c r="C63" s="12" t="n">
        <f aca="false">SUMPRODUCT(($A$2:$A$51=$A63)*($N$2:$N$51="RB"))-SUMPRODUCT(($A$2:$A$51=$A63)*($O$2:$O$51="RB"))</f>
        <v>0</v>
      </c>
      <c r="D63" s="12" t="n">
        <f aca="false">SUMPRODUCT(($A$2:$A$51=$A63)*($N$2:$N$51="IN"))-SUMPRODUCT(($A$2:$A$51=$A63)*($O$2:$O$51="IN"))</f>
        <v>0</v>
      </c>
      <c r="E63" s="12" t="n">
        <f aca="false">SUMPRODUCT(($A$2:$A$51=$A63)*($N$2:$N$51="EX"))-SUMPRODUCT(($A$2:$A$51=$A63)*($O$2:$O$51="EX"))</f>
        <v>0</v>
      </c>
      <c r="F63" s="12" t="str">
        <f aca="false">IF(COUNT(B63:E63)=0,"",INDEX({"Strategic Thinking";"Relationship Building";"Influencing";"Executing"},MATCH(MAX(B63:E63),B63:E63,0)))</f>
        <v>Strategic Thinking</v>
      </c>
    </row>
    <row r="64" customFormat="false" ht="15" hidden="false" customHeight="false" outlineLevel="0" collapsed="false">
      <c r="A64" s="11" t="n">
        <v>9</v>
      </c>
      <c r="B64" s="12" t="n">
        <f aca="false">SUMPRODUCT(($A$2:$A$51=$A64)*($N$2:$N$51="ST"))-SUMPRODUCT(($A$2:$A$51=$A64)*($O$2:$O$51="ST"))</f>
        <v>0</v>
      </c>
      <c r="C64" s="12" t="n">
        <f aca="false">SUMPRODUCT(($A$2:$A$51=$A64)*($N$2:$N$51="RB"))-SUMPRODUCT(($A$2:$A$51=$A64)*($O$2:$O$51="RB"))</f>
        <v>0</v>
      </c>
      <c r="D64" s="12" t="n">
        <f aca="false">SUMPRODUCT(($A$2:$A$51=$A64)*($N$2:$N$51="IN"))-SUMPRODUCT(($A$2:$A$51=$A64)*($O$2:$O$51="IN"))</f>
        <v>0</v>
      </c>
      <c r="E64" s="12" t="n">
        <f aca="false">SUMPRODUCT(($A$2:$A$51=$A64)*($N$2:$N$51="EX"))-SUMPRODUCT(($A$2:$A$51=$A64)*($O$2:$O$51="EX"))</f>
        <v>0</v>
      </c>
      <c r="F64" s="12" t="str">
        <f aca="false">IF(COUNT(B64:E64)=0,"",INDEX({"Strategic Thinking";"Relationship Building";"Influencing";"Executing"},MATCH(MAX(B64:E64),B64:E64,0)))</f>
        <v>Strategic Thinking</v>
      </c>
    </row>
    <row r="65" customFormat="false" ht="15" hidden="false" customHeight="false" outlineLevel="0" collapsed="false">
      <c r="A65" s="11" t="n">
        <v>10</v>
      </c>
      <c r="B65" s="12" t="n">
        <f aca="false">SUMPRODUCT(($A$2:$A$51=$A65)*($N$2:$N$51="ST"))-SUMPRODUCT(($A$2:$A$51=$A65)*($O$2:$O$51="ST"))</f>
        <v>0</v>
      </c>
      <c r="C65" s="12" t="n">
        <f aca="false">SUMPRODUCT(($A$2:$A$51=$A65)*($N$2:$N$51="RB"))-SUMPRODUCT(($A$2:$A$51=$A65)*($O$2:$O$51="RB"))</f>
        <v>0</v>
      </c>
      <c r="D65" s="12" t="n">
        <f aca="false">SUMPRODUCT(($A$2:$A$51=$A65)*($N$2:$N$51="IN"))-SUMPRODUCT(($A$2:$A$51=$A65)*($O$2:$O$51="IN"))</f>
        <v>0</v>
      </c>
      <c r="E65" s="12" t="n">
        <f aca="false">SUMPRODUCT(($A$2:$A$51=$A65)*($N$2:$N$51="EX"))-SUMPRODUCT(($A$2:$A$51=$A65)*($O$2:$O$51="EX"))</f>
        <v>0</v>
      </c>
      <c r="F65" s="12" t="str">
        <f aca="false">IF(COUNT(B65:E65)=0,"",INDEX({"Strategic Thinking";"Relationship Building";"Influencing";"Executing"},MATCH(MAX(B65:E65),B65:E65,0)))</f>
        <v>Strategic Thinking</v>
      </c>
    </row>
  </sheetData>
  <mergeCells count="1">
    <mergeCell ref="A54:F54"/>
  </mergeCells>
  <dataValidations count="1">
    <dataValidation allowBlank="true" error="Enter A, B, C or D" errorStyle="stop" errorTitle="Invalid entry" operator="between" showDropDown="false" showErrorMessage="true" showInputMessage="false" sqref="L2:M51" type="list">
      <formula1>"A,B,C,D"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2026-07-09T19:07:30Z</dcterms:created>
  <dc:creator>openpyxl</dc:creator>
  <dc:description/>
  <dc:language>en-US</dc:language>
  <cp:lastModifiedBy/>
  <dcterms:modified xsi:type="dcterms:W3CDTF">2026-07-09T19:07:30Z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