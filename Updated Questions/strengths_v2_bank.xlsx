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ing logic" sheetId="1" state="visible" r:id="rId1"/>
    <sheet xmlns:r="http://schemas.openxmlformats.org/officeDocument/2006/relationships" name="Class 6-8" sheetId="2" state="visible" r:id="rId2"/>
    <sheet xmlns:r="http://schemas.openxmlformats.org/officeDocument/2006/relationships" name="Class 9-10" sheetId="3" state="visible" r:id="rId3"/>
    <sheet xmlns:r="http://schemas.openxmlformats.org/officeDocument/2006/relationships" name="Class 11-12" sheetId="4" state="visible" r:id="rId4"/>
    <sheet xmlns:r="http://schemas.openxmlformats.org/officeDocument/2006/relationships" name="Graduates (18-21)" sheetId="5" state="visible" r:id="rId5"/>
    <sheet xmlns:r="http://schemas.openxmlformats.org/officeDocument/2006/relationships" name="Early Professionals (21-25)" sheetId="6" state="visible" r:id="rId6"/>
    <sheet xmlns:r="http://schemas.openxmlformats.org/officeDocument/2006/relationships" name="Professionals (35-55)"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b val="1"/>
      <color rgb="000C447C"/>
      <sz val="12"/>
    </font>
    <font>
      <name val="Arial"/>
      <sz val="10"/>
    </font>
    <font>
      <name val="Arial"/>
      <b val="1"/>
      <color rgb="00FFFFFF"/>
      <sz val="10"/>
    </font>
    <font>
      <name val="Arial"/>
      <b val="1"/>
      <sz val="10"/>
    </font>
  </fonts>
  <fills count="5">
    <fill>
      <patternFill/>
    </fill>
    <fill>
      <patternFill patternType="gray125"/>
    </fill>
    <fill>
      <patternFill patternType="solid">
        <fgColor rgb="002C2C2A"/>
        <bgColor rgb="002C2C2A"/>
      </patternFill>
    </fill>
    <fill>
      <patternFill patternType="solid">
        <fgColor rgb="00F1EFE8"/>
        <bgColor rgb="00F1EFE8"/>
      </patternFill>
    </fill>
    <fill>
      <patternFill patternType="solid">
        <fgColor rgb="00FFFFFF"/>
        <bgColor rgb="00FFFFFF"/>
      </patternFill>
    </fill>
  </fills>
  <borders count="2">
    <border>
      <left/>
      <right/>
      <top/>
      <bottom/>
      <diagonal/>
    </border>
    <border>
      <left style="thin">
        <color rgb="00D3D1C7"/>
      </left>
      <right style="thin">
        <color rgb="00D3D1C7"/>
      </right>
      <top style="thin">
        <color rgb="00D3D1C7"/>
      </top>
      <bottom style="thin">
        <color rgb="00D3D1C7"/>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horizontal="center" vertical="center" wrapText="1"/>
    </xf>
    <xf numFmtId="0" fontId="3" fillId="4" borderId="1" applyAlignment="1" pivotButton="0" quotePrefix="0" xfId="0">
      <alignment vertical="top" wrapText="1"/>
    </xf>
    <xf numFmtId="0" fontId="5"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00" customWidth="1" min="1" max="1"/>
  </cols>
  <sheetData>
    <row r="1">
      <c r="A1" s="1" t="inlineStr">
        <is>
          <t>Strengths assessment v2 — real puzzles, not templated word problems</t>
        </is>
      </c>
    </row>
    <row r="3">
      <c r="A3" s="2" t="inlineStr">
        <is>
          <t>1. What changed from the previous version</t>
        </is>
      </c>
    </row>
    <row r="4" ht="30" customHeight="1">
      <c r="A4" s="3" t="inlineStr">
        <is>
          <t>•  Problem Solving is now a genuine constraint-satisfaction logic puzzle (three people, ordering clues, one uniquely correct answer) — generated by an algorithm that adds clues until exactly one solution remains, not a word-problem template with swapped numbers.</t>
        </is>
      </c>
    </row>
    <row r="5" ht="30" customHeight="1">
      <c r="A5" s="3" t="inlineStr">
        <is>
          <t>•  Critical Thinking is now 60 hand-written flawed-reasoning scenarios (10 per category), covering ten distinct fallacy types: correlation/causation, hasty generalisation, false dilemma, circular reasoning, appeal to popularity, slippery slope, straw man, irrelevant authority, anecdote over data, and begging the question.</t>
        </is>
      </c>
    </row>
    <row r="6" ht="30" customHeight="1">
      <c r="A6" s="3" t="inlineStr">
        <is>
          <t>•  Decision Making alternates between a rate-reasoning dilemma (best value for effort) and a constraint-fit puzzle (which task to skip so the other two fit your time) — both have a single provably correct answer.</t>
        </is>
      </c>
    </row>
    <row r="7" ht="30" customHeight="1">
      <c r="A7" s="3" t="inlineStr">
        <is>
          <t>•  Mental Math alternates between three genuine riddle formats: 'think of a number', working-backwards, and ratio/proportion — not a single arithmetic template.</t>
        </is>
      </c>
    </row>
    <row r="8" ht="30" customHeight="1">
      <c r="A8" s="3" t="inlineStr">
        <is>
          <t>•  Cognitive Academia rotates through five distinct pattern families: growing-gap sequences, geometric sequences, alternating operations, figurate numbers (triangular/square), and Fibonacci-style recurrence.</t>
        </is>
      </c>
    </row>
    <row r="9" ht="30" customHeight="1">
      <c r="A9" s="3" t="inlineStr">
        <is>
          <t>•  Self-report scenarios are now high-stakes and specific (e.g. a project collapsing minutes before judging) instead of generic situations, and every self-report question now has 4 options (adding a neutral 'none of these' choice) to match the scored questions.</t>
        </is>
      </c>
    </row>
    <row r="10" ht="30" customHeight="1">
      <c r="A10" s="3" t="inlineStr">
        <is>
          <t>•  Listening passages are short narratives with three clearly sequenced events, so the recall question always has one provably correct answer.</t>
        </is>
      </c>
    </row>
    <row r="11">
      <c r="A11" s="2" t="inlineStr">
        <is>
          <t>2. Structure</t>
        </is>
      </c>
    </row>
    <row r="12" ht="46" customHeight="1">
      <c r="A12" s="3" t="inlineStr">
        <is>
          <t>Each of the 6 category tabs has 10 sets of 10 questions (600 total). Every set covers Problem Solving, Critical Thinking, Decision Making, Mental Math, Cognitive Academia, and Listening (1 scored question each), Leadership/Communication/Emotional &amp; Social (3 self-report questions), and Creative Skills (1 open-ended question).</t>
        </is>
      </c>
    </row>
    <row r="13">
      <c r="A13" s="2" t="inlineStr">
        <is>
          <t>3. Guaranteed non-repetition</t>
        </is>
      </c>
    </row>
    <row r="14" ht="30" customHeight="1">
      <c r="A14" s="3" t="inlineStr">
        <is>
          <t>•  Problem Solving, Decision Making, Mental Math, and Cognitive Academia are algorithmically generated — different names, numbers, and even different puzzle families each set.</t>
        </is>
      </c>
    </row>
    <row r="15" ht="30" customHeight="1">
      <c r="A15" s="3" t="inlineStr">
        <is>
          <t>•  Critical Thinking, Self-report scenarios, and Creative Skills each draw from a bank of exactly 10 unique hand-written items per category — one per set, zero repeats.</t>
        </is>
      </c>
    </row>
    <row r="16" ht="30" customHeight="1">
      <c r="A16" s="3" t="inlineStr">
        <is>
          <t>•  Listening draws from 10 unique narrative passages per category, with the specific recall question varied at random.</t>
        </is>
      </c>
    </row>
    <row r="17">
      <c r="A17" s="2" t="inlineStr">
        <is>
          <t>4. How to administer and score</t>
        </is>
      </c>
    </row>
    <row r="18" ht="30" customHeight="1">
      <c r="A18" s="3" t="inlineStr">
        <is>
          <t>•  Pick any set (1-10). For the 6 scored questions, enter the answer letter. For the 3 self-report questions, enter the 'most like me' and 'least like me' letters. Creative response is for manual review.</t>
        </is>
      </c>
    </row>
    <row r="19" ht="30" customHeight="1">
      <c r="A19" s="3" t="inlineStr">
        <is>
          <t>•  Each solo-scored domain (1 question per set) shows 0% or 100% for that set — a coarse, directional signal. Combine 2-3 sets for a steadier read.</t>
        </is>
      </c>
    </row>
    <row r="20" ht="30" customHeight="1">
      <c r="A20" s="3" t="inlineStr">
        <is>
          <t>•  Leadership/Communication/Emotional &amp; Social are scored across the 3 self-report questions together, normalised to 0-100%.</t>
        </is>
      </c>
    </row>
    <row r="21">
      <c r="A21" s="2" t="inlineStr">
        <is>
          <t>5. Limitations</t>
        </is>
      </c>
    </row>
    <row r="22" ht="30" customHeight="1">
      <c r="A22" s="3" t="inlineStr">
        <is>
          <t>•  This remains a short instrument giving a directional read, not a validated psychometric score.</t>
        </is>
      </c>
    </row>
    <row r="23" ht="30" customHeight="1">
      <c r="A23" s="3" t="inlineStr">
        <is>
          <t>•  Listening is a 'read once, then answer' paper proxy — there is still no audio in a spreadsheet.</t>
        </is>
      </c>
    </row>
    <row r="24" ht="30" customHeight="1">
      <c r="A24" s="3" t="inlineStr">
        <is>
          <t>•  Self-report domains are ipsative (forced-choice): scores show relative priority within one person, not an absolute level compared across people.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5"/>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4" customWidth="1" min="2" max="2"/>
    <col width="16" customWidth="1" min="3" max="3"/>
    <col width="20" customWidth="1" min="4" max="4"/>
    <col width="44" customWidth="1" min="5" max="5"/>
    <col width="26" customWidth="1" min="6" max="6"/>
    <col width="26" customWidth="1" min="7" max="7"/>
    <col width="26" customWidth="1" min="8" max="8"/>
    <col width="26" customWidth="1" min="9" max="9"/>
    <col width="9" customWidth="1" min="10" max="10"/>
    <col width="9" customWidth="1" min="11" max="11"/>
    <col width="9" customWidth="1" min="12" max="12"/>
    <col width="9" customWidth="1" min="13" max="13"/>
    <col width="9" customWidth="1" min="14" max="14"/>
    <col width="11" customWidth="1" min="15" max="15"/>
    <col width="9" customWidth="1" min="16" max="16"/>
    <col width="9" customWidth="1" min="17" max="17"/>
    <col width="11" customWidth="1" min="18" max="18"/>
    <col width="11" customWidth="1" min="19" max="19"/>
    <col width="9" customWidth="1" min="20" max="20"/>
    <col width="34" customWidth="1" min="21" max="21"/>
  </cols>
  <sheetData>
    <row r="1">
      <c r="A1" s="4" t="inlineStr">
        <is>
          <t>Set</t>
        </is>
      </c>
      <c r="B1" s="4" t="inlineStr">
        <is>
          <t>Q</t>
        </is>
      </c>
      <c r="C1" s="4" t="inlineStr">
        <is>
          <t>Domain</t>
        </is>
      </c>
      <c r="D1" s="4" t="inlineStr">
        <is>
          <t>Type</t>
        </is>
      </c>
      <c r="E1" s="4" t="inlineStr">
        <is>
          <t>Prompt / Situation</t>
        </is>
      </c>
      <c r="F1" s="4" t="inlineStr">
        <is>
          <t>Option A</t>
        </is>
      </c>
      <c r="G1" s="4" t="inlineStr">
        <is>
          <t>Option B</t>
        </is>
      </c>
      <c r="H1" s="4" t="inlineStr">
        <is>
          <t>Option C</t>
        </is>
      </c>
      <c r="I1" s="4" t="inlineStr">
        <is>
          <t>Option D</t>
        </is>
      </c>
      <c r="J1" s="4" t="inlineStr">
        <is>
          <t>Domain A</t>
        </is>
      </c>
      <c r="K1" s="4" t="inlineStr">
        <is>
          <t>Domain B</t>
        </is>
      </c>
      <c r="L1" s="4" t="inlineStr">
        <is>
          <t>Domain C</t>
        </is>
      </c>
      <c r="M1" s="4" t="inlineStr">
        <is>
          <t>Domain D</t>
        </is>
      </c>
      <c r="N1" s="4" t="inlineStr">
        <is>
          <t>Correct answer</t>
        </is>
      </c>
      <c r="O1" s="4" t="inlineStr">
        <is>
          <t>Your answer (scored items)</t>
        </is>
      </c>
      <c r="P1" s="4" t="inlineStr">
        <is>
          <t>Most (self-report)</t>
        </is>
      </c>
      <c r="Q1" s="4" t="inlineStr">
        <is>
          <t>Least (self-report)</t>
        </is>
      </c>
      <c r="R1" s="4" t="inlineStr">
        <is>
          <t>Most domain</t>
        </is>
      </c>
      <c r="S1" s="4" t="inlineStr">
        <is>
          <t>Least domain</t>
        </is>
      </c>
      <c r="T1" s="4" t="inlineStr">
        <is>
          <t>Correct? (0/1)</t>
        </is>
      </c>
      <c r="U1" s="4" t="inlineStr">
        <is>
          <t>Open response (creative — not auto-scored)</t>
        </is>
      </c>
    </row>
    <row r="2">
      <c r="A2" s="5" t="n">
        <v>1</v>
      </c>
      <c r="B2" s="5" t="n">
        <v>1</v>
      </c>
      <c r="C2" s="5" t="inlineStr">
        <is>
          <t>Problem Solving</t>
        </is>
      </c>
      <c r="D2" s="5" t="inlineStr">
        <is>
          <t>Scored</t>
        </is>
      </c>
      <c r="E2" s="6" t="inlineStr">
        <is>
          <t>Three friends — Ben, Rhea, Diya — are lining up for the class photo. Ben is not in the middle. Rhea is not in the middle. Ben is not last. Who is in the middle?</t>
        </is>
      </c>
      <c r="F2" s="6" t="inlineStr">
        <is>
          <t>Ben</t>
        </is>
      </c>
      <c r="G2" s="6" t="inlineStr">
        <is>
          <t>Rhea</t>
        </is>
      </c>
      <c r="H2" s="6" t="inlineStr">
        <is>
          <t>Cannot be determined</t>
        </is>
      </c>
      <c r="I2" s="6" t="inlineStr">
        <is>
          <t>Diya</t>
        </is>
      </c>
      <c r="J2" s="5" t="n"/>
      <c r="K2" s="5" t="n"/>
      <c r="L2" s="5" t="n"/>
      <c r="M2" s="5" t="n"/>
      <c r="N2" s="5" t="inlineStr">
        <is>
          <t>D</t>
        </is>
      </c>
      <c r="O2" s="5" t="n"/>
      <c r="P2" s="5" t="n"/>
      <c r="Q2" s="5" t="n"/>
      <c r="R2" s="5" t="n"/>
      <c r="S2" s="5" t="n"/>
      <c r="T2" s="5">
        <f>IF(O2="","",IF(O2=N2,1,0))</f>
        <v/>
      </c>
      <c r="U2" s="6" t="n"/>
    </row>
    <row r="3">
      <c r="A3" s="5" t="n">
        <v>1</v>
      </c>
      <c r="B3" s="5" t="n">
        <v>2</v>
      </c>
      <c r="C3" s="5" t="inlineStr">
        <is>
          <t>Critical Thinking</t>
        </is>
      </c>
      <c r="D3" s="5" t="inlineStr">
        <is>
          <t>Scored</t>
        </is>
      </c>
      <c r="E3" s="6" t="inlineStr">
        <is>
          <t>Priya says: 'Every time I wear my lucky socks, my team wins. So my socks make us win.' What's the actual flaw in this reasoning?</t>
        </is>
      </c>
      <c r="F3" s="6" t="inlineStr">
        <is>
          <t>Socks cannot affect games at all</t>
        </is>
      </c>
      <c r="G3" s="6" t="inlineStr">
        <is>
          <t>She's mistaking a coincidence for a real cause</t>
        </is>
      </c>
      <c r="H3" s="6" t="inlineStr">
        <is>
          <t>She doesn't own lucky socks</t>
        </is>
      </c>
      <c r="I3" s="6" t="inlineStr">
        <is>
          <t>Her team never loses</t>
        </is>
      </c>
      <c r="J3" s="5" t="n"/>
      <c r="K3" s="5" t="n"/>
      <c r="L3" s="5" t="n"/>
      <c r="M3" s="5" t="n"/>
      <c r="N3" s="5" t="inlineStr">
        <is>
          <t>B</t>
        </is>
      </c>
      <c r="O3" s="5" t="n"/>
      <c r="P3" s="5" t="n"/>
      <c r="Q3" s="5" t="n"/>
      <c r="R3" s="5" t="n"/>
      <c r="S3" s="5" t="n"/>
      <c r="T3" s="5">
        <f>IF(O3="","",IF(O3=N3,1,0))</f>
        <v/>
      </c>
      <c r="U3" s="6" t="n"/>
    </row>
    <row r="4">
      <c r="A4" s="5" t="n">
        <v>1</v>
      </c>
      <c r="B4" s="5" t="n">
        <v>3</v>
      </c>
      <c r="C4" s="5" t="inlineStr">
        <is>
          <t>Decision Making</t>
        </is>
      </c>
      <c r="D4" s="5" t="inlineStr">
        <is>
          <t>Scored</t>
        </is>
      </c>
      <c r="E4" s="6" t="inlineStr">
        <is>
          <t>You only have time for ONE of these right now. Which gives the best value for the effort it takes?</t>
        </is>
      </c>
      <c r="F4" s="6" t="inlineStr">
        <is>
          <t>read a chapter for class (effort 8, value 26)</t>
        </is>
      </c>
      <c r="G4" s="6" t="inlineStr">
        <is>
          <t>They are all equally good choices</t>
        </is>
      </c>
      <c r="H4" s="6" t="inlineStr">
        <is>
          <t>finish your maths worksheet (effort 3, value 11)</t>
        </is>
      </c>
      <c r="I4" s="6" t="inlineStr">
        <is>
          <t>clean your desk (effort 6, value 21)</t>
        </is>
      </c>
      <c r="J4" s="5" t="n"/>
      <c r="K4" s="5" t="n"/>
      <c r="L4" s="5" t="n"/>
      <c r="M4" s="5" t="n"/>
      <c r="N4" s="5" t="inlineStr">
        <is>
          <t>C</t>
        </is>
      </c>
      <c r="O4" s="5" t="n"/>
      <c r="P4" s="5" t="n"/>
      <c r="Q4" s="5" t="n"/>
      <c r="R4" s="5" t="n"/>
      <c r="S4" s="5" t="n"/>
      <c r="T4" s="5">
        <f>IF(O4="","",IF(O4=N4,1,0))</f>
        <v/>
      </c>
      <c r="U4" s="6" t="n"/>
    </row>
    <row r="5">
      <c r="A5" s="5" t="n">
        <v>1</v>
      </c>
      <c r="B5" s="5" t="n">
        <v>4</v>
      </c>
      <c r="C5" s="5" t="inlineStr">
        <is>
          <t>Mental Math</t>
        </is>
      </c>
      <c r="D5" s="5" t="inlineStr">
        <is>
          <t>Scored</t>
        </is>
      </c>
      <c r="E5" s="6" t="inlineStr">
        <is>
          <t>I'm thinking of a number. If you subtract 1, then double it, you get 2. What's my number?</t>
        </is>
      </c>
      <c r="F5" s="6" t="inlineStr">
        <is>
          <t>3</t>
        </is>
      </c>
      <c r="G5" s="6" t="inlineStr">
        <is>
          <t>4</t>
        </is>
      </c>
      <c r="H5" s="6" t="inlineStr">
        <is>
          <t>2</t>
        </is>
      </c>
      <c r="I5" s="6" t="inlineStr">
        <is>
          <t>1</t>
        </is>
      </c>
      <c r="J5" s="5" t="n"/>
      <c r="K5" s="5" t="n"/>
      <c r="L5" s="5" t="n"/>
      <c r="M5" s="5" t="n"/>
      <c r="N5" s="5" t="inlineStr">
        <is>
          <t>C</t>
        </is>
      </c>
      <c r="O5" s="5" t="n"/>
      <c r="P5" s="5" t="n"/>
      <c r="Q5" s="5" t="n"/>
      <c r="R5" s="5" t="n"/>
      <c r="S5" s="5" t="n"/>
      <c r="T5" s="5">
        <f>IF(O5="","",IF(O5=N5,1,0))</f>
        <v/>
      </c>
      <c r="U5" s="6" t="n"/>
    </row>
    <row r="6">
      <c r="A6" s="5" t="n">
        <v>1</v>
      </c>
      <c r="B6" s="5" t="n">
        <v>5</v>
      </c>
      <c r="C6" s="5" t="inlineStr">
        <is>
          <t>Cognitive Academia</t>
        </is>
      </c>
      <c r="D6" s="5" t="inlineStr">
        <is>
          <t>Scored</t>
        </is>
      </c>
      <c r="E6" s="6" t="inlineStr">
        <is>
          <t>What comes next in this pattern: 6, 8, 13, 21, 32, ?</t>
        </is>
      </c>
      <c r="F6" s="6" t="inlineStr">
        <is>
          <t>52</t>
        </is>
      </c>
      <c r="G6" s="6" t="inlineStr">
        <is>
          <t>46</t>
        </is>
      </c>
      <c r="H6" s="6" t="inlineStr">
        <is>
          <t>49</t>
        </is>
      </c>
      <c r="I6" s="6" t="inlineStr">
        <is>
          <t>43</t>
        </is>
      </c>
      <c r="J6" s="5" t="n"/>
      <c r="K6" s="5" t="n"/>
      <c r="L6" s="5" t="n"/>
      <c r="M6" s="5" t="n"/>
      <c r="N6" s="5" t="inlineStr">
        <is>
          <t>B</t>
        </is>
      </c>
      <c r="O6" s="5" t="n"/>
      <c r="P6" s="5" t="n"/>
      <c r="Q6" s="5" t="n"/>
      <c r="R6" s="5" t="n"/>
      <c r="S6" s="5" t="n"/>
      <c r="T6" s="5">
        <f>IF(O6="","",IF(O6=N6,1,0))</f>
        <v/>
      </c>
      <c r="U6" s="6" t="n"/>
    </row>
    <row r="7">
      <c r="A7" s="5" t="n">
        <v>1</v>
      </c>
      <c r="B7" s="5" t="n">
        <v>6</v>
      </c>
      <c r="C7" s="5" t="inlineStr">
        <is>
          <t>Leadership / Communication / Emotional &amp; Social</t>
        </is>
      </c>
      <c r="D7" s="5" t="inlineStr">
        <is>
          <t>Self-report (most/least)</t>
        </is>
      </c>
      <c r="E7" s="6" t="inlineStr">
        <is>
          <t>Your team's science fair project just collapsed five minutes before judging. Everyone is panicking.</t>
        </is>
      </c>
      <c r="F7" s="6" t="inlineStr">
        <is>
          <t>None of these feel like you in this moment</t>
        </is>
      </c>
      <c r="G7" s="6" t="inlineStr">
        <is>
          <t>You can tell how someone is feeling without them saying it</t>
        </is>
      </c>
      <c r="H7" s="6" t="inlineStr">
        <is>
          <t>You make sure your point comes across clearly</t>
        </is>
      </c>
      <c r="I7" s="6" t="inlineStr">
        <is>
          <t>You enjoy being picked as the leader</t>
        </is>
      </c>
      <c r="J7" s="5" t="inlineStr"/>
      <c r="K7" s="5" t="inlineStr">
        <is>
          <t>ES</t>
        </is>
      </c>
      <c r="L7" s="5" t="inlineStr">
        <is>
          <t>CM</t>
        </is>
      </c>
      <c r="M7" s="5" t="inlineStr">
        <is>
          <t>LD</t>
        </is>
      </c>
      <c r="N7" s="5" t="n"/>
      <c r="O7" s="5" t="n"/>
      <c r="P7" s="5" t="n"/>
      <c r="Q7" s="5" t="n"/>
      <c r="R7" s="5">
        <f>IFERROR(INDEX(J7:M7,MATCH(P7,{"A","B","C","D"},0)),"")</f>
        <v/>
      </c>
      <c r="S7" s="5">
        <f>IFERROR(INDEX(J7:M7,MATCH(Q7,{"A","B","C","D"},0)),"")</f>
        <v/>
      </c>
      <c r="T7" s="5" t="n"/>
      <c r="U7" s="6" t="n"/>
    </row>
    <row r="8">
      <c r="A8" s="5" t="n">
        <v>1</v>
      </c>
      <c r="B8" s="5" t="n">
        <v>7</v>
      </c>
      <c r="C8" s="5" t="inlineStr">
        <is>
          <t>Leadership / Communication / Emotional &amp; Social</t>
        </is>
      </c>
      <c r="D8" s="5" t="inlineStr">
        <is>
          <t>Self-report (most/least)</t>
        </is>
      </c>
      <c r="E8" s="6" t="inlineStr">
        <is>
          <t>You're in the middle of a class debate and you suddenly realize your argument has a big hole in it, live, in front of everyone.</t>
        </is>
      </c>
      <c r="F8" s="6" t="inlineStr">
        <is>
          <t>You like setting the plan for others to follow</t>
        </is>
      </c>
      <c r="G8" s="6" t="inlineStr">
        <is>
          <t>You find the right words to explain something tricky</t>
        </is>
      </c>
      <c r="H8" s="6" t="inlineStr">
        <is>
          <t>You'd need more time before reacting at all</t>
        </is>
      </c>
      <c r="I8" s="6" t="inlineStr">
        <is>
          <t>You're comfortable meeting new people</t>
        </is>
      </c>
      <c r="J8" s="5" t="inlineStr">
        <is>
          <t>LD</t>
        </is>
      </c>
      <c r="K8" s="5" t="inlineStr">
        <is>
          <t>CM</t>
        </is>
      </c>
      <c r="L8" s="5" t="inlineStr"/>
      <c r="M8" s="5" t="inlineStr">
        <is>
          <t>ES</t>
        </is>
      </c>
      <c r="N8" s="5" t="n"/>
      <c r="O8" s="5" t="n"/>
      <c r="P8" s="5" t="n"/>
      <c r="Q8" s="5" t="n"/>
      <c r="R8" s="5">
        <f>IFERROR(INDEX(J8:M8,MATCH(P8,{"A","B","C","D"},0)),"")</f>
        <v/>
      </c>
      <c r="S8" s="5">
        <f>IFERROR(INDEX(J8:M8,MATCH(Q8,{"A","B","C","D"},0)),"")</f>
        <v/>
      </c>
      <c r="T8" s="5" t="n"/>
      <c r="U8" s="6" t="n"/>
    </row>
    <row r="9">
      <c r="A9" s="5" t="n">
        <v>1</v>
      </c>
      <c r="B9" s="5" t="n">
        <v>8</v>
      </c>
      <c r="C9" s="5" t="inlineStr">
        <is>
          <t>Leadership / Communication / Emotional &amp; Social</t>
        </is>
      </c>
      <c r="D9" s="5" t="inlineStr">
        <is>
          <t>Self-report (most/least)</t>
        </is>
      </c>
      <c r="E9" s="6" t="inlineStr">
        <is>
          <t>A new student sits alone at lunch every day, and today someone made a joke about it that made the room go quiet.</t>
        </is>
      </c>
      <c r="F9" s="6" t="inlineStr">
        <is>
          <t>You enjoy being in charge during group games</t>
        </is>
      </c>
      <c r="G9" s="6" t="inlineStr">
        <is>
          <t>You stay patient even when things get frustrating</t>
        </is>
      </c>
      <c r="H9" s="6" t="inlineStr">
        <is>
          <t>You'd rather wait and see what others do first</t>
        </is>
      </c>
      <c r="I9" s="6" t="inlineStr">
        <is>
          <t>You check that others understood what you said</t>
        </is>
      </c>
      <c r="J9" s="5" t="inlineStr">
        <is>
          <t>LD</t>
        </is>
      </c>
      <c r="K9" s="5" t="inlineStr">
        <is>
          <t>ES</t>
        </is>
      </c>
      <c r="L9" s="5" t="inlineStr"/>
      <c r="M9" s="5" t="inlineStr">
        <is>
          <t>CM</t>
        </is>
      </c>
      <c r="N9" s="5" t="n"/>
      <c r="O9" s="5" t="n"/>
      <c r="P9" s="5" t="n"/>
      <c r="Q9" s="5" t="n"/>
      <c r="R9" s="5">
        <f>IFERROR(INDEX(J9:M9,MATCH(P9,{"A","B","C","D"},0)),"")</f>
        <v/>
      </c>
      <c r="S9" s="5">
        <f>IFERROR(INDEX(J9:M9,MATCH(Q9,{"A","B","C","D"},0)),"")</f>
        <v/>
      </c>
      <c r="T9" s="5" t="n"/>
      <c r="U9" s="6" t="n"/>
    </row>
    <row r="10">
      <c r="A10" s="5" t="n">
        <v>1</v>
      </c>
      <c r="B10" s="5" t="n">
        <v>9</v>
      </c>
      <c r="C10" s="5" t="inlineStr">
        <is>
          <t>Creative Skills</t>
        </is>
      </c>
      <c r="D10" s="5" t="inlineStr">
        <is>
          <t>Open-ended (not auto-scored)</t>
        </is>
      </c>
      <c r="E10" s="6" t="inlineStr">
        <is>
          <t>Look at this word: 'Bridge'. What are three unusual or fun uses you can imagine for it, besides crossing a river?</t>
        </is>
      </c>
      <c r="F10" s="6" t="n"/>
      <c r="G10" s="6" t="n"/>
      <c r="H10" s="6" t="n"/>
      <c r="I10" s="6" t="n"/>
      <c r="J10" s="5" t="n"/>
      <c r="K10" s="5" t="n"/>
      <c r="L10" s="5" t="n"/>
      <c r="M10" s="5" t="n"/>
      <c r="N10" s="5" t="n"/>
      <c r="O10" s="5" t="n"/>
      <c r="P10" s="5" t="n"/>
      <c r="Q10" s="5" t="n"/>
      <c r="R10" s="5" t="n"/>
      <c r="S10" s="5" t="n"/>
      <c r="T10" s="5" t="n"/>
      <c r="U10" s="6" t="n"/>
    </row>
    <row r="11">
      <c r="A11" s="5" t="n">
        <v>1</v>
      </c>
      <c r="B11" s="5" t="n">
        <v>10</v>
      </c>
      <c r="C11" s="5" t="inlineStr">
        <is>
          <t>Listening Skills</t>
        </is>
      </c>
      <c r="D11" s="5" t="inlineStr">
        <is>
          <t>Scored</t>
        </is>
      </c>
      <c r="E11" s="6" t="inlineStr">
        <is>
          <t>[Read once, then answer without re-reading] “On the morning of the trip, Meera packed her lunch first, then found her shoes, and finally grabbed her umbrella just as it started to drizzle.”  ||  What happened last?</t>
        </is>
      </c>
      <c r="F11" s="6" t="inlineStr">
        <is>
          <t>packed her lunch</t>
        </is>
      </c>
      <c r="G11" s="6" t="inlineStr">
        <is>
          <t>grabbed her umbrella</t>
        </is>
      </c>
      <c r="H11" s="6" t="inlineStr">
        <is>
          <t>fed the class hamster</t>
        </is>
      </c>
      <c r="I11" s="6" t="inlineStr">
        <is>
          <t>found her shoes</t>
        </is>
      </c>
      <c r="J11" s="5" t="n"/>
      <c r="K11" s="5" t="n"/>
      <c r="L11" s="5" t="n"/>
      <c r="M11" s="5" t="n"/>
      <c r="N11" s="5" t="inlineStr">
        <is>
          <t>B</t>
        </is>
      </c>
      <c r="O11" s="5" t="n"/>
      <c r="P11" s="5" t="n"/>
      <c r="Q11" s="5" t="n"/>
      <c r="R11" s="5" t="n"/>
      <c r="S11" s="5" t="n"/>
      <c r="T11" s="5">
        <f>IF(O11="","",IF(O11=N11,1,0))</f>
        <v/>
      </c>
      <c r="U11" s="6" t="n"/>
    </row>
    <row r="12">
      <c r="A12" s="7" t="n">
        <v>2</v>
      </c>
      <c r="B12" s="7" t="n">
        <v>1</v>
      </c>
      <c r="C12" s="7" t="inlineStr">
        <is>
          <t>Problem Solving</t>
        </is>
      </c>
      <c r="D12" s="7" t="inlineStr">
        <is>
          <t>Scored</t>
        </is>
      </c>
      <c r="E12" s="8" t="inlineStr">
        <is>
          <t>Three friends — Sara, Aisha, Tariq — are lining up for the class photo. Tariq is not in the middle. Sara is not first. Sara is not last. Tariq is not first. Who is in the middle?</t>
        </is>
      </c>
      <c r="F12" s="8" t="inlineStr">
        <is>
          <t>Tariq</t>
        </is>
      </c>
      <c r="G12" s="8" t="inlineStr">
        <is>
          <t>Sara</t>
        </is>
      </c>
      <c r="H12" s="8" t="inlineStr">
        <is>
          <t>Aisha</t>
        </is>
      </c>
      <c r="I12" s="8" t="inlineStr">
        <is>
          <t>Cannot be determined</t>
        </is>
      </c>
      <c r="J12" s="7" t="n"/>
      <c r="K12" s="7" t="n"/>
      <c r="L12" s="7" t="n"/>
      <c r="M12" s="7" t="n"/>
      <c r="N12" s="7" t="inlineStr">
        <is>
          <t>B</t>
        </is>
      </c>
      <c r="O12" s="7" t="n"/>
      <c r="P12" s="7" t="n"/>
      <c r="Q12" s="7" t="n"/>
      <c r="R12" s="7" t="n"/>
      <c r="S12" s="7" t="n"/>
      <c r="T12" s="7">
        <f>IF(O12="","",IF(O12=N12,1,0))</f>
        <v/>
      </c>
      <c r="U12" s="8" t="n"/>
    </row>
    <row r="13">
      <c r="A13" s="7" t="n">
        <v>2</v>
      </c>
      <c r="B13" s="7" t="n">
        <v>2</v>
      </c>
      <c r="C13" s="7" t="inlineStr">
        <is>
          <t>Critical Thinking</t>
        </is>
      </c>
      <c r="D13" s="7" t="inlineStr">
        <is>
          <t>Scored</t>
        </is>
      </c>
      <c r="E13" s="8" t="inlineStr">
        <is>
          <t>Ravi tried one slice of pineapple pizza and hated it. He now says: 'Nobody likes pineapple pizza.' What's the actual flaw in this reasoning?</t>
        </is>
      </c>
      <c r="F13" s="8" t="inlineStr">
        <is>
          <t>Pineapple isn't a real fruit</t>
        </is>
      </c>
      <c r="G13" s="8" t="inlineStr">
        <is>
          <t>He secretly likes pineapple pizza</t>
        </is>
      </c>
      <c r="H13" s="8" t="inlineStr">
        <is>
          <t>He has never eaten pizza before</t>
        </is>
      </c>
      <c r="I13" s="8" t="inlineStr">
        <is>
          <t>He's making a big claim from just one experience</t>
        </is>
      </c>
      <c r="J13" s="7" t="n"/>
      <c r="K13" s="7" t="n"/>
      <c r="L13" s="7" t="n"/>
      <c r="M13" s="7" t="n"/>
      <c r="N13" s="7" t="inlineStr">
        <is>
          <t>D</t>
        </is>
      </c>
      <c r="O13" s="7" t="n"/>
      <c r="P13" s="7" t="n"/>
      <c r="Q13" s="7" t="n"/>
      <c r="R13" s="7" t="n"/>
      <c r="S13" s="7" t="n"/>
      <c r="T13" s="7">
        <f>IF(O13="","",IF(O13=N13,1,0))</f>
        <v/>
      </c>
      <c r="U13" s="8" t="n"/>
    </row>
    <row r="14">
      <c r="A14" s="7" t="n">
        <v>2</v>
      </c>
      <c r="B14" s="7" t="n">
        <v>3</v>
      </c>
      <c r="C14" s="7" t="inlineStr">
        <is>
          <t>Decision Making</t>
        </is>
      </c>
      <c r="D14" s="7" t="inlineStr">
        <is>
          <t>Scored</t>
        </is>
      </c>
      <c r="E14" s="8" t="inlineStr">
        <is>
          <t>You have 26 minutes. clean your desk takes 14 minutes, practice for the school play takes 12 minutes, and read a chapter for class takes 24 minutes. You must skip exactly one of them to fit the other two into your 26 minutes. Which should you skip?</t>
        </is>
      </c>
      <c r="F14" s="8" t="inlineStr">
        <is>
          <t>It's impossible to fit any two</t>
        </is>
      </c>
      <c r="G14" s="8" t="inlineStr">
        <is>
          <t>read a chapter for class</t>
        </is>
      </c>
      <c r="H14" s="8" t="inlineStr">
        <is>
          <t>clean your desk</t>
        </is>
      </c>
      <c r="I14" s="8" t="inlineStr">
        <is>
          <t>practice for the school play</t>
        </is>
      </c>
      <c r="J14" s="7" t="n"/>
      <c r="K14" s="7" t="n"/>
      <c r="L14" s="7" t="n"/>
      <c r="M14" s="7" t="n"/>
      <c r="N14" s="7" t="inlineStr">
        <is>
          <t>B</t>
        </is>
      </c>
      <c r="O14" s="7" t="n"/>
      <c r="P14" s="7" t="n"/>
      <c r="Q14" s="7" t="n"/>
      <c r="R14" s="7" t="n"/>
      <c r="S14" s="7" t="n"/>
      <c r="T14" s="7">
        <f>IF(O14="","",IF(O14=N14,1,0))</f>
        <v/>
      </c>
      <c r="U14" s="8" t="n"/>
    </row>
    <row r="15">
      <c r="A15" s="7" t="n">
        <v>2</v>
      </c>
      <c r="B15" s="7" t="n">
        <v>4</v>
      </c>
      <c r="C15" s="7" t="inlineStr">
        <is>
          <t>Mental Math</t>
        </is>
      </c>
      <c r="D15" s="7" t="inlineStr">
        <is>
          <t>Scored</t>
        </is>
      </c>
      <c r="E15" s="8" t="inlineStr">
        <is>
          <t>After spending 8 and later receiving 1 as a gift, Felix has 7. How much did Felix start with?</t>
        </is>
      </c>
      <c r="F15" s="8" t="inlineStr">
        <is>
          <t>13</t>
        </is>
      </c>
      <c r="G15" s="8" t="inlineStr">
        <is>
          <t>14</t>
        </is>
      </c>
      <c r="H15" s="8" t="inlineStr">
        <is>
          <t>22</t>
        </is>
      </c>
      <c r="I15" s="8" t="inlineStr">
        <is>
          <t>7</t>
        </is>
      </c>
      <c r="J15" s="7" t="n"/>
      <c r="K15" s="7" t="n"/>
      <c r="L15" s="7" t="n"/>
      <c r="M15" s="7" t="n"/>
      <c r="N15" s="7" t="inlineStr">
        <is>
          <t>B</t>
        </is>
      </c>
      <c r="O15" s="7" t="n"/>
      <c r="P15" s="7" t="n"/>
      <c r="Q15" s="7" t="n"/>
      <c r="R15" s="7" t="n"/>
      <c r="S15" s="7" t="n"/>
      <c r="T15" s="7">
        <f>IF(O15="","",IF(O15=N15,1,0))</f>
        <v/>
      </c>
      <c r="U15" s="8" t="n"/>
    </row>
    <row r="16">
      <c r="A16" s="7" t="n">
        <v>2</v>
      </c>
      <c r="B16" s="7" t="n">
        <v>5</v>
      </c>
      <c r="C16" s="7" t="inlineStr">
        <is>
          <t>Cognitive Academia</t>
        </is>
      </c>
      <c r="D16" s="7" t="inlineStr">
        <is>
          <t>Scored</t>
        </is>
      </c>
      <c r="E16" s="8" t="inlineStr">
        <is>
          <t>What comes next in this pattern: 1, 2, 4, 8, ?</t>
        </is>
      </c>
      <c r="F16" s="8" t="inlineStr">
        <is>
          <t>12</t>
        </is>
      </c>
      <c r="G16" s="8" t="inlineStr">
        <is>
          <t>16</t>
        </is>
      </c>
      <c r="H16" s="8" t="inlineStr">
        <is>
          <t>11</t>
        </is>
      </c>
      <c r="I16" s="8" t="inlineStr">
        <is>
          <t>18</t>
        </is>
      </c>
      <c r="J16" s="7" t="n"/>
      <c r="K16" s="7" t="n"/>
      <c r="L16" s="7" t="n"/>
      <c r="M16" s="7" t="n"/>
      <c r="N16" s="7" t="inlineStr">
        <is>
          <t>B</t>
        </is>
      </c>
      <c r="O16" s="7" t="n"/>
      <c r="P16" s="7" t="n"/>
      <c r="Q16" s="7" t="n"/>
      <c r="R16" s="7" t="n"/>
      <c r="S16" s="7" t="n"/>
      <c r="T16" s="7">
        <f>IF(O16="","",IF(O16=N16,1,0))</f>
        <v/>
      </c>
      <c r="U16" s="8" t="n"/>
    </row>
    <row r="17">
      <c r="A17" s="7" t="n">
        <v>2</v>
      </c>
      <c r="B17" s="7" t="n">
        <v>6</v>
      </c>
      <c r="C17" s="7" t="inlineStr">
        <is>
          <t>Leadership / Communication / Emotional &amp; Social</t>
        </is>
      </c>
      <c r="D17" s="7" t="inlineStr">
        <is>
          <t>Self-report (most/least)</t>
        </is>
      </c>
      <c r="E17" s="8" t="inlineStr">
        <is>
          <t>Your group's skit for the talent show is falling apart backstage, thirty seconds before you go on.</t>
        </is>
      </c>
      <c r="F17" s="8" t="inlineStr">
        <is>
          <t>You naturally take charge and decide what the group should do</t>
        </is>
      </c>
      <c r="G17" s="8" t="inlineStr">
        <is>
          <t>You explain things clearly so everyone understands</t>
        </is>
      </c>
      <c r="H17" s="8" t="inlineStr">
        <is>
          <t>You'd need more time before reacting at all</t>
        </is>
      </c>
      <c r="I17" s="8" t="inlineStr">
        <is>
          <t>You notice when a friend is feeling upset</t>
        </is>
      </c>
      <c r="J17" s="7" t="inlineStr">
        <is>
          <t>LD</t>
        </is>
      </c>
      <c r="K17" s="7" t="inlineStr">
        <is>
          <t>CM</t>
        </is>
      </c>
      <c r="L17" s="7" t="inlineStr"/>
      <c r="M17" s="7" t="inlineStr">
        <is>
          <t>ES</t>
        </is>
      </c>
      <c r="N17" s="7" t="n"/>
      <c r="O17" s="7" t="n"/>
      <c r="P17" s="7" t="n"/>
      <c r="Q17" s="7" t="n"/>
      <c r="R17" s="7">
        <f>IFERROR(INDEX(J17:M17,MATCH(P17,{"A","B","C","D"},0)),"")</f>
        <v/>
      </c>
      <c r="S17" s="7">
        <f>IFERROR(INDEX(J17:M17,MATCH(Q17,{"A","B","C","D"},0)),"")</f>
        <v/>
      </c>
      <c r="T17" s="7" t="n"/>
      <c r="U17" s="8" t="n"/>
    </row>
    <row r="18">
      <c r="A18" s="7" t="n">
        <v>2</v>
      </c>
      <c r="B18" s="7" t="n">
        <v>7</v>
      </c>
      <c r="C18" s="7" t="inlineStr">
        <is>
          <t>Leadership / Communication / Emotional &amp; Social</t>
        </is>
      </c>
      <c r="D18" s="7" t="inlineStr">
        <is>
          <t>Self-report (most/least)</t>
        </is>
      </c>
      <c r="E18" s="8" t="inlineStr">
        <is>
          <t>You just found out the class hamster escaped during your turn to watch it.</t>
        </is>
      </c>
      <c r="F18" s="8" t="inlineStr">
        <is>
          <t>You step up when the group needs direction</t>
        </is>
      </c>
      <c r="G18" s="8" t="inlineStr">
        <is>
          <t>You'd rather wait and see what others do first</t>
        </is>
      </c>
      <c r="H18" s="8" t="inlineStr">
        <is>
          <t>You enjoy writing or telling stories to others</t>
        </is>
      </c>
      <c r="I18" s="8" t="inlineStr">
        <is>
          <t>You're good at making a sad friend feel better</t>
        </is>
      </c>
      <c r="J18" s="7" t="inlineStr">
        <is>
          <t>LD</t>
        </is>
      </c>
      <c r="K18" s="7" t="inlineStr"/>
      <c r="L18" s="7" t="inlineStr">
        <is>
          <t>CM</t>
        </is>
      </c>
      <c r="M18" s="7" t="inlineStr">
        <is>
          <t>ES</t>
        </is>
      </c>
      <c r="N18" s="7" t="n"/>
      <c r="O18" s="7" t="n"/>
      <c r="P18" s="7" t="n"/>
      <c r="Q18" s="7" t="n"/>
      <c r="R18" s="7">
        <f>IFERROR(INDEX(J18:M18,MATCH(P18,{"A","B","C","D"},0)),"")</f>
        <v/>
      </c>
      <c r="S18" s="7">
        <f>IFERROR(INDEX(J18:M18,MATCH(Q18,{"A","B","C","D"},0)),"")</f>
        <v/>
      </c>
      <c r="T18" s="7" t="n"/>
      <c r="U18" s="8" t="n"/>
    </row>
    <row r="19">
      <c r="A19" s="7" t="n">
        <v>2</v>
      </c>
      <c r="B19" s="7" t="n">
        <v>8</v>
      </c>
      <c r="C19" s="7" t="inlineStr">
        <is>
          <t>Leadership / Communication / Emotional &amp; Social</t>
        </is>
      </c>
      <c r="D19" s="7" t="inlineStr">
        <is>
          <t>Self-report (most/least)</t>
        </is>
      </c>
      <c r="E19" s="8" t="inlineStr">
        <is>
          <t>Your best friend is crying in the hallway and won't say why, right before your next class starts.</t>
        </is>
      </c>
      <c r="F19" s="8" t="inlineStr">
        <is>
          <t>You take responsibility if something goes wrong</t>
        </is>
      </c>
      <c r="G19" s="8" t="inlineStr">
        <is>
          <t>You like presenting your ideas out loud</t>
        </is>
      </c>
      <c r="H19" s="8" t="inlineStr">
        <is>
          <t>You handle disagreements without getting too angry</t>
        </is>
      </c>
      <c r="I19" s="8" t="inlineStr">
        <is>
          <t>You'd step back and observe before choosing any of these</t>
        </is>
      </c>
      <c r="J19" s="7" t="inlineStr">
        <is>
          <t>LD</t>
        </is>
      </c>
      <c r="K19" s="7" t="inlineStr">
        <is>
          <t>CM</t>
        </is>
      </c>
      <c r="L19" s="7" t="inlineStr">
        <is>
          <t>ES</t>
        </is>
      </c>
      <c r="M19" s="7" t="inlineStr"/>
      <c r="N19" s="7" t="n"/>
      <c r="O19" s="7" t="n"/>
      <c r="P19" s="7" t="n"/>
      <c r="Q19" s="7" t="n"/>
      <c r="R19" s="7">
        <f>IFERROR(INDEX(J19:M19,MATCH(P19,{"A","B","C","D"},0)),"")</f>
        <v/>
      </c>
      <c r="S19" s="7">
        <f>IFERROR(INDEX(J19:M19,MATCH(Q19,{"A","B","C","D"},0)),"")</f>
        <v/>
      </c>
      <c r="T19" s="7" t="n"/>
      <c r="U19" s="8" t="n"/>
    </row>
    <row r="20">
      <c r="A20" s="7" t="n">
        <v>2</v>
      </c>
      <c r="B20" s="7" t="n">
        <v>9</v>
      </c>
      <c r="C20" s="7" t="inlineStr">
        <is>
          <t>Creative Skills</t>
        </is>
      </c>
      <c r="D20" s="7" t="inlineStr">
        <is>
          <t>Open-ended (not auto-scored)</t>
        </is>
      </c>
      <c r="E20" s="8" t="inlineStr">
        <is>
          <t>Invent a new game you could play at recess with just a ball and no other equipment. What's it called and what's the one main rule?</t>
        </is>
      </c>
      <c r="F20" s="8" t="n"/>
      <c r="G20" s="8" t="n"/>
      <c r="H20" s="8" t="n"/>
      <c r="I20" s="8" t="n"/>
      <c r="J20" s="7" t="n"/>
      <c r="K20" s="7" t="n"/>
      <c r="L20" s="7" t="n"/>
      <c r="M20" s="7" t="n"/>
      <c r="N20" s="7" t="n"/>
      <c r="O20" s="7" t="n"/>
      <c r="P20" s="7" t="n"/>
      <c r="Q20" s="7" t="n"/>
      <c r="R20" s="7" t="n"/>
      <c r="S20" s="7" t="n"/>
      <c r="T20" s="7" t="n"/>
      <c r="U20" s="8" t="n"/>
    </row>
    <row r="21">
      <c r="A21" s="7" t="n">
        <v>2</v>
      </c>
      <c r="B21" s="7" t="n">
        <v>10</v>
      </c>
      <c r="C21" s="7" t="inlineStr">
        <is>
          <t>Listening Skills</t>
        </is>
      </c>
      <c r="D21" s="7" t="inlineStr">
        <is>
          <t>Scored</t>
        </is>
      </c>
      <c r="E21" s="8" t="inlineStr">
        <is>
          <t>[Read once, then answer without re-reading] “During the fire drill, the class lined up quietly, walked to the field, and then counted heads before going back inside.”  ||  What happened first?</t>
        </is>
      </c>
      <c r="F21" s="8" t="inlineStr">
        <is>
          <t>counted heads</t>
        </is>
      </c>
      <c r="G21" s="8" t="inlineStr">
        <is>
          <t>walked to the field</t>
        </is>
      </c>
      <c r="H21" s="8" t="inlineStr">
        <is>
          <t>lined up quietly</t>
        </is>
      </c>
      <c r="I21" s="8" t="inlineStr">
        <is>
          <t>sang the school song</t>
        </is>
      </c>
      <c r="J21" s="7" t="n"/>
      <c r="K21" s="7" t="n"/>
      <c r="L21" s="7" t="n"/>
      <c r="M21" s="7" t="n"/>
      <c r="N21" s="7" t="inlineStr">
        <is>
          <t>C</t>
        </is>
      </c>
      <c r="O21" s="7" t="n"/>
      <c r="P21" s="7" t="n"/>
      <c r="Q21" s="7" t="n"/>
      <c r="R21" s="7" t="n"/>
      <c r="S21" s="7" t="n"/>
      <c r="T21" s="7">
        <f>IF(O21="","",IF(O21=N21,1,0))</f>
        <v/>
      </c>
      <c r="U21" s="8" t="n"/>
    </row>
    <row r="22">
      <c r="A22" s="5" t="n">
        <v>3</v>
      </c>
      <c r="B22" s="5" t="n">
        <v>1</v>
      </c>
      <c r="C22" s="5" t="inlineStr">
        <is>
          <t>Problem Solving</t>
        </is>
      </c>
      <c r="D22" s="5" t="inlineStr">
        <is>
          <t>Scored</t>
        </is>
      </c>
      <c r="E22" s="6" t="inlineStr">
        <is>
          <t>Three friends — Noah, Hana, Priya — are lining up for the class photo. Hana is not first. Noah is not first. Hana is not in the middle. Who is first?</t>
        </is>
      </c>
      <c r="F22" s="6" t="inlineStr">
        <is>
          <t>Priya</t>
        </is>
      </c>
      <c r="G22" s="6" t="inlineStr">
        <is>
          <t>Noah</t>
        </is>
      </c>
      <c r="H22" s="6" t="inlineStr">
        <is>
          <t>Cannot be determined</t>
        </is>
      </c>
      <c r="I22" s="6" t="inlineStr">
        <is>
          <t>Hana</t>
        </is>
      </c>
      <c r="J22" s="5" t="n"/>
      <c r="K22" s="5" t="n"/>
      <c r="L22" s="5" t="n"/>
      <c r="M22" s="5" t="n"/>
      <c r="N22" s="5" t="inlineStr">
        <is>
          <t>A</t>
        </is>
      </c>
      <c r="O22" s="5" t="n"/>
      <c r="P22" s="5" t="n"/>
      <c r="Q22" s="5" t="n"/>
      <c r="R22" s="5" t="n"/>
      <c r="S22" s="5" t="n"/>
      <c r="T22" s="5">
        <f>IF(O22="","",IF(O22=N22,1,0))</f>
        <v/>
      </c>
      <c r="U22" s="6" t="n"/>
    </row>
    <row r="23">
      <c r="A23" s="5" t="n">
        <v>3</v>
      </c>
      <c r="B23" s="5" t="n">
        <v>2</v>
      </c>
      <c r="C23" s="5" t="inlineStr">
        <is>
          <t>Critical Thinking</t>
        </is>
      </c>
      <c r="D23" s="5" t="inlineStr">
        <is>
          <t>Scored</t>
        </is>
      </c>
      <c r="E23" s="6" t="inlineStr">
        <is>
          <t>A teacher says: 'You either finish all your homework, or you'll fail the class.' What's the actual flaw in this reasoning?</t>
        </is>
      </c>
      <c r="F23" s="6" t="inlineStr">
        <is>
          <t>She hasn't assigned any homework</t>
        </is>
      </c>
      <c r="G23" s="6" t="inlineStr">
        <is>
          <t>Failing is impossible in her class</t>
        </is>
      </c>
      <c r="H23" s="6" t="inlineStr">
        <is>
          <t>She's ignoring other possible outcomes in between</t>
        </is>
      </c>
      <c r="I23" s="6" t="inlineStr">
        <is>
          <t>She wants students to fail</t>
        </is>
      </c>
      <c r="J23" s="5" t="n"/>
      <c r="K23" s="5" t="n"/>
      <c r="L23" s="5" t="n"/>
      <c r="M23" s="5" t="n"/>
      <c r="N23" s="5" t="inlineStr">
        <is>
          <t>C</t>
        </is>
      </c>
      <c r="O23" s="5" t="n"/>
      <c r="P23" s="5" t="n"/>
      <c r="Q23" s="5" t="n"/>
      <c r="R23" s="5" t="n"/>
      <c r="S23" s="5" t="n"/>
      <c r="T23" s="5">
        <f>IF(O23="","",IF(O23=N23,1,0))</f>
        <v/>
      </c>
      <c r="U23" s="6" t="n"/>
    </row>
    <row r="24">
      <c r="A24" s="5" t="n">
        <v>3</v>
      </c>
      <c r="B24" s="5" t="n">
        <v>3</v>
      </c>
      <c r="C24" s="5" t="inlineStr">
        <is>
          <t>Decision Making</t>
        </is>
      </c>
      <c r="D24" s="5" t="inlineStr">
        <is>
          <t>Scored</t>
        </is>
      </c>
      <c r="E24" s="6" t="inlineStr">
        <is>
          <t>You only have time for ONE of these right now. Which gives the best value for the effort it takes?</t>
        </is>
      </c>
      <c r="F24" s="6" t="inlineStr">
        <is>
          <t>finish your maths worksheet (effort 7, value 24)</t>
        </is>
      </c>
      <c r="G24" s="6" t="inlineStr">
        <is>
          <t>practice for the school play (effort 8, value 9)</t>
        </is>
      </c>
      <c r="H24" s="6" t="inlineStr">
        <is>
          <t>read a chapter for class (effort 5, value 11)</t>
        </is>
      </c>
      <c r="I24" s="6" t="inlineStr">
        <is>
          <t>They are all equally good choices</t>
        </is>
      </c>
      <c r="J24" s="5" t="n"/>
      <c r="K24" s="5" t="n"/>
      <c r="L24" s="5" t="n"/>
      <c r="M24" s="5" t="n"/>
      <c r="N24" s="5" t="inlineStr">
        <is>
          <t>A</t>
        </is>
      </c>
      <c r="O24" s="5" t="n"/>
      <c r="P24" s="5" t="n"/>
      <c r="Q24" s="5" t="n"/>
      <c r="R24" s="5" t="n"/>
      <c r="S24" s="5" t="n"/>
      <c r="T24" s="5">
        <f>IF(O24="","",IF(O24=N24,1,0))</f>
        <v/>
      </c>
      <c r="U24" s="6" t="n"/>
    </row>
    <row r="25">
      <c r="A25" s="5" t="n">
        <v>3</v>
      </c>
      <c r="B25" s="5" t="n">
        <v>4</v>
      </c>
      <c r="C25" s="5" t="inlineStr">
        <is>
          <t>Mental Math</t>
        </is>
      </c>
      <c r="D25" s="5" t="inlineStr">
        <is>
          <t>Scored</t>
        </is>
      </c>
      <c r="E25" s="6" t="inlineStr">
        <is>
          <t>A recipe mixes cement and sand in a 3:2 ratio. If you use 6 units of cement, how much sand do you need?</t>
        </is>
      </c>
      <c r="F25" s="6" t="inlineStr">
        <is>
          <t>4</t>
        </is>
      </c>
      <c r="G25" s="6" t="inlineStr">
        <is>
          <t>9</t>
        </is>
      </c>
      <c r="H25" s="6" t="inlineStr">
        <is>
          <t>6</t>
        </is>
      </c>
      <c r="I25" s="6" t="inlineStr">
        <is>
          <t>2</t>
        </is>
      </c>
      <c r="J25" s="5" t="n"/>
      <c r="K25" s="5" t="n"/>
      <c r="L25" s="5" t="n"/>
      <c r="M25" s="5" t="n"/>
      <c r="N25" s="5" t="inlineStr">
        <is>
          <t>A</t>
        </is>
      </c>
      <c r="O25" s="5" t="n"/>
      <c r="P25" s="5" t="n"/>
      <c r="Q25" s="5" t="n"/>
      <c r="R25" s="5" t="n"/>
      <c r="S25" s="5" t="n"/>
      <c r="T25" s="5">
        <f>IF(O25="","",IF(O25=N25,1,0))</f>
        <v/>
      </c>
      <c r="U25" s="6" t="n"/>
    </row>
    <row r="26">
      <c r="A26" s="5" t="n">
        <v>3</v>
      </c>
      <c r="B26" s="5" t="n">
        <v>5</v>
      </c>
      <c r="C26" s="5" t="inlineStr">
        <is>
          <t>Cognitive Academia</t>
        </is>
      </c>
      <c r="D26" s="5" t="inlineStr">
        <is>
          <t>Scored</t>
        </is>
      </c>
      <c r="E26" s="6" t="inlineStr">
        <is>
          <t>What comes next in this pattern: 3, 6, 12, 24, ?</t>
        </is>
      </c>
      <c r="F26" s="6" t="inlineStr">
        <is>
          <t>27</t>
        </is>
      </c>
      <c r="G26" s="6" t="inlineStr">
        <is>
          <t>48</t>
        </is>
      </c>
      <c r="H26" s="6" t="inlineStr">
        <is>
          <t>36</t>
        </is>
      </c>
      <c r="I26" s="6" t="inlineStr">
        <is>
          <t>50</t>
        </is>
      </c>
      <c r="J26" s="5" t="n"/>
      <c r="K26" s="5" t="n"/>
      <c r="L26" s="5" t="n"/>
      <c r="M26" s="5" t="n"/>
      <c r="N26" s="5" t="inlineStr">
        <is>
          <t>B</t>
        </is>
      </c>
      <c r="O26" s="5" t="n"/>
      <c r="P26" s="5" t="n"/>
      <c r="Q26" s="5" t="n"/>
      <c r="R26" s="5" t="n"/>
      <c r="S26" s="5" t="n"/>
      <c r="T26" s="5">
        <f>IF(O26="","",IF(O26=N26,1,0))</f>
        <v/>
      </c>
      <c r="U26" s="6" t="n"/>
    </row>
    <row r="27">
      <c r="A27" s="5" t="n">
        <v>3</v>
      </c>
      <c r="B27" s="5" t="n">
        <v>6</v>
      </c>
      <c r="C27" s="5" t="inlineStr">
        <is>
          <t>Leadership / Communication / Emotional &amp; Social</t>
        </is>
      </c>
      <c r="D27" s="5" t="inlineStr">
        <is>
          <t>Self-report (most/least)</t>
        </is>
      </c>
      <c r="E27" s="6" t="inlineStr">
        <is>
          <t>The teacher asks for one volunteer to redo a messed-up group presentation, alone, right now.</t>
        </is>
      </c>
      <c r="F27" s="6" t="inlineStr">
        <is>
          <t>You check that others understood what you said</t>
        </is>
      </c>
      <c r="G27" s="6" t="inlineStr">
        <is>
          <t>You'd rather wait and see what others do first</t>
        </is>
      </c>
      <c r="H27" s="6" t="inlineStr">
        <is>
          <t>You enjoy being in charge during group games</t>
        </is>
      </c>
      <c r="I27" s="6" t="inlineStr">
        <is>
          <t>You stay patient even when things get frustrating</t>
        </is>
      </c>
      <c r="J27" s="5" t="inlineStr">
        <is>
          <t>CM</t>
        </is>
      </c>
      <c r="K27" s="5" t="inlineStr"/>
      <c r="L27" s="5" t="inlineStr">
        <is>
          <t>LD</t>
        </is>
      </c>
      <c r="M27" s="5" t="inlineStr">
        <is>
          <t>ES</t>
        </is>
      </c>
      <c r="N27" s="5" t="n"/>
      <c r="O27" s="5" t="n"/>
      <c r="P27" s="5" t="n"/>
      <c r="Q27" s="5" t="n"/>
      <c r="R27" s="5">
        <f>IFERROR(INDEX(J27:M27,MATCH(P27,{"A","B","C","D"},0)),"")</f>
        <v/>
      </c>
      <c r="S27" s="5">
        <f>IFERROR(INDEX(J27:M27,MATCH(Q27,{"A","B","C","D"},0)),"")</f>
        <v/>
      </c>
      <c r="T27" s="5" t="n"/>
      <c r="U27" s="6" t="n"/>
    </row>
    <row r="28">
      <c r="A28" s="5" t="n">
        <v>3</v>
      </c>
      <c r="B28" s="5" t="n">
        <v>7</v>
      </c>
      <c r="C28" s="5" t="inlineStr">
        <is>
          <t>Leadership / Communication / Emotional &amp; Social</t>
        </is>
      </c>
      <c r="D28" s="5" t="inlineStr">
        <is>
          <t>Self-report (most/least)</t>
        </is>
      </c>
      <c r="E28" s="6" t="inlineStr">
        <is>
          <t>Your team is losing badly in the final minute of the school sports match.</t>
        </is>
      </c>
      <c r="F28" s="6" t="inlineStr">
        <is>
          <t>You enjoy explaining your work to the class</t>
        </is>
      </c>
      <c r="G28" s="6" t="inlineStr">
        <is>
          <t>You notice small changes in a friend's mood</t>
        </is>
      </c>
      <c r="H28" s="6" t="inlineStr">
        <is>
          <t>You'd step back and observe before choosing any of these</t>
        </is>
      </c>
      <c r="I28" s="6" t="inlineStr">
        <is>
          <t>You like guiding your team toward a goal</t>
        </is>
      </c>
      <c r="J28" s="5" t="inlineStr">
        <is>
          <t>CM</t>
        </is>
      </c>
      <c r="K28" s="5" t="inlineStr">
        <is>
          <t>ES</t>
        </is>
      </c>
      <c r="L28" s="5" t="inlineStr"/>
      <c r="M28" s="5" t="inlineStr">
        <is>
          <t>LD</t>
        </is>
      </c>
      <c r="N28" s="5" t="n"/>
      <c r="O28" s="5" t="n"/>
      <c r="P28" s="5" t="n"/>
      <c r="Q28" s="5" t="n"/>
      <c r="R28" s="5">
        <f>IFERROR(INDEX(J28:M28,MATCH(P28,{"A","B","C","D"},0)),"")</f>
        <v/>
      </c>
      <c r="S28" s="5">
        <f>IFERROR(INDEX(J28:M28,MATCH(Q28,{"A","B","C","D"},0)),"")</f>
        <v/>
      </c>
      <c r="T28" s="5" t="n"/>
      <c r="U28" s="6" t="n"/>
    </row>
    <row r="29">
      <c r="A29" s="5" t="n">
        <v>3</v>
      </c>
      <c r="B29" s="5" t="n">
        <v>8</v>
      </c>
      <c r="C29" s="5" t="inlineStr">
        <is>
          <t>Leadership / Communication / Emotional &amp; Social</t>
        </is>
      </c>
      <c r="D29" s="5" t="inlineStr">
        <is>
          <t>Self-report (most/least)</t>
        </is>
      </c>
      <c r="E29" s="6" t="inlineStr">
        <is>
          <t>You accidentally broke a classmate's model volcano the day before the exhibition.</t>
        </is>
      </c>
      <c r="F29" s="6" t="inlineStr">
        <is>
          <t>You stay calm even when things go wrong</t>
        </is>
      </c>
      <c r="G29" s="6" t="inlineStr">
        <is>
          <t>You like being the one who organizes the group</t>
        </is>
      </c>
      <c r="H29" s="6" t="inlineStr">
        <is>
          <t>You like asking questions until things make sense</t>
        </is>
      </c>
      <c r="I29" s="6" t="inlineStr">
        <is>
          <t>None of these feel like you in this moment</t>
        </is>
      </c>
      <c r="J29" s="5" t="inlineStr">
        <is>
          <t>ES</t>
        </is>
      </c>
      <c r="K29" s="5" t="inlineStr">
        <is>
          <t>LD</t>
        </is>
      </c>
      <c r="L29" s="5" t="inlineStr">
        <is>
          <t>CM</t>
        </is>
      </c>
      <c r="M29" s="5" t="inlineStr"/>
      <c r="N29" s="5" t="n"/>
      <c r="O29" s="5" t="n"/>
      <c r="P29" s="5" t="n"/>
      <c r="Q29" s="5" t="n"/>
      <c r="R29" s="5">
        <f>IFERROR(INDEX(J29:M29,MATCH(P29,{"A","B","C","D"},0)),"")</f>
        <v/>
      </c>
      <c r="S29" s="5">
        <f>IFERROR(INDEX(J29:M29,MATCH(Q29,{"A","B","C","D"},0)),"")</f>
        <v/>
      </c>
      <c r="T29" s="5" t="n"/>
      <c r="U29" s="6" t="n"/>
    </row>
    <row r="30">
      <c r="A30" s="5" t="n">
        <v>3</v>
      </c>
      <c r="B30" s="5" t="n">
        <v>9</v>
      </c>
      <c r="C30" s="5" t="inlineStr">
        <is>
          <t>Creative Skills</t>
        </is>
      </c>
      <c r="D30" s="5" t="inlineStr">
        <is>
          <t>Open-ended (not auto-scored)</t>
        </is>
      </c>
      <c r="E30" s="6" t="inlineStr">
        <is>
          <t>If your school had one brand-new room that didn't exist yet, what would it be for? Describe it in a few sentences.</t>
        </is>
      </c>
      <c r="F30" s="6" t="n"/>
      <c r="G30" s="6" t="n"/>
      <c r="H30" s="6" t="n"/>
      <c r="I30" s="6" t="n"/>
      <c r="J30" s="5" t="n"/>
      <c r="K30" s="5" t="n"/>
      <c r="L30" s="5" t="n"/>
      <c r="M30" s="5" t="n"/>
      <c r="N30" s="5" t="n"/>
      <c r="O30" s="5" t="n"/>
      <c r="P30" s="5" t="n"/>
      <c r="Q30" s="5" t="n"/>
      <c r="R30" s="5" t="n"/>
      <c r="S30" s="5" t="n"/>
      <c r="T30" s="5" t="n"/>
      <c r="U30" s="6" t="n"/>
    </row>
    <row r="31">
      <c r="A31" s="5" t="n">
        <v>3</v>
      </c>
      <c r="B31" s="5" t="n">
        <v>10</v>
      </c>
      <c r="C31" s="5" t="inlineStr">
        <is>
          <t>Listening Skills</t>
        </is>
      </c>
      <c r="D31" s="5" t="inlineStr">
        <is>
          <t>Scored</t>
        </is>
      </c>
      <c r="E31" s="6" t="inlineStr">
        <is>
          <t>[Read once, then answer without re-reading] “Before the match, the coach checked the equipment, gave a short pep talk, and then led the team onto the field.”  ||  What happened right after the first thing mentioned?</t>
        </is>
      </c>
      <c r="F31" s="6" t="inlineStr">
        <is>
          <t>checked the equipment</t>
        </is>
      </c>
      <c r="G31" s="6" t="inlineStr">
        <is>
          <t>handed out medals</t>
        </is>
      </c>
      <c r="H31" s="6" t="inlineStr">
        <is>
          <t>led the team onto the field</t>
        </is>
      </c>
      <c r="I31" s="6" t="inlineStr">
        <is>
          <t>gave a short pep talk</t>
        </is>
      </c>
      <c r="J31" s="5" t="n"/>
      <c r="K31" s="5" t="n"/>
      <c r="L31" s="5" t="n"/>
      <c r="M31" s="5" t="n"/>
      <c r="N31" s="5" t="inlineStr">
        <is>
          <t>D</t>
        </is>
      </c>
      <c r="O31" s="5" t="n"/>
      <c r="P31" s="5" t="n"/>
      <c r="Q31" s="5" t="n"/>
      <c r="R31" s="5" t="n"/>
      <c r="S31" s="5" t="n"/>
      <c r="T31" s="5">
        <f>IF(O31="","",IF(O31=N31,1,0))</f>
        <v/>
      </c>
      <c r="U31" s="6" t="n"/>
    </row>
    <row r="32">
      <c r="A32" s="7" t="n">
        <v>4</v>
      </c>
      <c r="B32" s="7" t="n">
        <v>1</v>
      </c>
      <c r="C32" s="7" t="inlineStr">
        <is>
          <t>Problem Solving</t>
        </is>
      </c>
      <c r="D32" s="7" t="inlineStr">
        <is>
          <t>Scored</t>
        </is>
      </c>
      <c r="E32" s="8" t="inlineStr">
        <is>
          <t>Three friends — Noah, Ben, Jyoti — are lining up for the class photo. Ben is not first. Ben is not in the middle. Noah is not in the middle. Who is last?</t>
        </is>
      </c>
      <c r="F32" s="8" t="inlineStr">
        <is>
          <t>Cannot be determined</t>
        </is>
      </c>
      <c r="G32" s="8" t="inlineStr">
        <is>
          <t>Jyoti</t>
        </is>
      </c>
      <c r="H32" s="8" t="inlineStr">
        <is>
          <t>Noah</t>
        </is>
      </c>
      <c r="I32" s="8" t="inlineStr">
        <is>
          <t>Ben</t>
        </is>
      </c>
      <c r="J32" s="7" t="n"/>
      <c r="K32" s="7" t="n"/>
      <c r="L32" s="7" t="n"/>
      <c r="M32" s="7" t="n"/>
      <c r="N32" s="7" t="inlineStr">
        <is>
          <t>D</t>
        </is>
      </c>
      <c r="O32" s="7" t="n"/>
      <c r="P32" s="7" t="n"/>
      <c r="Q32" s="7" t="n"/>
      <c r="R32" s="7" t="n"/>
      <c r="S32" s="7" t="n"/>
      <c r="T32" s="7">
        <f>IF(O32="","",IF(O32=N32,1,0))</f>
        <v/>
      </c>
      <c r="U32" s="8" t="n"/>
    </row>
    <row r="33">
      <c r="A33" s="7" t="n">
        <v>4</v>
      </c>
      <c r="B33" s="7" t="n">
        <v>2</v>
      </c>
      <c r="C33" s="7" t="inlineStr">
        <is>
          <t>Critical Thinking</t>
        </is>
      </c>
      <c r="D33" s="7" t="inlineStr">
        <is>
          <t>Scored</t>
        </is>
      </c>
      <c r="E33" s="8" t="inlineStr">
        <is>
          <t>Sam says: 'This game is fun because it's enjoyable.' What's the actual flaw in this reasoning?</t>
        </is>
      </c>
      <c r="F33" s="8" t="inlineStr">
        <is>
          <t>He has never played the game</t>
        </is>
      </c>
      <c r="G33" s="8" t="inlineStr">
        <is>
          <t>The game is actually boring</t>
        </is>
      </c>
      <c r="H33" s="8" t="inlineStr">
        <is>
          <t>He's just repeating the same idea instead of explaining why</t>
        </is>
      </c>
      <c r="I33" s="8" t="inlineStr">
        <is>
          <t>Fun and enjoyable mean different things</t>
        </is>
      </c>
      <c r="J33" s="7" t="n"/>
      <c r="K33" s="7" t="n"/>
      <c r="L33" s="7" t="n"/>
      <c r="M33" s="7" t="n"/>
      <c r="N33" s="7" t="inlineStr">
        <is>
          <t>C</t>
        </is>
      </c>
      <c r="O33" s="7" t="n"/>
      <c r="P33" s="7" t="n"/>
      <c r="Q33" s="7" t="n"/>
      <c r="R33" s="7" t="n"/>
      <c r="S33" s="7" t="n"/>
      <c r="T33" s="7">
        <f>IF(O33="","",IF(O33=N33,1,0))</f>
        <v/>
      </c>
      <c r="U33" s="8" t="n"/>
    </row>
    <row r="34">
      <c r="A34" s="7" t="n">
        <v>4</v>
      </c>
      <c r="B34" s="7" t="n">
        <v>3</v>
      </c>
      <c r="C34" s="7" t="inlineStr">
        <is>
          <t>Decision Making</t>
        </is>
      </c>
      <c r="D34" s="7" t="inlineStr">
        <is>
          <t>Scored</t>
        </is>
      </c>
      <c r="E34" s="8" t="inlineStr">
        <is>
          <t>You have 22 minutes. clean your desk takes 12 minutes, practice for the school play takes 10 minutes, and finish your maths worksheet takes 22 minutes. You must skip exactly one of them to fit the other two into your 22 minutes. Which should you skip?</t>
        </is>
      </c>
      <c r="F34" s="8" t="inlineStr">
        <is>
          <t>It's impossible to fit any two</t>
        </is>
      </c>
      <c r="G34" s="8" t="inlineStr">
        <is>
          <t>practice for the school play</t>
        </is>
      </c>
      <c r="H34" s="8" t="inlineStr">
        <is>
          <t>clean your desk</t>
        </is>
      </c>
      <c r="I34" s="8" t="inlineStr">
        <is>
          <t>finish your maths worksheet</t>
        </is>
      </c>
      <c r="J34" s="7" t="n"/>
      <c r="K34" s="7" t="n"/>
      <c r="L34" s="7" t="n"/>
      <c r="M34" s="7" t="n"/>
      <c r="N34" s="7" t="inlineStr">
        <is>
          <t>D</t>
        </is>
      </c>
      <c r="O34" s="7" t="n"/>
      <c r="P34" s="7" t="n"/>
      <c r="Q34" s="7" t="n"/>
      <c r="R34" s="7" t="n"/>
      <c r="S34" s="7" t="n"/>
      <c r="T34" s="7">
        <f>IF(O34="","",IF(O34=N34,1,0))</f>
        <v/>
      </c>
      <c r="U34" s="8" t="n"/>
    </row>
    <row r="35">
      <c r="A35" s="7" t="n">
        <v>4</v>
      </c>
      <c r="B35" s="7" t="n">
        <v>4</v>
      </c>
      <c r="C35" s="7" t="inlineStr">
        <is>
          <t>Mental Math</t>
        </is>
      </c>
      <c r="D35" s="7" t="inlineStr">
        <is>
          <t>Scored</t>
        </is>
      </c>
      <c r="E35" s="8" t="inlineStr">
        <is>
          <t>I'm thinking of a number. If you subtract 3, then double it, you get 16. What's my number?</t>
        </is>
      </c>
      <c r="F35" s="8" t="inlineStr">
        <is>
          <t>11</t>
        </is>
      </c>
      <c r="G35" s="8" t="inlineStr">
        <is>
          <t>12</t>
        </is>
      </c>
      <c r="H35" s="8" t="inlineStr">
        <is>
          <t>13</t>
        </is>
      </c>
      <c r="I35" s="8" t="inlineStr">
        <is>
          <t>10</t>
        </is>
      </c>
      <c r="J35" s="7" t="n"/>
      <c r="K35" s="7" t="n"/>
      <c r="L35" s="7" t="n"/>
      <c r="M35" s="7" t="n"/>
      <c r="N35" s="7" t="inlineStr">
        <is>
          <t>A</t>
        </is>
      </c>
      <c r="O35" s="7" t="n"/>
      <c r="P35" s="7" t="n"/>
      <c r="Q35" s="7" t="n"/>
      <c r="R35" s="7" t="n"/>
      <c r="S35" s="7" t="n"/>
      <c r="T35" s="7">
        <f>IF(O35="","",IF(O35=N35,1,0))</f>
        <v/>
      </c>
      <c r="U35" s="8" t="n"/>
    </row>
    <row r="36">
      <c r="A36" s="7" t="n">
        <v>4</v>
      </c>
      <c r="B36" s="7" t="n">
        <v>5</v>
      </c>
      <c r="C36" s="7" t="inlineStr">
        <is>
          <t>Cognitive Academia</t>
        </is>
      </c>
      <c r="D36" s="7" t="inlineStr">
        <is>
          <t>Scored</t>
        </is>
      </c>
      <c r="E36" s="8" t="inlineStr">
        <is>
          <t>What comes next in this pattern: 5, 10, 20, 40, ?</t>
        </is>
      </c>
      <c r="F36" s="8" t="inlineStr">
        <is>
          <t>80</t>
        </is>
      </c>
      <c r="G36" s="8" t="inlineStr">
        <is>
          <t>82</t>
        </is>
      </c>
      <c r="H36" s="8" t="inlineStr">
        <is>
          <t>43</t>
        </is>
      </c>
      <c r="I36" s="8" t="inlineStr">
        <is>
          <t>60</t>
        </is>
      </c>
      <c r="J36" s="7" t="n"/>
      <c r="K36" s="7" t="n"/>
      <c r="L36" s="7" t="n"/>
      <c r="M36" s="7" t="n"/>
      <c r="N36" s="7" t="inlineStr">
        <is>
          <t>A</t>
        </is>
      </c>
      <c r="O36" s="7" t="n"/>
      <c r="P36" s="7" t="n"/>
      <c r="Q36" s="7" t="n"/>
      <c r="R36" s="7" t="n"/>
      <c r="S36" s="7" t="n"/>
      <c r="T36" s="7">
        <f>IF(O36="","",IF(O36=N36,1,0))</f>
        <v/>
      </c>
      <c r="U36" s="8" t="n"/>
    </row>
    <row r="37">
      <c r="A37" s="7" t="n">
        <v>4</v>
      </c>
      <c r="B37" s="7" t="n">
        <v>6</v>
      </c>
      <c r="C37" s="7" t="inlineStr">
        <is>
          <t>Leadership / Communication / Emotional &amp; Social</t>
        </is>
      </c>
      <c r="D37" s="7" t="inlineStr">
        <is>
          <t>Self-report (most/least)</t>
        </is>
      </c>
      <c r="E37" s="8" t="inlineStr">
        <is>
          <t>Everyone in your group wants to do something different for the class mural, and the deadline is tomorrow.</t>
        </is>
      </c>
      <c r="F37" s="8" t="inlineStr">
        <is>
          <t>You'd step back and observe before choosing any of these</t>
        </is>
      </c>
      <c r="G37" s="8" t="inlineStr">
        <is>
          <t>You handle disagreements without getting too angry</t>
        </is>
      </c>
      <c r="H37" s="8" t="inlineStr">
        <is>
          <t>You like presenting your ideas out loud</t>
        </is>
      </c>
      <c r="I37" s="8" t="inlineStr">
        <is>
          <t>You take responsibility if something goes wrong</t>
        </is>
      </c>
      <c r="J37" s="7" t="inlineStr"/>
      <c r="K37" s="7" t="inlineStr">
        <is>
          <t>ES</t>
        </is>
      </c>
      <c r="L37" s="7" t="inlineStr">
        <is>
          <t>CM</t>
        </is>
      </c>
      <c r="M37" s="7" t="inlineStr">
        <is>
          <t>LD</t>
        </is>
      </c>
      <c r="N37" s="7" t="n"/>
      <c r="O37" s="7" t="n"/>
      <c r="P37" s="7" t="n"/>
      <c r="Q37" s="7" t="n"/>
      <c r="R37" s="7">
        <f>IFERROR(INDEX(J37:M37,MATCH(P37,{"A","B","C","D"},0)),"")</f>
        <v/>
      </c>
      <c r="S37" s="7">
        <f>IFERROR(INDEX(J37:M37,MATCH(Q37,{"A","B","C","D"},0)),"")</f>
        <v/>
      </c>
      <c r="T37" s="7" t="n"/>
      <c r="U37" s="8" t="n"/>
    </row>
    <row r="38">
      <c r="A38" s="7" t="n">
        <v>4</v>
      </c>
      <c r="B38" s="7" t="n">
        <v>7</v>
      </c>
      <c r="C38" s="7" t="inlineStr">
        <is>
          <t>Leadership / Communication / Emotional &amp; Social</t>
        </is>
      </c>
      <c r="D38" s="7" t="inlineStr">
        <is>
          <t>Self-report (most/least)</t>
        </is>
      </c>
      <c r="E38" s="8" t="inlineStr">
        <is>
          <t>Your team's science fair project just collapsed five minutes before judging. Everyone is panicking.</t>
        </is>
      </c>
      <c r="F38" s="8" t="inlineStr">
        <is>
          <t>None of these feel like you in this moment</t>
        </is>
      </c>
      <c r="G38" s="8" t="inlineStr">
        <is>
          <t>You feel confident telling others what to do next</t>
        </is>
      </c>
      <c r="H38" s="8" t="inlineStr">
        <is>
          <t>You think about how others might feel before acting</t>
        </is>
      </c>
      <c r="I38" s="8" t="inlineStr">
        <is>
          <t>You enjoy having conversations about new topics</t>
        </is>
      </c>
      <c r="J38" s="7" t="inlineStr"/>
      <c r="K38" s="7" t="inlineStr">
        <is>
          <t>LD</t>
        </is>
      </c>
      <c r="L38" s="7" t="inlineStr">
        <is>
          <t>ES</t>
        </is>
      </c>
      <c r="M38" s="7" t="inlineStr">
        <is>
          <t>CM</t>
        </is>
      </c>
      <c r="N38" s="7" t="n"/>
      <c r="O38" s="7" t="n"/>
      <c r="P38" s="7" t="n"/>
      <c r="Q38" s="7" t="n"/>
      <c r="R38" s="7">
        <f>IFERROR(INDEX(J38:M38,MATCH(P38,{"A","B","C","D"},0)),"")</f>
        <v/>
      </c>
      <c r="S38" s="7">
        <f>IFERROR(INDEX(J38:M38,MATCH(Q38,{"A","B","C","D"},0)),"")</f>
        <v/>
      </c>
      <c r="T38" s="7" t="n"/>
      <c r="U38" s="8" t="n"/>
    </row>
    <row r="39">
      <c r="A39" s="7" t="n">
        <v>4</v>
      </c>
      <c r="B39" s="7" t="n">
        <v>8</v>
      </c>
      <c r="C39" s="7" t="inlineStr">
        <is>
          <t>Leadership / Communication / Emotional &amp; Social</t>
        </is>
      </c>
      <c r="D39" s="7" t="inlineStr">
        <is>
          <t>Self-report (most/least)</t>
        </is>
      </c>
      <c r="E39" s="8" t="inlineStr">
        <is>
          <t>You're in the middle of a class debate and you suddenly realize your argument has a big hole in it, live, in front of everyone.</t>
        </is>
      </c>
      <c r="F39" s="8" t="inlineStr">
        <is>
          <t>You naturally end up making the final decision</t>
        </is>
      </c>
      <c r="G39" s="8" t="inlineStr">
        <is>
          <t>You like putting your thoughts into a neat sentence</t>
        </is>
      </c>
      <c r="H39" s="8" t="inlineStr">
        <is>
          <t>You'd need more time before reacting at all</t>
        </is>
      </c>
      <c r="I39" s="8" t="inlineStr">
        <is>
          <t>You enjoy helping a friend work through a problem</t>
        </is>
      </c>
      <c r="J39" s="7" t="inlineStr">
        <is>
          <t>LD</t>
        </is>
      </c>
      <c r="K39" s="7" t="inlineStr">
        <is>
          <t>CM</t>
        </is>
      </c>
      <c r="L39" s="7" t="inlineStr"/>
      <c r="M39" s="7" t="inlineStr">
        <is>
          <t>ES</t>
        </is>
      </c>
      <c r="N39" s="7" t="n"/>
      <c r="O39" s="7" t="n"/>
      <c r="P39" s="7" t="n"/>
      <c r="Q39" s="7" t="n"/>
      <c r="R39" s="7">
        <f>IFERROR(INDEX(J39:M39,MATCH(P39,{"A","B","C","D"},0)),"")</f>
        <v/>
      </c>
      <c r="S39" s="7">
        <f>IFERROR(INDEX(J39:M39,MATCH(Q39,{"A","B","C","D"},0)),"")</f>
        <v/>
      </c>
      <c r="T39" s="7" t="n"/>
      <c r="U39" s="8" t="n"/>
    </row>
    <row r="40">
      <c r="A40" s="7" t="n">
        <v>4</v>
      </c>
      <c r="B40" s="7" t="n">
        <v>9</v>
      </c>
      <c r="C40" s="7" t="inlineStr">
        <is>
          <t>Creative Skills</t>
        </is>
      </c>
      <c r="D40" s="7" t="inlineStr">
        <is>
          <t>Open-ended (not auto-scored)</t>
        </is>
      </c>
      <c r="E40" s="8" t="inlineStr">
        <is>
          <t>Imagine your pencil case could talk. What would it complain about most?</t>
        </is>
      </c>
      <c r="F40" s="8" t="n"/>
      <c r="G40" s="8" t="n"/>
      <c r="H40" s="8" t="n"/>
      <c r="I40" s="8" t="n"/>
      <c r="J40" s="7" t="n"/>
      <c r="K40" s="7" t="n"/>
      <c r="L40" s="7" t="n"/>
      <c r="M40" s="7" t="n"/>
      <c r="N40" s="7" t="n"/>
      <c r="O40" s="7" t="n"/>
      <c r="P40" s="7" t="n"/>
      <c r="Q40" s="7" t="n"/>
      <c r="R40" s="7" t="n"/>
      <c r="S40" s="7" t="n"/>
      <c r="T40" s="7" t="n"/>
      <c r="U40" s="8" t="n"/>
    </row>
    <row r="41">
      <c r="A41" s="7" t="n">
        <v>4</v>
      </c>
      <c r="B41" s="7" t="n">
        <v>10</v>
      </c>
      <c r="C41" s="7" t="inlineStr">
        <is>
          <t>Listening Skills</t>
        </is>
      </c>
      <c r="D41" s="7" t="inlineStr">
        <is>
          <t>Scored</t>
        </is>
      </c>
      <c r="E41" s="8" t="inlineStr">
        <is>
          <t>[Read once, then answer without re-reading] “At the library, Dev returned his old book, searched the shelves, and finally borrowed a new mystery novel.”  ||  What happened right after the first thing mentioned?</t>
        </is>
      </c>
      <c r="F41" s="8" t="inlineStr">
        <is>
          <t>printed a school ID</t>
        </is>
      </c>
      <c r="G41" s="8" t="inlineStr">
        <is>
          <t>searched the shelves</t>
        </is>
      </c>
      <c r="H41" s="8" t="inlineStr">
        <is>
          <t>borrowed a new mystery novel</t>
        </is>
      </c>
      <c r="I41" s="8" t="inlineStr">
        <is>
          <t>returned his old book</t>
        </is>
      </c>
      <c r="J41" s="7" t="n"/>
      <c r="K41" s="7" t="n"/>
      <c r="L41" s="7" t="n"/>
      <c r="M41" s="7" t="n"/>
      <c r="N41" s="7" t="inlineStr">
        <is>
          <t>B</t>
        </is>
      </c>
      <c r="O41" s="7" t="n"/>
      <c r="P41" s="7" t="n"/>
      <c r="Q41" s="7" t="n"/>
      <c r="R41" s="7" t="n"/>
      <c r="S41" s="7" t="n"/>
      <c r="T41" s="7">
        <f>IF(O41="","",IF(O41=N41,1,0))</f>
        <v/>
      </c>
      <c r="U41" s="8" t="n"/>
    </row>
    <row r="42">
      <c r="A42" s="5" t="n">
        <v>5</v>
      </c>
      <c r="B42" s="5" t="n">
        <v>1</v>
      </c>
      <c r="C42" s="5" t="inlineStr">
        <is>
          <t>Problem Solving</t>
        </is>
      </c>
      <c r="D42" s="5" t="inlineStr">
        <is>
          <t>Scored</t>
        </is>
      </c>
      <c r="E42" s="6" t="inlineStr">
        <is>
          <t>Three friends — Jyoti, Omar, Leo — are lining up for the class photo. Jyoti is not first. Omar is not first. Jyoti is not last. Who is in the middle?</t>
        </is>
      </c>
      <c r="F42" s="6" t="inlineStr">
        <is>
          <t>Cannot be determined</t>
        </is>
      </c>
      <c r="G42" s="6" t="inlineStr">
        <is>
          <t>Jyoti</t>
        </is>
      </c>
      <c r="H42" s="6" t="inlineStr">
        <is>
          <t>Leo</t>
        </is>
      </c>
      <c r="I42" s="6" t="inlineStr">
        <is>
          <t>Omar</t>
        </is>
      </c>
      <c r="J42" s="5" t="n"/>
      <c r="K42" s="5" t="n"/>
      <c r="L42" s="5" t="n"/>
      <c r="M42" s="5" t="n"/>
      <c r="N42" s="5" t="inlineStr">
        <is>
          <t>B</t>
        </is>
      </c>
      <c r="O42" s="5" t="n"/>
      <c r="P42" s="5" t="n"/>
      <c r="Q42" s="5" t="n"/>
      <c r="R42" s="5" t="n"/>
      <c r="S42" s="5" t="n"/>
      <c r="T42" s="5">
        <f>IF(O42="","",IF(O42=N42,1,0))</f>
        <v/>
      </c>
      <c r="U42" s="6" t="n"/>
    </row>
    <row r="43">
      <c r="A43" s="5" t="n">
        <v>5</v>
      </c>
      <c r="B43" s="5" t="n">
        <v>2</v>
      </c>
      <c r="C43" s="5" t="inlineStr">
        <is>
          <t>Critical Thinking</t>
        </is>
      </c>
      <c r="D43" s="5" t="inlineStr">
        <is>
          <t>Scored</t>
        </is>
      </c>
      <c r="E43" s="6" t="inlineStr">
        <is>
          <t>Mia says: 'Everyone in my class thinks the new rule is unfair, so it must be unfair.' What's the actual flaw in this reasoning?</t>
        </is>
      </c>
      <c r="F43" s="6" t="inlineStr">
        <is>
          <t>The rule was voted on officially</t>
        </is>
      </c>
      <c r="G43" s="6" t="inlineStr">
        <is>
          <t>Her class has only three students</t>
        </is>
      </c>
      <c r="H43" s="6" t="inlineStr">
        <is>
          <t>She's assuming something is true just because many people believe it</t>
        </is>
      </c>
      <c r="I43" s="6" t="inlineStr">
        <is>
          <t>No one actually dislikes the rule</t>
        </is>
      </c>
      <c r="J43" s="5" t="n"/>
      <c r="K43" s="5" t="n"/>
      <c r="L43" s="5" t="n"/>
      <c r="M43" s="5" t="n"/>
      <c r="N43" s="5" t="inlineStr">
        <is>
          <t>C</t>
        </is>
      </c>
      <c r="O43" s="5" t="n"/>
      <c r="P43" s="5" t="n"/>
      <c r="Q43" s="5" t="n"/>
      <c r="R43" s="5" t="n"/>
      <c r="S43" s="5" t="n"/>
      <c r="T43" s="5">
        <f>IF(O43="","",IF(O43=N43,1,0))</f>
        <v/>
      </c>
      <c r="U43" s="6" t="n"/>
    </row>
    <row r="44">
      <c r="A44" s="5" t="n">
        <v>5</v>
      </c>
      <c r="B44" s="5" t="n">
        <v>3</v>
      </c>
      <c r="C44" s="5" t="inlineStr">
        <is>
          <t>Decision Making</t>
        </is>
      </c>
      <c r="D44" s="5" t="inlineStr">
        <is>
          <t>Scored</t>
        </is>
      </c>
      <c r="E44" s="6" t="inlineStr">
        <is>
          <t>You only have time for ONE of these right now. Which gives the best value for the effort it takes?</t>
        </is>
      </c>
      <c r="F44" s="6" t="inlineStr">
        <is>
          <t>finish your maths worksheet (effort 8, value 27)</t>
        </is>
      </c>
      <c r="G44" s="6" t="inlineStr">
        <is>
          <t>clean your desk (effort 3, value 8)</t>
        </is>
      </c>
      <c r="H44" s="6" t="inlineStr">
        <is>
          <t>They are all equally good choices</t>
        </is>
      </c>
      <c r="I44" s="6" t="inlineStr">
        <is>
          <t>read a chapter for class (effort 4, value 5)</t>
        </is>
      </c>
      <c r="J44" s="5" t="n"/>
      <c r="K44" s="5" t="n"/>
      <c r="L44" s="5" t="n"/>
      <c r="M44" s="5" t="n"/>
      <c r="N44" s="5" t="inlineStr">
        <is>
          <t>A</t>
        </is>
      </c>
      <c r="O44" s="5" t="n"/>
      <c r="P44" s="5" t="n"/>
      <c r="Q44" s="5" t="n"/>
      <c r="R44" s="5" t="n"/>
      <c r="S44" s="5" t="n"/>
      <c r="T44" s="5">
        <f>IF(O44="","",IF(O44=N44,1,0))</f>
        <v/>
      </c>
      <c r="U44" s="6" t="n"/>
    </row>
    <row r="45">
      <c r="A45" s="5" t="n">
        <v>5</v>
      </c>
      <c r="B45" s="5" t="n">
        <v>4</v>
      </c>
      <c r="C45" s="5" t="inlineStr">
        <is>
          <t>Mental Math</t>
        </is>
      </c>
      <c r="D45" s="5" t="inlineStr">
        <is>
          <t>Scored</t>
        </is>
      </c>
      <c r="E45" s="6" t="inlineStr">
        <is>
          <t>After spending 1 and later receiving 6 as a gift, Noor has 7. How much did Noor start with?</t>
        </is>
      </c>
      <c r="F45" s="6" t="inlineStr">
        <is>
          <t>3</t>
        </is>
      </c>
      <c r="G45" s="6" t="inlineStr">
        <is>
          <t>2</t>
        </is>
      </c>
      <c r="H45" s="6" t="inlineStr">
        <is>
          <t>1</t>
        </is>
      </c>
      <c r="I45" s="6" t="inlineStr">
        <is>
          <t>7</t>
        </is>
      </c>
      <c r="J45" s="5" t="n"/>
      <c r="K45" s="5" t="n"/>
      <c r="L45" s="5" t="n"/>
      <c r="M45" s="5" t="n"/>
      <c r="N45" s="5" t="inlineStr">
        <is>
          <t>B</t>
        </is>
      </c>
      <c r="O45" s="5" t="n"/>
      <c r="P45" s="5" t="n"/>
      <c r="Q45" s="5" t="n"/>
      <c r="R45" s="5" t="n"/>
      <c r="S45" s="5" t="n"/>
      <c r="T45" s="5">
        <f>IF(O45="","",IF(O45=N45,1,0))</f>
        <v/>
      </c>
      <c r="U45" s="6" t="n"/>
    </row>
    <row r="46">
      <c r="A46" s="5" t="n">
        <v>5</v>
      </c>
      <c r="B46" s="5" t="n">
        <v>5</v>
      </c>
      <c r="C46" s="5" t="inlineStr">
        <is>
          <t>Cognitive Academia</t>
        </is>
      </c>
      <c r="D46" s="5" t="inlineStr">
        <is>
          <t>Scored</t>
        </is>
      </c>
      <c r="E46" s="6" t="inlineStr">
        <is>
          <t>What comes next in this pattern: 1, 3, 9, 27, ?</t>
        </is>
      </c>
      <c r="F46" s="6" t="inlineStr">
        <is>
          <t>84</t>
        </is>
      </c>
      <c r="G46" s="6" t="inlineStr">
        <is>
          <t>30</t>
        </is>
      </c>
      <c r="H46" s="6" t="inlineStr">
        <is>
          <t>45</t>
        </is>
      </c>
      <c r="I46" s="6" t="inlineStr">
        <is>
          <t>81</t>
        </is>
      </c>
      <c r="J46" s="5" t="n"/>
      <c r="K46" s="5" t="n"/>
      <c r="L46" s="5" t="n"/>
      <c r="M46" s="5" t="n"/>
      <c r="N46" s="5" t="inlineStr">
        <is>
          <t>D</t>
        </is>
      </c>
      <c r="O46" s="5" t="n"/>
      <c r="P46" s="5" t="n"/>
      <c r="Q46" s="5" t="n"/>
      <c r="R46" s="5" t="n"/>
      <c r="S46" s="5" t="n"/>
      <c r="T46" s="5">
        <f>IF(O46="","",IF(O46=N46,1,0))</f>
        <v/>
      </c>
      <c r="U46" s="6" t="n"/>
    </row>
    <row r="47">
      <c r="A47" s="5" t="n">
        <v>5</v>
      </c>
      <c r="B47" s="5" t="n">
        <v>6</v>
      </c>
      <c r="C47" s="5" t="inlineStr">
        <is>
          <t>Leadership / Communication / Emotional &amp; Social</t>
        </is>
      </c>
      <c r="D47" s="5" t="inlineStr">
        <is>
          <t>Self-report (most/least)</t>
        </is>
      </c>
      <c r="E47" s="6" t="inlineStr">
        <is>
          <t>A new student sits alone at lunch every day, and today someone made a joke about it that made the room go quiet.</t>
        </is>
      </c>
      <c r="F47" s="6" t="inlineStr">
        <is>
          <t>You stay calm even when things go wrong</t>
        </is>
      </c>
      <c r="G47" s="6" t="inlineStr">
        <is>
          <t>You like being the one who organizes the group</t>
        </is>
      </c>
      <c r="H47" s="6" t="inlineStr">
        <is>
          <t>None of these feel like you in this moment</t>
        </is>
      </c>
      <c r="I47" s="6" t="inlineStr">
        <is>
          <t>You like asking questions until things make sense</t>
        </is>
      </c>
      <c r="J47" s="5" t="inlineStr">
        <is>
          <t>ES</t>
        </is>
      </c>
      <c r="K47" s="5" t="inlineStr">
        <is>
          <t>LD</t>
        </is>
      </c>
      <c r="L47" s="5" t="inlineStr"/>
      <c r="M47" s="5" t="inlineStr">
        <is>
          <t>CM</t>
        </is>
      </c>
      <c r="N47" s="5" t="n"/>
      <c r="O47" s="5" t="n"/>
      <c r="P47" s="5" t="n"/>
      <c r="Q47" s="5" t="n"/>
      <c r="R47" s="5">
        <f>IFERROR(INDEX(J47:M47,MATCH(P47,{"A","B","C","D"},0)),"")</f>
        <v/>
      </c>
      <c r="S47" s="5">
        <f>IFERROR(INDEX(J47:M47,MATCH(Q47,{"A","B","C","D"},0)),"")</f>
        <v/>
      </c>
      <c r="T47" s="5" t="n"/>
      <c r="U47" s="6" t="n"/>
    </row>
    <row r="48">
      <c r="A48" s="5" t="n">
        <v>5</v>
      </c>
      <c r="B48" s="5" t="n">
        <v>7</v>
      </c>
      <c r="C48" s="5" t="inlineStr">
        <is>
          <t>Leadership / Communication / Emotional &amp; Social</t>
        </is>
      </c>
      <c r="D48" s="5" t="inlineStr">
        <is>
          <t>Self-report (most/least)</t>
        </is>
      </c>
      <c r="E48" s="6" t="inlineStr">
        <is>
          <t>Your group's skit for the talent show is falling apart backstage, thirty seconds before you go on.</t>
        </is>
      </c>
      <c r="F48" s="6" t="inlineStr">
        <is>
          <t>You'd need more time before reacting at all</t>
        </is>
      </c>
      <c r="G48" s="6" t="inlineStr">
        <is>
          <t>You make sure your point comes across clearly</t>
        </is>
      </c>
      <c r="H48" s="6" t="inlineStr">
        <is>
          <t>You enjoy being picked as the leader</t>
        </is>
      </c>
      <c r="I48" s="6" t="inlineStr">
        <is>
          <t>You can tell how someone is feeling without them saying it</t>
        </is>
      </c>
      <c r="J48" s="5" t="inlineStr"/>
      <c r="K48" s="5" t="inlineStr">
        <is>
          <t>CM</t>
        </is>
      </c>
      <c r="L48" s="5" t="inlineStr">
        <is>
          <t>LD</t>
        </is>
      </c>
      <c r="M48" s="5" t="inlineStr">
        <is>
          <t>ES</t>
        </is>
      </c>
      <c r="N48" s="5" t="n"/>
      <c r="O48" s="5" t="n"/>
      <c r="P48" s="5" t="n"/>
      <c r="Q48" s="5" t="n"/>
      <c r="R48" s="5">
        <f>IFERROR(INDEX(J48:M48,MATCH(P48,{"A","B","C","D"},0)),"")</f>
        <v/>
      </c>
      <c r="S48" s="5">
        <f>IFERROR(INDEX(J48:M48,MATCH(Q48,{"A","B","C","D"},0)),"")</f>
        <v/>
      </c>
      <c r="T48" s="5" t="n"/>
      <c r="U48" s="6" t="n"/>
    </row>
    <row r="49">
      <c r="A49" s="5" t="n">
        <v>5</v>
      </c>
      <c r="B49" s="5" t="n">
        <v>8</v>
      </c>
      <c r="C49" s="5" t="inlineStr">
        <is>
          <t>Leadership / Communication / Emotional &amp; Social</t>
        </is>
      </c>
      <c r="D49" s="5" t="inlineStr">
        <is>
          <t>Self-report (most/least)</t>
        </is>
      </c>
      <c r="E49" s="6" t="inlineStr">
        <is>
          <t>You just found out the class hamster escaped during your turn to watch it.</t>
        </is>
      </c>
      <c r="F49" s="6" t="inlineStr">
        <is>
          <t>You're comfortable meeting new people</t>
        </is>
      </c>
      <c r="G49" s="6" t="inlineStr">
        <is>
          <t>You find the right words to explain something tricky</t>
        </is>
      </c>
      <c r="H49" s="6" t="inlineStr">
        <is>
          <t>You'd rather wait and see what others do first</t>
        </is>
      </c>
      <c r="I49" s="6" t="inlineStr">
        <is>
          <t>You like setting the plan for others to follow</t>
        </is>
      </c>
      <c r="J49" s="5" t="inlineStr">
        <is>
          <t>ES</t>
        </is>
      </c>
      <c r="K49" s="5" t="inlineStr">
        <is>
          <t>CM</t>
        </is>
      </c>
      <c r="L49" s="5" t="inlineStr"/>
      <c r="M49" s="5" t="inlineStr">
        <is>
          <t>LD</t>
        </is>
      </c>
      <c r="N49" s="5" t="n"/>
      <c r="O49" s="5" t="n"/>
      <c r="P49" s="5" t="n"/>
      <c r="Q49" s="5" t="n"/>
      <c r="R49" s="5">
        <f>IFERROR(INDEX(J49:M49,MATCH(P49,{"A","B","C","D"},0)),"")</f>
        <v/>
      </c>
      <c r="S49" s="5">
        <f>IFERROR(INDEX(J49:M49,MATCH(Q49,{"A","B","C","D"},0)),"")</f>
        <v/>
      </c>
      <c r="T49" s="5" t="n"/>
      <c r="U49" s="6" t="n"/>
    </row>
    <row r="50">
      <c r="A50" s="5" t="n">
        <v>5</v>
      </c>
      <c r="B50" s="5" t="n">
        <v>9</v>
      </c>
      <c r="C50" s="5" t="inlineStr">
        <is>
          <t>Creative Skills</t>
        </is>
      </c>
      <c r="D50" s="5" t="inlineStr">
        <is>
          <t>Open-ended (not auto-scored)</t>
        </is>
      </c>
      <c r="E50" s="6" t="inlineStr">
        <is>
          <t>Design a superhero whose only power is something very ordinary, like tying shoelaces fast. What could they still save the day with?</t>
        </is>
      </c>
      <c r="F50" s="6" t="n"/>
      <c r="G50" s="6" t="n"/>
      <c r="H50" s="6" t="n"/>
      <c r="I50" s="6" t="n"/>
      <c r="J50" s="5" t="n"/>
      <c r="K50" s="5" t="n"/>
      <c r="L50" s="5" t="n"/>
      <c r="M50" s="5" t="n"/>
      <c r="N50" s="5" t="n"/>
      <c r="O50" s="5" t="n"/>
      <c r="P50" s="5" t="n"/>
      <c r="Q50" s="5" t="n"/>
      <c r="R50" s="5" t="n"/>
      <c r="S50" s="5" t="n"/>
      <c r="T50" s="5" t="n"/>
      <c r="U50" s="6" t="n"/>
    </row>
    <row r="51">
      <c r="A51" s="5" t="n">
        <v>5</v>
      </c>
      <c r="B51" s="5" t="n">
        <v>10</v>
      </c>
      <c r="C51" s="5" t="inlineStr">
        <is>
          <t>Listening Skills</t>
        </is>
      </c>
      <c r="D51" s="5" t="inlineStr">
        <is>
          <t>Scored</t>
        </is>
      </c>
      <c r="E51" s="6" t="inlineStr">
        <is>
          <t>[Read once, then answer without re-reading] “For the bake sale, the class mixed the batter, poured it into trays, and then waited for it to bake.”  ||  What happened last?</t>
        </is>
      </c>
      <c r="F51" s="6" t="inlineStr">
        <is>
          <t>mixed the batter</t>
        </is>
      </c>
      <c r="G51" s="6" t="inlineStr">
        <is>
          <t>decorated the classroom</t>
        </is>
      </c>
      <c r="H51" s="6" t="inlineStr">
        <is>
          <t>waited for it to bake</t>
        </is>
      </c>
      <c r="I51" s="6" t="inlineStr">
        <is>
          <t>poured it into trays</t>
        </is>
      </c>
      <c r="J51" s="5" t="n"/>
      <c r="K51" s="5" t="n"/>
      <c r="L51" s="5" t="n"/>
      <c r="M51" s="5" t="n"/>
      <c r="N51" s="5" t="inlineStr">
        <is>
          <t>C</t>
        </is>
      </c>
      <c r="O51" s="5" t="n"/>
      <c r="P51" s="5" t="n"/>
      <c r="Q51" s="5" t="n"/>
      <c r="R51" s="5" t="n"/>
      <c r="S51" s="5" t="n"/>
      <c r="T51" s="5">
        <f>IF(O51="","",IF(O51=N51,1,0))</f>
        <v/>
      </c>
      <c r="U51" s="6" t="n"/>
    </row>
    <row r="52">
      <c r="A52" s="7" t="n">
        <v>6</v>
      </c>
      <c r="B52" s="7" t="n">
        <v>1</v>
      </c>
      <c r="C52" s="7" t="inlineStr">
        <is>
          <t>Problem Solving</t>
        </is>
      </c>
      <c r="D52" s="7" t="inlineStr">
        <is>
          <t>Scored</t>
        </is>
      </c>
      <c r="E52" s="8" t="inlineStr">
        <is>
          <t>Three friends — Priya, Noah, Maya — are lining up for the class photo. Noah is not in the middle. Noah is not first. Maya is not in the middle. Who is in the middle?</t>
        </is>
      </c>
      <c r="F52" s="8" t="inlineStr">
        <is>
          <t>Noah</t>
        </is>
      </c>
      <c r="G52" s="8" t="inlineStr">
        <is>
          <t>Priya</t>
        </is>
      </c>
      <c r="H52" s="8" t="inlineStr">
        <is>
          <t>Maya</t>
        </is>
      </c>
      <c r="I52" s="8" t="inlineStr">
        <is>
          <t>Cannot be determined</t>
        </is>
      </c>
      <c r="J52" s="7" t="n"/>
      <c r="K52" s="7" t="n"/>
      <c r="L52" s="7" t="n"/>
      <c r="M52" s="7" t="n"/>
      <c r="N52" s="7" t="inlineStr">
        <is>
          <t>B</t>
        </is>
      </c>
      <c r="O52" s="7" t="n"/>
      <c r="P52" s="7" t="n"/>
      <c r="Q52" s="7" t="n"/>
      <c r="R52" s="7" t="n"/>
      <c r="S52" s="7" t="n"/>
      <c r="T52" s="7">
        <f>IF(O52="","",IF(O52=N52,1,0))</f>
        <v/>
      </c>
      <c r="U52" s="8" t="n"/>
    </row>
    <row r="53">
      <c r="A53" s="7" t="n">
        <v>6</v>
      </c>
      <c r="B53" s="7" t="n">
        <v>2</v>
      </c>
      <c r="C53" s="7" t="inlineStr">
        <is>
          <t>Critical Thinking</t>
        </is>
      </c>
      <c r="D53" s="7" t="inlineStr">
        <is>
          <t>Scored</t>
        </is>
      </c>
      <c r="E53" s="8" t="inlineStr">
        <is>
          <t>Dev says: 'If we let students choose their own seats once, soon there'll be no rules left at all.' What's the actual flaw in this reasoning?</t>
        </is>
      </c>
      <c r="F53" s="8" t="inlineStr">
        <is>
          <t>Rules cannot ever change</t>
        </is>
      </c>
      <c r="G53" s="8" t="inlineStr">
        <is>
          <t>He's assuming one small change leads to an extreme, unlikely result</t>
        </is>
      </c>
      <c r="H53" s="8" t="inlineStr">
        <is>
          <t>Seat choice was already banned</t>
        </is>
      </c>
      <c r="I53" s="8" t="inlineStr">
        <is>
          <t>Students never follow rules</t>
        </is>
      </c>
      <c r="J53" s="7" t="n"/>
      <c r="K53" s="7" t="n"/>
      <c r="L53" s="7" t="n"/>
      <c r="M53" s="7" t="n"/>
      <c r="N53" s="7" t="inlineStr">
        <is>
          <t>B</t>
        </is>
      </c>
      <c r="O53" s="7" t="n"/>
      <c r="P53" s="7" t="n"/>
      <c r="Q53" s="7" t="n"/>
      <c r="R53" s="7" t="n"/>
      <c r="S53" s="7" t="n"/>
      <c r="T53" s="7">
        <f>IF(O53="","",IF(O53=N53,1,0))</f>
        <v/>
      </c>
      <c r="U53" s="8" t="n"/>
    </row>
    <row r="54">
      <c r="A54" s="7" t="n">
        <v>6</v>
      </c>
      <c r="B54" s="7" t="n">
        <v>3</v>
      </c>
      <c r="C54" s="7" t="inlineStr">
        <is>
          <t>Decision Making</t>
        </is>
      </c>
      <c r="D54" s="7" t="inlineStr">
        <is>
          <t>Scored</t>
        </is>
      </c>
      <c r="E54" s="8" t="inlineStr">
        <is>
          <t>You have 34 minutes. finish your maths worksheet takes 16 minutes, clean your desk takes 18 minutes, and practice for the school play takes 27 minutes. You must skip exactly one of them to fit the other two into your 34 minutes. Which should you skip?</t>
        </is>
      </c>
      <c r="F54" s="8" t="inlineStr">
        <is>
          <t>It's impossible to fit any two</t>
        </is>
      </c>
      <c r="G54" s="8" t="inlineStr">
        <is>
          <t>practice for the school play</t>
        </is>
      </c>
      <c r="H54" s="8" t="inlineStr">
        <is>
          <t>clean your desk</t>
        </is>
      </c>
      <c r="I54" s="8" t="inlineStr">
        <is>
          <t>finish your maths worksheet</t>
        </is>
      </c>
      <c r="J54" s="7" t="n"/>
      <c r="K54" s="7" t="n"/>
      <c r="L54" s="7" t="n"/>
      <c r="M54" s="7" t="n"/>
      <c r="N54" s="7" t="inlineStr">
        <is>
          <t>B</t>
        </is>
      </c>
      <c r="O54" s="7" t="n"/>
      <c r="P54" s="7" t="n"/>
      <c r="Q54" s="7" t="n"/>
      <c r="R54" s="7" t="n"/>
      <c r="S54" s="7" t="n"/>
      <c r="T54" s="7">
        <f>IF(O54="","",IF(O54=N54,1,0))</f>
        <v/>
      </c>
      <c r="U54" s="8" t="n"/>
    </row>
    <row r="55">
      <c r="A55" s="7" t="n">
        <v>6</v>
      </c>
      <c r="B55" s="7" t="n">
        <v>4</v>
      </c>
      <c r="C55" s="7" t="inlineStr">
        <is>
          <t>Mental Math</t>
        </is>
      </c>
      <c r="D55" s="7" t="inlineStr">
        <is>
          <t>Scored</t>
        </is>
      </c>
      <c r="E55" s="8" t="inlineStr">
        <is>
          <t>A recipe mixes flour and sugar in a 5:3 ratio. If you use 15 units of flour, how much sugar do you need?</t>
        </is>
      </c>
      <c r="F55" s="8" t="inlineStr">
        <is>
          <t>12</t>
        </is>
      </c>
      <c r="G55" s="8" t="inlineStr">
        <is>
          <t>6</t>
        </is>
      </c>
      <c r="H55" s="8" t="inlineStr">
        <is>
          <t>15</t>
        </is>
      </c>
      <c r="I55" s="8" t="inlineStr">
        <is>
          <t>9</t>
        </is>
      </c>
      <c r="J55" s="7" t="n"/>
      <c r="K55" s="7" t="n"/>
      <c r="L55" s="7" t="n"/>
      <c r="M55" s="7" t="n"/>
      <c r="N55" s="7" t="inlineStr">
        <is>
          <t>D</t>
        </is>
      </c>
      <c r="O55" s="7" t="n"/>
      <c r="P55" s="7" t="n"/>
      <c r="Q55" s="7" t="n"/>
      <c r="R55" s="7" t="n"/>
      <c r="S55" s="7" t="n"/>
      <c r="T55" s="7">
        <f>IF(O55="","",IF(O55=N55,1,0))</f>
        <v/>
      </c>
      <c r="U55" s="8" t="n"/>
    </row>
    <row r="56">
      <c r="A56" s="7" t="n">
        <v>6</v>
      </c>
      <c r="B56" s="7" t="n">
        <v>5</v>
      </c>
      <c r="C56" s="7" t="inlineStr">
        <is>
          <t>Cognitive Academia</t>
        </is>
      </c>
      <c r="D56" s="7" t="inlineStr">
        <is>
          <t>Scored</t>
        </is>
      </c>
      <c r="E56" s="8" t="inlineStr">
        <is>
          <t>What comes next in this pattern: 4, 8, 14, 22, 32, ?</t>
        </is>
      </c>
      <c r="F56" s="8" t="inlineStr">
        <is>
          <t>42</t>
        </is>
      </c>
      <c r="G56" s="8" t="inlineStr">
        <is>
          <t>44</t>
        </is>
      </c>
      <c r="H56" s="8" t="inlineStr">
        <is>
          <t>46</t>
        </is>
      </c>
      <c r="I56" s="8" t="inlineStr">
        <is>
          <t>48</t>
        </is>
      </c>
      <c r="J56" s="7" t="n"/>
      <c r="K56" s="7" t="n"/>
      <c r="L56" s="7" t="n"/>
      <c r="M56" s="7" t="n"/>
      <c r="N56" s="7" t="inlineStr">
        <is>
          <t>B</t>
        </is>
      </c>
      <c r="O56" s="7" t="n"/>
      <c r="P56" s="7" t="n"/>
      <c r="Q56" s="7" t="n"/>
      <c r="R56" s="7" t="n"/>
      <c r="S56" s="7" t="n"/>
      <c r="T56" s="7">
        <f>IF(O56="","",IF(O56=N56,1,0))</f>
        <v/>
      </c>
      <c r="U56" s="8" t="n"/>
    </row>
    <row r="57">
      <c r="A57" s="7" t="n">
        <v>6</v>
      </c>
      <c r="B57" s="7" t="n">
        <v>6</v>
      </c>
      <c r="C57" s="7" t="inlineStr">
        <is>
          <t>Leadership / Communication / Emotional &amp; Social</t>
        </is>
      </c>
      <c r="D57" s="7" t="inlineStr">
        <is>
          <t>Self-report (most/least)</t>
        </is>
      </c>
      <c r="E57" s="8" t="inlineStr">
        <is>
          <t>Your best friend is crying in the hallway and won't say why, right before your next class starts.</t>
        </is>
      </c>
      <c r="F57" s="8" t="inlineStr">
        <is>
          <t>You'd need more time before reacting at all</t>
        </is>
      </c>
      <c r="G57" s="8" t="inlineStr">
        <is>
          <t>You naturally end up making the final decision</t>
        </is>
      </c>
      <c r="H57" s="8" t="inlineStr">
        <is>
          <t>You enjoy helping a friend work through a problem</t>
        </is>
      </c>
      <c r="I57" s="8" t="inlineStr">
        <is>
          <t>You like putting your thoughts into a neat sentence</t>
        </is>
      </c>
      <c r="J57" s="7" t="inlineStr"/>
      <c r="K57" s="7" t="inlineStr">
        <is>
          <t>LD</t>
        </is>
      </c>
      <c r="L57" s="7" t="inlineStr">
        <is>
          <t>ES</t>
        </is>
      </c>
      <c r="M57" s="7" t="inlineStr">
        <is>
          <t>CM</t>
        </is>
      </c>
      <c r="N57" s="7" t="n"/>
      <c r="O57" s="7" t="n"/>
      <c r="P57" s="7" t="n"/>
      <c r="Q57" s="7" t="n"/>
      <c r="R57" s="7">
        <f>IFERROR(INDEX(J57:M57,MATCH(P57,{"A","B","C","D"},0)),"")</f>
        <v/>
      </c>
      <c r="S57" s="7">
        <f>IFERROR(INDEX(J57:M57,MATCH(Q57,{"A","B","C","D"},0)),"")</f>
        <v/>
      </c>
      <c r="T57" s="7" t="n"/>
      <c r="U57" s="8" t="n"/>
    </row>
    <row r="58">
      <c r="A58" s="7" t="n">
        <v>6</v>
      </c>
      <c r="B58" s="7" t="n">
        <v>7</v>
      </c>
      <c r="C58" s="7" t="inlineStr">
        <is>
          <t>Leadership / Communication / Emotional &amp; Social</t>
        </is>
      </c>
      <c r="D58" s="7" t="inlineStr">
        <is>
          <t>Self-report (most/least)</t>
        </is>
      </c>
      <c r="E58" s="8" t="inlineStr">
        <is>
          <t>The teacher asks for one volunteer to redo a messed-up group presentation, alone, right now.</t>
        </is>
      </c>
      <c r="F58" s="8" t="inlineStr">
        <is>
          <t>You naturally take charge and decide what the group should do</t>
        </is>
      </c>
      <c r="G58" s="8" t="inlineStr">
        <is>
          <t>You explain things clearly so everyone understands</t>
        </is>
      </c>
      <c r="H58" s="8" t="inlineStr">
        <is>
          <t>You notice when a friend is feeling upset</t>
        </is>
      </c>
      <c r="I58" s="8" t="inlineStr">
        <is>
          <t>You'd rather wait and see what others do first</t>
        </is>
      </c>
      <c r="J58" s="7" t="inlineStr">
        <is>
          <t>LD</t>
        </is>
      </c>
      <c r="K58" s="7" t="inlineStr">
        <is>
          <t>CM</t>
        </is>
      </c>
      <c r="L58" s="7" t="inlineStr">
        <is>
          <t>ES</t>
        </is>
      </c>
      <c r="M58" s="7" t="inlineStr"/>
      <c r="N58" s="7" t="n"/>
      <c r="O58" s="7" t="n"/>
      <c r="P58" s="7" t="n"/>
      <c r="Q58" s="7" t="n"/>
      <c r="R58" s="7">
        <f>IFERROR(INDEX(J58:M58,MATCH(P58,{"A","B","C","D"},0)),"")</f>
        <v/>
      </c>
      <c r="S58" s="7">
        <f>IFERROR(INDEX(J58:M58,MATCH(Q58,{"A","B","C","D"},0)),"")</f>
        <v/>
      </c>
      <c r="T58" s="7" t="n"/>
      <c r="U58" s="8" t="n"/>
    </row>
    <row r="59">
      <c r="A59" s="7" t="n">
        <v>6</v>
      </c>
      <c r="B59" s="7" t="n">
        <v>8</v>
      </c>
      <c r="C59" s="7" t="inlineStr">
        <is>
          <t>Leadership / Communication / Emotional &amp; Social</t>
        </is>
      </c>
      <c r="D59" s="7" t="inlineStr">
        <is>
          <t>Self-report (most/least)</t>
        </is>
      </c>
      <c r="E59" s="8" t="inlineStr">
        <is>
          <t>Your team is losing badly in the final minute of the school sports match.</t>
        </is>
      </c>
      <c r="F59" s="8" t="inlineStr">
        <is>
          <t>You step up when the group needs direction</t>
        </is>
      </c>
      <c r="G59" s="8" t="inlineStr">
        <is>
          <t>You're good at making a sad friend feel better</t>
        </is>
      </c>
      <c r="H59" s="8" t="inlineStr">
        <is>
          <t>You'd step back and observe before choosing any of these</t>
        </is>
      </c>
      <c r="I59" s="8" t="inlineStr">
        <is>
          <t>You enjoy writing or telling stories to others</t>
        </is>
      </c>
      <c r="J59" s="7" t="inlineStr">
        <is>
          <t>LD</t>
        </is>
      </c>
      <c r="K59" s="7" t="inlineStr">
        <is>
          <t>ES</t>
        </is>
      </c>
      <c r="L59" s="7" t="inlineStr"/>
      <c r="M59" s="7" t="inlineStr">
        <is>
          <t>CM</t>
        </is>
      </c>
      <c r="N59" s="7" t="n"/>
      <c r="O59" s="7" t="n"/>
      <c r="P59" s="7" t="n"/>
      <c r="Q59" s="7" t="n"/>
      <c r="R59" s="7">
        <f>IFERROR(INDEX(J59:M59,MATCH(P59,{"A","B","C","D"},0)),"")</f>
        <v/>
      </c>
      <c r="S59" s="7">
        <f>IFERROR(INDEX(J59:M59,MATCH(Q59,{"A","B","C","D"},0)),"")</f>
        <v/>
      </c>
      <c r="T59" s="7" t="n"/>
      <c r="U59" s="8" t="n"/>
    </row>
    <row r="60">
      <c r="A60" s="7" t="n">
        <v>6</v>
      </c>
      <c r="B60" s="7" t="n">
        <v>9</v>
      </c>
      <c r="C60" s="7" t="inlineStr">
        <is>
          <t>Creative Skills</t>
        </is>
      </c>
      <c r="D60" s="7" t="inlineStr">
        <is>
          <t>Open-ended (not auto-scored)</t>
        </is>
      </c>
      <c r="E60" s="8" t="inlineStr">
        <is>
          <t>Invent a new animal by combining two existing animals. What does it look like and what can it do?</t>
        </is>
      </c>
      <c r="F60" s="8" t="n"/>
      <c r="G60" s="8" t="n"/>
      <c r="H60" s="8" t="n"/>
      <c r="I60" s="8" t="n"/>
      <c r="J60" s="7" t="n"/>
      <c r="K60" s="7" t="n"/>
      <c r="L60" s="7" t="n"/>
      <c r="M60" s="7" t="n"/>
      <c r="N60" s="7" t="n"/>
      <c r="O60" s="7" t="n"/>
      <c r="P60" s="7" t="n"/>
      <c r="Q60" s="7" t="n"/>
      <c r="R60" s="7" t="n"/>
      <c r="S60" s="7" t="n"/>
      <c r="T60" s="7" t="n"/>
      <c r="U60" s="8" t="n"/>
    </row>
    <row r="61">
      <c r="A61" s="7" t="n">
        <v>6</v>
      </c>
      <c r="B61" s="7" t="n">
        <v>10</v>
      </c>
      <c r="C61" s="7" t="inlineStr">
        <is>
          <t>Listening Skills</t>
        </is>
      </c>
      <c r="D61" s="7" t="inlineStr">
        <is>
          <t>Scored</t>
        </is>
      </c>
      <c r="E61" s="8" t="inlineStr">
        <is>
          <t>[Read once, then answer without re-reading] “Before assembly, the monitor collected attendance, checked uniforms, and then walked the class to the hall.”  ||  What happened right after the first thing mentioned?</t>
        </is>
      </c>
      <c r="F61" s="8" t="inlineStr">
        <is>
          <t>collected attendance</t>
        </is>
      </c>
      <c r="G61" s="8" t="inlineStr">
        <is>
          <t>graded homework</t>
        </is>
      </c>
      <c r="H61" s="8" t="inlineStr">
        <is>
          <t>checked uniforms</t>
        </is>
      </c>
      <c r="I61" s="8" t="inlineStr">
        <is>
          <t>walked the class to the hall</t>
        </is>
      </c>
      <c r="J61" s="7" t="n"/>
      <c r="K61" s="7" t="n"/>
      <c r="L61" s="7" t="n"/>
      <c r="M61" s="7" t="n"/>
      <c r="N61" s="7" t="inlineStr">
        <is>
          <t>C</t>
        </is>
      </c>
      <c r="O61" s="7" t="n"/>
      <c r="P61" s="7" t="n"/>
      <c r="Q61" s="7" t="n"/>
      <c r="R61" s="7" t="n"/>
      <c r="S61" s="7" t="n"/>
      <c r="T61" s="7">
        <f>IF(O61="","",IF(O61=N61,1,0))</f>
        <v/>
      </c>
      <c r="U61" s="8" t="n"/>
    </row>
    <row r="62">
      <c r="A62" s="5" t="n">
        <v>7</v>
      </c>
      <c r="B62" s="5" t="n">
        <v>1</v>
      </c>
      <c r="C62" s="5" t="inlineStr">
        <is>
          <t>Problem Solving</t>
        </is>
      </c>
      <c r="D62" s="5" t="inlineStr">
        <is>
          <t>Scored</t>
        </is>
      </c>
      <c r="E62" s="6" t="inlineStr">
        <is>
          <t>Three friends — Tariq, Leo, Kabir — are lining up for the class photo. Kabir is not first. Tariq is not last. Leo is not first. Kabir is not last. Who is in the middle?</t>
        </is>
      </c>
      <c r="F62" s="6" t="inlineStr">
        <is>
          <t>Leo</t>
        </is>
      </c>
      <c r="G62" s="6" t="inlineStr">
        <is>
          <t>Kabir</t>
        </is>
      </c>
      <c r="H62" s="6" t="inlineStr">
        <is>
          <t>Tariq</t>
        </is>
      </c>
      <c r="I62" s="6" t="inlineStr">
        <is>
          <t>Cannot be determined</t>
        </is>
      </c>
      <c r="J62" s="5" t="n"/>
      <c r="K62" s="5" t="n"/>
      <c r="L62" s="5" t="n"/>
      <c r="M62" s="5" t="n"/>
      <c r="N62" s="5" t="inlineStr">
        <is>
          <t>B</t>
        </is>
      </c>
      <c r="O62" s="5" t="n"/>
      <c r="P62" s="5" t="n"/>
      <c r="Q62" s="5" t="n"/>
      <c r="R62" s="5" t="n"/>
      <c r="S62" s="5" t="n"/>
      <c r="T62" s="5">
        <f>IF(O62="","",IF(O62=N62,1,0))</f>
        <v/>
      </c>
      <c r="U62" s="6" t="n"/>
    </row>
    <row r="63">
      <c r="A63" s="5" t="n">
        <v>7</v>
      </c>
      <c r="B63" s="5" t="n">
        <v>2</v>
      </c>
      <c r="C63" s="5" t="inlineStr">
        <is>
          <t>Critical Thinking</t>
        </is>
      </c>
      <c r="D63" s="5" t="inlineStr">
        <is>
          <t>Scored</t>
        </is>
      </c>
      <c r="E63" s="6" t="inlineStr">
        <is>
          <t>Arjun argues we should recycle more. Leah replies: 'So you think we should ban all plastic forever?' What's the actual flaw in this reasoning?</t>
        </is>
      </c>
      <c r="F63" s="6" t="inlineStr">
        <is>
          <t>Plastic bans already exist everywhere</t>
        </is>
      </c>
      <c r="G63" s="6" t="inlineStr">
        <is>
          <t>Arjun never mentioned recycling</t>
        </is>
      </c>
      <c r="H63" s="6" t="inlineStr">
        <is>
          <t>Leah agrees with Arjun completely</t>
        </is>
      </c>
      <c r="I63" s="6" t="inlineStr">
        <is>
          <t>She's exaggerating his actual point to make it easier to argue against</t>
        </is>
      </c>
      <c r="J63" s="5" t="n"/>
      <c r="K63" s="5" t="n"/>
      <c r="L63" s="5" t="n"/>
      <c r="M63" s="5" t="n"/>
      <c r="N63" s="5" t="inlineStr">
        <is>
          <t>D</t>
        </is>
      </c>
      <c r="O63" s="5" t="n"/>
      <c r="P63" s="5" t="n"/>
      <c r="Q63" s="5" t="n"/>
      <c r="R63" s="5" t="n"/>
      <c r="S63" s="5" t="n"/>
      <c r="T63" s="5">
        <f>IF(O63="","",IF(O63=N63,1,0))</f>
        <v/>
      </c>
      <c r="U63" s="6" t="n"/>
    </row>
    <row r="64">
      <c r="A64" s="5" t="n">
        <v>7</v>
      </c>
      <c r="B64" s="5" t="n">
        <v>3</v>
      </c>
      <c r="C64" s="5" t="inlineStr">
        <is>
          <t>Decision Making</t>
        </is>
      </c>
      <c r="D64" s="5" t="inlineStr">
        <is>
          <t>Scored</t>
        </is>
      </c>
      <c r="E64" s="6" t="inlineStr">
        <is>
          <t>You only have time for ONE of these right now. Which gives the best value for the effort it takes?</t>
        </is>
      </c>
      <c r="F64" s="6" t="inlineStr">
        <is>
          <t>They are all equally good choices</t>
        </is>
      </c>
      <c r="G64" s="6" t="inlineStr">
        <is>
          <t>practice for the school play (effort 3, value 4)</t>
        </is>
      </c>
      <c r="H64" s="6" t="inlineStr">
        <is>
          <t>read a chapter for class (effort 2, value 4)</t>
        </is>
      </c>
      <c r="I64" s="6" t="inlineStr">
        <is>
          <t>finish your maths worksheet (effort 6, value 9)</t>
        </is>
      </c>
      <c r="J64" s="5" t="n"/>
      <c r="K64" s="5" t="n"/>
      <c r="L64" s="5" t="n"/>
      <c r="M64" s="5" t="n"/>
      <c r="N64" s="5" t="inlineStr">
        <is>
          <t>C</t>
        </is>
      </c>
      <c r="O64" s="5" t="n"/>
      <c r="P64" s="5" t="n"/>
      <c r="Q64" s="5" t="n"/>
      <c r="R64" s="5" t="n"/>
      <c r="S64" s="5" t="n"/>
      <c r="T64" s="5">
        <f>IF(O64="","",IF(O64=N64,1,0))</f>
        <v/>
      </c>
      <c r="U64" s="6" t="n"/>
    </row>
    <row r="65">
      <c r="A65" s="5" t="n">
        <v>7</v>
      </c>
      <c r="B65" s="5" t="n">
        <v>4</v>
      </c>
      <c r="C65" s="5" t="inlineStr">
        <is>
          <t>Mental Math</t>
        </is>
      </c>
      <c r="D65" s="5" t="inlineStr">
        <is>
          <t>Scored</t>
        </is>
      </c>
      <c r="E65" s="6" t="inlineStr">
        <is>
          <t>I'm thinking of a number. If you subtract 1, then add 12, you get 14. What's my number?</t>
        </is>
      </c>
      <c r="F65" s="6" t="inlineStr">
        <is>
          <t>2</t>
        </is>
      </c>
      <c r="G65" s="6" t="inlineStr">
        <is>
          <t>5</t>
        </is>
      </c>
      <c r="H65" s="6" t="inlineStr">
        <is>
          <t>3</t>
        </is>
      </c>
      <c r="I65" s="6" t="inlineStr">
        <is>
          <t>4</t>
        </is>
      </c>
      <c r="J65" s="5" t="n"/>
      <c r="K65" s="5" t="n"/>
      <c r="L65" s="5" t="n"/>
      <c r="M65" s="5" t="n"/>
      <c r="N65" s="5" t="inlineStr">
        <is>
          <t>C</t>
        </is>
      </c>
      <c r="O65" s="5" t="n"/>
      <c r="P65" s="5" t="n"/>
      <c r="Q65" s="5" t="n"/>
      <c r="R65" s="5" t="n"/>
      <c r="S65" s="5" t="n"/>
      <c r="T65" s="5">
        <f>IF(O65="","",IF(O65=N65,1,0))</f>
        <v/>
      </c>
      <c r="U65" s="6" t="n"/>
    </row>
    <row r="66">
      <c r="A66" s="5" t="n">
        <v>7</v>
      </c>
      <c r="B66" s="5" t="n">
        <v>5</v>
      </c>
      <c r="C66" s="5" t="inlineStr">
        <is>
          <t>Cognitive Academia</t>
        </is>
      </c>
      <c r="D66" s="5" t="inlineStr">
        <is>
          <t>Scored</t>
        </is>
      </c>
      <c r="E66" s="6" t="inlineStr">
        <is>
          <t>What comes next in this pattern: 6, 8, 11, 15, 20, ?</t>
        </is>
      </c>
      <c r="F66" s="6" t="inlineStr">
        <is>
          <t>25</t>
        </is>
      </c>
      <c r="G66" s="6" t="inlineStr">
        <is>
          <t>26</t>
        </is>
      </c>
      <c r="H66" s="6" t="inlineStr">
        <is>
          <t>27</t>
        </is>
      </c>
      <c r="I66" s="6" t="inlineStr">
        <is>
          <t>28</t>
        </is>
      </c>
      <c r="J66" s="5" t="n"/>
      <c r="K66" s="5" t="n"/>
      <c r="L66" s="5" t="n"/>
      <c r="M66" s="5" t="n"/>
      <c r="N66" s="5" t="inlineStr">
        <is>
          <t>B</t>
        </is>
      </c>
      <c r="O66" s="5" t="n"/>
      <c r="P66" s="5" t="n"/>
      <c r="Q66" s="5" t="n"/>
      <c r="R66" s="5" t="n"/>
      <c r="S66" s="5" t="n"/>
      <c r="T66" s="5">
        <f>IF(O66="","",IF(O66=N66,1,0))</f>
        <v/>
      </c>
      <c r="U66" s="6" t="n"/>
    </row>
    <row r="67">
      <c r="A67" s="5" t="n">
        <v>7</v>
      </c>
      <c r="B67" s="5" t="n">
        <v>6</v>
      </c>
      <c r="C67" s="5" t="inlineStr">
        <is>
          <t>Leadership / Communication / Emotional &amp; Social</t>
        </is>
      </c>
      <c r="D67" s="5" t="inlineStr">
        <is>
          <t>Self-report (most/least)</t>
        </is>
      </c>
      <c r="E67" s="6" t="inlineStr">
        <is>
          <t>You accidentally broke a classmate's model volcano the day before the exhibition.</t>
        </is>
      </c>
      <c r="F67" s="6" t="inlineStr">
        <is>
          <t>You find the right words to explain something tricky</t>
        </is>
      </c>
      <c r="G67" s="6" t="inlineStr">
        <is>
          <t>You'd rather wait and see what others do first</t>
        </is>
      </c>
      <c r="H67" s="6" t="inlineStr">
        <is>
          <t>You're comfortable meeting new people</t>
        </is>
      </c>
      <c r="I67" s="6" t="inlineStr">
        <is>
          <t>You like setting the plan for others to follow</t>
        </is>
      </c>
      <c r="J67" s="5" t="inlineStr">
        <is>
          <t>CM</t>
        </is>
      </c>
      <c r="K67" s="5" t="inlineStr"/>
      <c r="L67" s="5" t="inlineStr">
        <is>
          <t>ES</t>
        </is>
      </c>
      <c r="M67" s="5" t="inlineStr">
        <is>
          <t>LD</t>
        </is>
      </c>
      <c r="N67" s="5" t="n"/>
      <c r="O67" s="5" t="n"/>
      <c r="P67" s="5" t="n"/>
      <c r="Q67" s="5" t="n"/>
      <c r="R67" s="5">
        <f>IFERROR(INDEX(J67:M67,MATCH(P67,{"A","B","C","D"},0)),"")</f>
        <v/>
      </c>
      <c r="S67" s="5">
        <f>IFERROR(INDEX(J67:M67,MATCH(Q67,{"A","B","C","D"},0)),"")</f>
        <v/>
      </c>
      <c r="T67" s="5" t="n"/>
      <c r="U67" s="6" t="n"/>
    </row>
    <row r="68">
      <c r="A68" s="5" t="n">
        <v>7</v>
      </c>
      <c r="B68" s="5" t="n">
        <v>7</v>
      </c>
      <c r="C68" s="5" t="inlineStr">
        <is>
          <t>Leadership / Communication / Emotional &amp; Social</t>
        </is>
      </c>
      <c r="D68" s="5" t="inlineStr">
        <is>
          <t>Self-report (most/least)</t>
        </is>
      </c>
      <c r="E68" s="6" t="inlineStr">
        <is>
          <t>Everyone in your group wants to do something different for the class mural, and the deadline is tomorrow.</t>
        </is>
      </c>
      <c r="F68" s="6" t="inlineStr">
        <is>
          <t>You check that others understood what you said</t>
        </is>
      </c>
      <c r="G68" s="6" t="inlineStr">
        <is>
          <t>You'd step back and observe before choosing any of these</t>
        </is>
      </c>
      <c r="H68" s="6" t="inlineStr">
        <is>
          <t>You stay patient even when things get frustrating</t>
        </is>
      </c>
      <c r="I68" s="6" t="inlineStr">
        <is>
          <t>You enjoy being in charge during group games</t>
        </is>
      </c>
      <c r="J68" s="5" t="inlineStr">
        <is>
          <t>CM</t>
        </is>
      </c>
      <c r="K68" s="5" t="inlineStr"/>
      <c r="L68" s="5" t="inlineStr">
        <is>
          <t>ES</t>
        </is>
      </c>
      <c r="M68" s="5" t="inlineStr">
        <is>
          <t>LD</t>
        </is>
      </c>
      <c r="N68" s="5" t="n"/>
      <c r="O68" s="5" t="n"/>
      <c r="P68" s="5" t="n"/>
      <c r="Q68" s="5" t="n"/>
      <c r="R68" s="5">
        <f>IFERROR(INDEX(J68:M68,MATCH(P68,{"A","B","C","D"},0)),"")</f>
        <v/>
      </c>
      <c r="S68" s="5">
        <f>IFERROR(INDEX(J68:M68,MATCH(Q68,{"A","B","C","D"},0)),"")</f>
        <v/>
      </c>
      <c r="T68" s="5" t="n"/>
      <c r="U68" s="6" t="n"/>
    </row>
    <row r="69">
      <c r="A69" s="5" t="n">
        <v>7</v>
      </c>
      <c r="B69" s="5" t="n">
        <v>8</v>
      </c>
      <c r="C69" s="5" t="inlineStr">
        <is>
          <t>Leadership / Communication / Emotional &amp; Social</t>
        </is>
      </c>
      <c r="D69" s="5" t="inlineStr">
        <is>
          <t>Self-report (most/least)</t>
        </is>
      </c>
      <c r="E69" s="6" t="inlineStr">
        <is>
          <t>Your team's science fair project just collapsed five minutes before judging. Everyone is panicking.</t>
        </is>
      </c>
      <c r="F69" s="6" t="inlineStr">
        <is>
          <t>You like guiding your team toward a goal</t>
        </is>
      </c>
      <c r="G69" s="6" t="inlineStr">
        <is>
          <t>You enjoy explaining your work to the class</t>
        </is>
      </c>
      <c r="H69" s="6" t="inlineStr">
        <is>
          <t>You notice small changes in a friend's mood</t>
        </is>
      </c>
      <c r="I69" s="6" t="inlineStr">
        <is>
          <t>None of these feel like you in this moment</t>
        </is>
      </c>
      <c r="J69" s="5" t="inlineStr">
        <is>
          <t>LD</t>
        </is>
      </c>
      <c r="K69" s="5" t="inlineStr">
        <is>
          <t>CM</t>
        </is>
      </c>
      <c r="L69" s="5" t="inlineStr">
        <is>
          <t>ES</t>
        </is>
      </c>
      <c r="M69" s="5" t="inlineStr"/>
      <c r="N69" s="5" t="n"/>
      <c r="O69" s="5" t="n"/>
      <c r="P69" s="5" t="n"/>
      <c r="Q69" s="5" t="n"/>
      <c r="R69" s="5">
        <f>IFERROR(INDEX(J69:M69,MATCH(P69,{"A","B","C","D"},0)),"")</f>
        <v/>
      </c>
      <c r="S69" s="5">
        <f>IFERROR(INDEX(J69:M69,MATCH(Q69,{"A","B","C","D"},0)),"")</f>
        <v/>
      </c>
      <c r="T69" s="5" t="n"/>
      <c r="U69" s="6" t="n"/>
    </row>
    <row r="70">
      <c r="A70" s="5" t="n">
        <v>7</v>
      </c>
      <c r="B70" s="5" t="n">
        <v>9</v>
      </c>
      <c r="C70" s="5" t="inlineStr">
        <is>
          <t>Creative Skills</t>
        </is>
      </c>
      <c r="D70" s="5" t="inlineStr">
        <is>
          <t>Open-ended (not auto-scored)</t>
        </is>
      </c>
      <c r="E70" s="6" t="inlineStr">
        <is>
          <t>If you could add one new day to the week, what would you name it and what would happen on it?</t>
        </is>
      </c>
      <c r="F70" s="6" t="n"/>
      <c r="G70" s="6" t="n"/>
      <c r="H70" s="6" t="n"/>
      <c r="I70" s="6" t="n"/>
      <c r="J70" s="5" t="n"/>
      <c r="K70" s="5" t="n"/>
      <c r="L70" s="5" t="n"/>
      <c r="M70" s="5" t="n"/>
      <c r="N70" s="5" t="n"/>
      <c r="O70" s="5" t="n"/>
      <c r="P70" s="5" t="n"/>
      <c r="Q70" s="5" t="n"/>
      <c r="R70" s="5" t="n"/>
      <c r="S70" s="5" t="n"/>
      <c r="T70" s="5" t="n"/>
      <c r="U70" s="6" t="n"/>
    </row>
    <row r="71">
      <c r="A71" s="5" t="n">
        <v>7</v>
      </c>
      <c r="B71" s="5" t="n">
        <v>10</v>
      </c>
      <c r="C71" s="5" t="inlineStr">
        <is>
          <t>Listening Skills</t>
        </is>
      </c>
      <c r="D71" s="5" t="inlineStr">
        <is>
          <t>Scored</t>
        </is>
      </c>
      <c r="E71" s="6" t="inlineStr">
        <is>
          <t>[Read once, then answer without re-reading] “On art day, Zoe sketched an outline first, added colour next, and finally signed her name in the corner.”  ||  What happened first?</t>
        </is>
      </c>
      <c r="F71" s="6" t="inlineStr">
        <is>
          <t>signed her name</t>
        </is>
      </c>
      <c r="G71" s="6" t="inlineStr">
        <is>
          <t>sketched an outline</t>
        </is>
      </c>
      <c r="H71" s="6" t="inlineStr">
        <is>
          <t>added colour</t>
        </is>
      </c>
      <c r="I71" s="6" t="inlineStr">
        <is>
          <t>framed the painting</t>
        </is>
      </c>
      <c r="J71" s="5" t="n"/>
      <c r="K71" s="5" t="n"/>
      <c r="L71" s="5" t="n"/>
      <c r="M71" s="5" t="n"/>
      <c r="N71" s="5" t="inlineStr">
        <is>
          <t>B</t>
        </is>
      </c>
      <c r="O71" s="5" t="n"/>
      <c r="P71" s="5" t="n"/>
      <c r="Q71" s="5" t="n"/>
      <c r="R71" s="5" t="n"/>
      <c r="S71" s="5" t="n"/>
      <c r="T71" s="5">
        <f>IF(O71="","",IF(O71=N71,1,0))</f>
        <v/>
      </c>
      <c r="U71" s="6" t="n"/>
    </row>
    <row r="72">
      <c r="A72" s="7" t="n">
        <v>8</v>
      </c>
      <c r="B72" s="7" t="n">
        <v>1</v>
      </c>
      <c r="C72" s="7" t="inlineStr">
        <is>
          <t>Problem Solving</t>
        </is>
      </c>
      <c r="D72" s="7" t="inlineStr">
        <is>
          <t>Scored</t>
        </is>
      </c>
      <c r="E72" s="8" t="inlineStr">
        <is>
          <t>Three friends — Wei, Priya, Jyoti — are lining up for the class photo. Priya is not first. Wei is not last. Jyoti is not last. Wei is not in the middle. Who is in the middle?</t>
        </is>
      </c>
      <c r="F72" s="8" t="inlineStr">
        <is>
          <t>Wei</t>
        </is>
      </c>
      <c r="G72" s="8" t="inlineStr">
        <is>
          <t>Jyoti</t>
        </is>
      </c>
      <c r="H72" s="8" t="inlineStr">
        <is>
          <t>Priya</t>
        </is>
      </c>
      <c r="I72" s="8" t="inlineStr">
        <is>
          <t>Cannot be determined</t>
        </is>
      </c>
      <c r="J72" s="7" t="n"/>
      <c r="K72" s="7" t="n"/>
      <c r="L72" s="7" t="n"/>
      <c r="M72" s="7" t="n"/>
      <c r="N72" s="7" t="inlineStr">
        <is>
          <t>B</t>
        </is>
      </c>
      <c r="O72" s="7" t="n"/>
      <c r="P72" s="7" t="n"/>
      <c r="Q72" s="7" t="n"/>
      <c r="R72" s="7" t="n"/>
      <c r="S72" s="7" t="n"/>
      <c r="T72" s="7">
        <f>IF(O72="","",IF(O72=N72,1,0))</f>
        <v/>
      </c>
      <c r="U72" s="8" t="n"/>
    </row>
    <row r="73">
      <c r="A73" s="7" t="n">
        <v>8</v>
      </c>
      <c r="B73" s="7" t="n">
        <v>2</v>
      </c>
      <c r="C73" s="7" t="inlineStr">
        <is>
          <t>Critical Thinking</t>
        </is>
      </c>
      <c r="D73" s="7" t="inlineStr">
        <is>
          <t>Scored</t>
        </is>
      </c>
      <c r="E73" s="8" t="inlineStr">
        <is>
          <t>Tia says: 'This must be the best pencil, because a famous cartoon character uses it in an ad.' What's the actual flaw in this reasoning?</t>
        </is>
      </c>
      <c r="F73" s="8" t="inlineStr">
        <is>
          <t>The cartoon character is a real person</t>
        </is>
      </c>
      <c r="G73" s="8" t="inlineStr">
        <is>
          <t>Tia has never used a pencil</t>
        </is>
      </c>
      <c r="H73" s="8" t="inlineStr">
        <is>
          <t>Pencils cannot be advertised</t>
        </is>
      </c>
      <c r="I73" s="8" t="inlineStr">
        <is>
          <t>She's trusting someone with no real expertise on pencils</t>
        </is>
      </c>
      <c r="J73" s="7" t="n"/>
      <c r="K73" s="7" t="n"/>
      <c r="L73" s="7" t="n"/>
      <c r="M73" s="7" t="n"/>
      <c r="N73" s="7" t="inlineStr">
        <is>
          <t>D</t>
        </is>
      </c>
      <c r="O73" s="7" t="n"/>
      <c r="P73" s="7" t="n"/>
      <c r="Q73" s="7" t="n"/>
      <c r="R73" s="7" t="n"/>
      <c r="S73" s="7" t="n"/>
      <c r="T73" s="7">
        <f>IF(O73="","",IF(O73=N73,1,0))</f>
        <v/>
      </c>
      <c r="U73" s="8" t="n"/>
    </row>
    <row r="74">
      <c r="A74" s="7" t="n">
        <v>8</v>
      </c>
      <c r="B74" s="7" t="n">
        <v>3</v>
      </c>
      <c r="C74" s="7" t="inlineStr">
        <is>
          <t>Decision Making</t>
        </is>
      </c>
      <c r="D74" s="7" t="inlineStr">
        <is>
          <t>Scored</t>
        </is>
      </c>
      <c r="E74" s="8" t="inlineStr">
        <is>
          <t>You have 48 minutes. read a chapter for class takes 23 minutes, practice for the school play takes 25 minutes, and finish your maths worksheet takes 29 minutes. You must skip exactly one of them to fit the other two into your 48 minutes. Which should you skip?</t>
        </is>
      </c>
      <c r="F74" s="8" t="inlineStr">
        <is>
          <t>practice for the school play</t>
        </is>
      </c>
      <c r="G74" s="8" t="inlineStr">
        <is>
          <t>It's impossible to fit any two</t>
        </is>
      </c>
      <c r="H74" s="8" t="inlineStr">
        <is>
          <t>finish your maths worksheet</t>
        </is>
      </c>
      <c r="I74" s="8" t="inlineStr">
        <is>
          <t>read a chapter for class</t>
        </is>
      </c>
      <c r="J74" s="7" t="n"/>
      <c r="K74" s="7" t="n"/>
      <c r="L74" s="7" t="n"/>
      <c r="M74" s="7" t="n"/>
      <c r="N74" s="7" t="inlineStr">
        <is>
          <t>C</t>
        </is>
      </c>
      <c r="O74" s="7" t="n"/>
      <c r="P74" s="7" t="n"/>
      <c r="Q74" s="7" t="n"/>
      <c r="R74" s="7" t="n"/>
      <c r="S74" s="7" t="n"/>
      <c r="T74" s="7">
        <f>IF(O74="","",IF(O74=N74,1,0))</f>
        <v/>
      </c>
      <c r="U74" s="8" t="n"/>
    </row>
    <row r="75">
      <c r="A75" s="7" t="n">
        <v>8</v>
      </c>
      <c r="B75" s="7" t="n">
        <v>4</v>
      </c>
      <c r="C75" s="7" t="inlineStr">
        <is>
          <t>Mental Math</t>
        </is>
      </c>
      <c r="D75" s="7" t="inlineStr">
        <is>
          <t>Scored</t>
        </is>
      </c>
      <c r="E75" s="8" t="inlineStr">
        <is>
          <t>After spending 9 and later receiving 3 as a gift, Iris has 8. How much did Iris start with?</t>
        </is>
      </c>
      <c r="F75" s="8" t="inlineStr">
        <is>
          <t>8</t>
        </is>
      </c>
      <c r="G75" s="8" t="inlineStr">
        <is>
          <t>14</t>
        </is>
      </c>
      <c r="H75" s="8" t="inlineStr">
        <is>
          <t>11</t>
        </is>
      </c>
      <c r="I75" s="8" t="inlineStr">
        <is>
          <t>23</t>
        </is>
      </c>
      <c r="J75" s="7" t="n"/>
      <c r="K75" s="7" t="n"/>
      <c r="L75" s="7" t="n"/>
      <c r="M75" s="7" t="n"/>
      <c r="N75" s="7" t="inlineStr">
        <is>
          <t>B</t>
        </is>
      </c>
      <c r="O75" s="7" t="n"/>
      <c r="P75" s="7" t="n"/>
      <c r="Q75" s="7" t="n"/>
      <c r="R75" s="7" t="n"/>
      <c r="S75" s="7" t="n"/>
      <c r="T75" s="7">
        <f>IF(O75="","",IF(O75=N75,1,0))</f>
        <v/>
      </c>
      <c r="U75" s="8" t="n"/>
    </row>
    <row r="76">
      <c r="A76" s="7" t="n">
        <v>8</v>
      </c>
      <c r="B76" s="7" t="n">
        <v>5</v>
      </c>
      <c r="C76" s="7" t="inlineStr">
        <is>
          <t>Cognitive Academia</t>
        </is>
      </c>
      <c r="D76" s="7" t="inlineStr">
        <is>
          <t>Scored</t>
        </is>
      </c>
      <c r="E76" s="8" t="inlineStr">
        <is>
          <t>What comes next in this pattern: 5, 10, 17, 26, 37, ?</t>
        </is>
      </c>
      <c r="F76" s="8" t="inlineStr">
        <is>
          <t>50</t>
        </is>
      </c>
      <c r="G76" s="8" t="inlineStr">
        <is>
          <t>54</t>
        </is>
      </c>
      <c r="H76" s="8" t="inlineStr">
        <is>
          <t>52</t>
        </is>
      </c>
      <c r="I76" s="8" t="inlineStr">
        <is>
          <t>48</t>
        </is>
      </c>
      <c r="J76" s="7" t="n"/>
      <c r="K76" s="7" t="n"/>
      <c r="L76" s="7" t="n"/>
      <c r="M76" s="7" t="n"/>
      <c r="N76" s="7" t="inlineStr">
        <is>
          <t>A</t>
        </is>
      </c>
      <c r="O76" s="7" t="n"/>
      <c r="P76" s="7" t="n"/>
      <c r="Q76" s="7" t="n"/>
      <c r="R76" s="7" t="n"/>
      <c r="S76" s="7" t="n"/>
      <c r="T76" s="7">
        <f>IF(O76="","",IF(O76=N76,1,0))</f>
        <v/>
      </c>
      <c r="U76" s="8" t="n"/>
    </row>
    <row r="77">
      <c r="A77" s="7" t="n">
        <v>8</v>
      </c>
      <c r="B77" s="7" t="n">
        <v>6</v>
      </c>
      <c r="C77" s="7" t="inlineStr">
        <is>
          <t>Leadership / Communication / Emotional &amp; Social</t>
        </is>
      </c>
      <c r="D77" s="7" t="inlineStr">
        <is>
          <t>Self-report (most/least)</t>
        </is>
      </c>
      <c r="E77" s="8" t="inlineStr">
        <is>
          <t>You're in the middle of a class debate and you suddenly realize your argument has a big hole in it, live, in front of everyone.</t>
        </is>
      </c>
      <c r="F77" s="8" t="inlineStr">
        <is>
          <t>You enjoy writing or telling stories to others</t>
        </is>
      </c>
      <c r="G77" s="8" t="inlineStr">
        <is>
          <t>You'd step back and observe before choosing any of these</t>
        </is>
      </c>
      <c r="H77" s="8" t="inlineStr">
        <is>
          <t>You're good at making a sad friend feel better</t>
        </is>
      </c>
      <c r="I77" s="8" t="inlineStr">
        <is>
          <t>You step up when the group needs direction</t>
        </is>
      </c>
      <c r="J77" s="7" t="inlineStr">
        <is>
          <t>CM</t>
        </is>
      </c>
      <c r="K77" s="7" t="inlineStr"/>
      <c r="L77" s="7" t="inlineStr">
        <is>
          <t>ES</t>
        </is>
      </c>
      <c r="M77" s="7" t="inlineStr">
        <is>
          <t>LD</t>
        </is>
      </c>
      <c r="N77" s="7" t="n"/>
      <c r="O77" s="7" t="n"/>
      <c r="P77" s="7" t="n"/>
      <c r="Q77" s="7" t="n"/>
      <c r="R77" s="7">
        <f>IFERROR(INDEX(J77:M77,MATCH(P77,{"A","B","C","D"},0)),"")</f>
        <v/>
      </c>
      <c r="S77" s="7">
        <f>IFERROR(INDEX(J77:M77,MATCH(Q77,{"A","B","C","D"},0)),"")</f>
        <v/>
      </c>
      <c r="T77" s="7" t="n"/>
      <c r="U77" s="8" t="n"/>
    </row>
    <row r="78">
      <c r="A78" s="7" t="n">
        <v>8</v>
      </c>
      <c r="B78" s="7" t="n">
        <v>7</v>
      </c>
      <c r="C78" s="7" t="inlineStr">
        <is>
          <t>Leadership / Communication / Emotional &amp; Social</t>
        </is>
      </c>
      <c r="D78" s="7" t="inlineStr">
        <is>
          <t>Self-report (most/least)</t>
        </is>
      </c>
      <c r="E78" s="8" t="inlineStr">
        <is>
          <t>A new student sits alone at lunch every day, and today someone made a joke about it that made the room go quiet.</t>
        </is>
      </c>
      <c r="F78" s="8" t="inlineStr">
        <is>
          <t>You handle disagreements without getting too angry</t>
        </is>
      </c>
      <c r="G78" s="8" t="inlineStr">
        <is>
          <t>You like presenting your ideas out loud</t>
        </is>
      </c>
      <c r="H78" s="8" t="inlineStr">
        <is>
          <t>None of these feel like you in this moment</t>
        </is>
      </c>
      <c r="I78" s="8" t="inlineStr">
        <is>
          <t>You take responsibility if something goes wrong</t>
        </is>
      </c>
      <c r="J78" s="7" t="inlineStr">
        <is>
          <t>ES</t>
        </is>
      </c>
      <c r="K78" s="7" t="inlineStr">
        <is>
          <t>CM</t>
        </is>
      </c>
      <c r="L78" s="7" t="inlineStr"/>
      <c r="M78" s="7" t="inlineStr">
        <is>
          <t>LD</t>
        </is>
      </c>
      <c r="N78" s="7" t="n"/>
      <c r="O78" s="7" t="n"/>
      <c r="P78" s="7" t="n"/>
      <c r="Q78" s="7" t="n"/>
      <c r="R78" s="7">
        <f>IFERROR(INDEX(J78:M78,MATCH(P78,{"A","B","C","D"},0)),"")</f>
        <v/>
      </c>
      <c r="S78" s="7">
        <f>IFERROR(INDEX(J78:M78,MATCH(Q78,{"A","B","C","D"},0)),"")</f>
        <v/>
      </c>
      <c r="T78" s="7" t="n"/>
      <c r="U78" s="8" t="n"/>
    </row>
    <row r="79">
      <c r="A79" s="7" t="n">
        <v>8</v>
      </c>
      <c r="B79" s="7" t="n">
        <v>8</v>
      </c>
      <c r="C79" s="7" t="inlineStr">
        <is>
          <t>Leadership / Communication / Emotional &amp; Social</t>
        </is>
      </c>
      <c r="D79" s="7" t="inlineStr">
        <is>
          <t>Self-report (most/least)</t>
        </is>
      </c>
      <c r="E79" s="8" t="inlineStr">
        <is>
          <t>Your group's skit for the talent show is falling apart backstage, thirty seconds before you go on.</t>
        </is>
      </c>
      <c r="F79" s="8" t="inlineStr">
        <is>
          <t>You enjoy having conversations about new topics</t>
        </is>
      </c>
      <c r="G79" s="8" t="inlineStr">
        <is>
          <t>You think about how others might feel before acting</t>
        </is>
      </c>
      <c r="H79" s="8" t="inlineStr">
        <is>
          <t>You feel confident telling others what to do next</t>
        </is>
      </c>
      <c r="I79" s="8" t="inlineStr">
        <is>
          <t>You'd need more time before reacting at all</t>
        </is>
      </c>
      <c r="J79" s="7" t="inlineStr">
        <is>
          <t>CM</t>
        </is>
      </c>
      <c r="K79" s="7" t="inlineStr">
        <is>
          <t>ES</t>
        </is>
      </c>
      <c r="L79" s="7" t="inlineStr">
        <is>
          <t>LD</t>
        </is>
      </c>
      <c r="M79" s="7" t="inlineStr"/>
      <c r="N79" s="7" t="n"/>
      <c r="O79" s="7" t="n"/>
      <c r="P79" s="7" t="n"/>
      <c r="Q79" s="7" t="n"/>
      <c r="R79" s="7">
        <f>IFERROR(INDEX(J79:M79,MATCH(P79,{"A","B","C","D"},0)),"")</f>
        <v/>
      </c>
      <c r="S79" s="7">
        <f>IFERROR(INDEX(J79:M79,MATCH(Q79,{"A","B","C","D"},0)),"")</f>
        <v/>
      </c>
      <c r="T79" s="7" t="n"/>
      <c r="U79" s="8" t="n"/>
    </row>
    <row r="80">
      <c r="A80" s="7" t="n">
        <v>8</v>
      </c>
      <c r="B80" s="7" t="n">
        <v>9</v>
      </c>
      <c r="C80" s="7" t="inlineStr">
        <is>
          <t>Creative Skills</t>
        </is>
      </c>
      <c r="D80" s="7" t="inlineStr">
        <is>
          <t>Open-ended (not auto-scored)</t>
        </is>
      </c>
      <c r="E80" s="8" t="inlineStr">
        <is>
          <t>Your shoes have just been enchanted with one silly magical power. What is it?</t>
        </is>
      </c>
      <c r="F80" s="8" t="n"/>
      <c r="G80" s="8" t="n"/>
      <c r="H80" s="8" t="n"/>
      <c r="I80" s="8" t="n"/>
      <c r="J80" s="7" t="n"/>
      <c r="K80" s="7" t="n"/>
      <c r="L80" s="7" t="n"/>
      <c r="M80" s="7" t="n"/>
      <c r="N80" s="7" t="n"/>
      <c r="O80" s="7" t="n"/>
      <c r="P80" s="7" t="n"/>
      <c r="Q80" s="7" t="n"/>
      <c r="R80" s="7" t="n"/>
      <c r="S80" s="7" t="n"/>
      <c r="T80" s="7" t="n"/>
      <c r="U80" s="8" t="n"/>
    </row>
    <row r="81">
      <c r="A81" s="7" t="n">
        <v>8</v>
      </c>
      <c r="B81" s="7" t="n">
        <v>10</v>
      </c>
      <c r="C81" s="7" t="inlineStr">
        <is>
          <t>Listening Skills</t>
        </is>
      </c>
      <c r="D81" s="7" t="inlineStr">
        <is>
          <t>Scored</t>
        </is>
      </c>
      <c r="E81" s="8" t="inlineStr">
        <is>
          <t>[Read once, then answer without re-reading] “At recess, the twins set up the net, picked teams, and then started the game just as the bell rang twice.”  ||  What happened first?</t>
        </is>
      </c>
      <c r="F81" s="8" t="inlineStr">
        <is>
          <t>started the game</t>
        </is>
      </c>
      <c r="G81" s="8" t="inlineStr">
        <is>
          <t>picked teams</t>
        </is>
      </c>
      <c r="H81" s="8" t="inlineStr">
        <is>
          <t>cleaned the equipment room</t>
        </is>
      </c>
      <c r="I81" s="8" t="inlineStr">
        <is>
          <t>set up the net</t>
        </is>
      </c>
      <c r="J81" s="7" t="n"/>
      <c r="K81" s="7" t="n"/>
      <c r="L81" s="7" t="n"/>
      <c r="M81" s="7" t="n"/>
      <c r="N81" s="7" t="inlineStr">
        <is>
          <t>D</t>
        </is>
      </c>
      <c r="O81" s="7" t="n"/>
      <c r="P81" s="7" t="n"/>
      <c r="Q81" s="7" t="n"/>
      <c r="R81" s="7" t="n"/>
      <c r="S81" s="7" t="n"/>
      <c r="T81" s="7">
        <f>IF(O81="","",IF(O81=N81,1,0))</f>
        <v/>
      </c>
      <c r="U81" s="8" t="n"/>
    </row>
    <row r="82">
      <c r="A82" s="5" t="n">
        <v>9</v>
      </c>
      <c r="B82" s="5" t="n">
        <v>1</v>
      </c>
      <c r="C82" s="5" t="inlineStr">
        <is>
          <t>Problem Solving</t>
        </is>
      </c>
      <c r="D82" s="5" t="inlineStr">
        <is>
          <t>Scored</t>
        </is>
      </c>
      <c r="E82" s="6" t="inlineStr">
        <is>
          <t>Three friends — Diya, Ben, Zara — are lining up for the class photo. Ben is not first. Ben is not in the middle. Zara is not first. Who is in the middle?</t>
        </is>
      </c>
      <c r="F82" s="6" t="inlineStr">
        <is>
          <t>Cannot be determined</t>
        </is>
      </c>
      <c r="G82" s="6" t="inlineStr">
        <is>
          <t>Diya</t>
        </is>
      </c>
      <c r="H82" s="6" t="inlineStr">
        <is>
          <t>Ben</t>
        </is>
      </c>
      <c r="I82" s="6" t="inlineStr">
        <is>
          <t>Zara</t>
        </is>
      </c>
      <c r="J82" s="5" t="n"/>
      <c r="K82" s="5" t="n"/>
      <c r="L82" s="5" t="n"/>
      <c r="M82" s="5" t="n"/>
      <c r="N82" s="5" t="inlineStr">
        <is>
          <t>D</t>
        </is>
      </c>
      <c r="O82" s="5" t="n"/>
      <c r="P82" s="5" t="n"/>
      <c r="Q82" s="5" t="n"/>
      <c r="R82" s="5" t="n"/>
      <c r="S82" s="5" t="n"/>
      <c r="T82" s="5">
        <f>IF(O82="","",IF(O82=N82,1,0))</f>
        <v/>
      </c>
      <c r="U82" s="6" t="n"/>
    </row>
    <row r="83">
      <c r="A83" s="5" t="n">
        <v>9</v>
      </c>
      <c r="B83" s="5" t="n">
        <v>2</v>
      </c>
      <c r="C83" s="5" t="inlineStr">
        <is>
          <t>Critical Thinking</t>
        </is>
      </c>
      <c r="D83" s="5" t="inlineStr">
        <is>
          <t>Scored</t>
        </is>
      </c>
      <c r="E83" s="6" t="inlineStr">
        <is>
          <t>Noah says: 'My cousin ate candy every day and lived to 90, so candy must be healthy.' What's the actual flaw in this reasoning?</t>
        </is>
      </c>
      <c r="F83" s="6" t="inlineStr">
        <is>
          <t>His cousin never ate candy</t>
        </is>
      </c>
      <c r="G83" s="6" t="inlineStr">
        <is>
          <t>He's using one unusual story instead of real evidence</t>
        </is>
      </c>
      <c r="H83" s="6" t="inlineStr">
        <is>
          <t>Candy has no ingredients</t>
        </is>
      </c>
      <c r="I83" s="6" t="inlineStr">
        <is>
          <t>Ninety is not an old age</t>
        </is>
      </c>
      <c r="J83" s="5" t="n"/>
      <c r="K83" s="5" t="n"/>
      <c r="L83" s="5" t="n"/>
      <c r="M83" s="5" t="n"/>
      <c r="N83" s="5" t="inlineStr">
        <is>
          <t>B</t>
        </is>
      </c>
      <c r="O83" s="5" t="n"/>
      <c r="P83" s="5" t="n"/>
      <c r="Q83" s="5" t="n"/>
      <c r="R83" s="5" t="n"/>
      <c r="S83" s="5" t="n"/>
      <c r="T83" s="5">
        <f>IF(O83="","",IF(O83=N83,1,0))</f>
        <v/>
      </c>
      <c r="U83" s="6" t="n"/>
    </row>
    <row r="84">
      <c r="A84" s="5" t="n">
        <v>9</v>
      </c>
      <c r="B84" s="5" t="n">
        <v>3</v>
      </c>
      <c r="C84" s="5" t="inlineStr">
        <is>
          <t>Decision Making</t>
        </is>
      </c>
      <c r="D84" s="5" t="inlineStr">
        <is>
          <t>Scored</t>
        </is>
      </c>
      <c r="E84" s="6" t="inlineStr">
        <is>
          <t>You only have time for ONE of these right now. Which gives the best value for the effort it takes?</t>
        </is>
      </c>
      <c r="F84" s="6" t="inlineStr">
        <is>
          <t>practice for the school play (effort 8, value 10)</t>
        </is>
      </c>
      <c r="G84" s="6" t="inlineStr">
        <is>
          <t>They are all equally good choices</t>
        </is>
      </c>
      <c r="H84" s="6" t="inlineStr">
        <is>
          <t>read a chapter for class (effort 4, value 11)</t>
        </is>
      </c>
      <c r="I84" s="6" t="inlineStr">
        <is>
          <t>finish your maths worksheet (effort 5, value 7)</t>
        </is>
      </c>
      <c r="J84" s="5" t="n"/>
      <c r="K84" s="5" t="n"/>
      <c r="L84" s="5" t="n"/>
      <c r="M84" s="5" t="n"/>
      <c r="N84" s="5" t="inlineStr">
        <is>
          <t>C</t>
        </is>
      </c>
      <c r="O84" s="5" t="n"/>
      <c r="P84" s="5" t="n"/>
      <c r="Q84" s="5" t="n"/>
      <c r="R84" s="5" t="n"/>
      <c r="S84" s="5" t="n"/>
      <c r="T84" s="5">
        <f>IF(O84="","",IF(O84=N84,1,0))</f>
        <v/>
      </c>
      <c r="U84" s="6" t="n"/>
    </row>
    <row r="85">
      <c r="A85" s="5" t="n">
        <v>9</v>
      </c>
      <c r="B85" s="5" t="n">
        <v>4</v>
      </c>
      <c r="C85" s="5" t="inlineStr">
        <is>
          <t>Mental Math</t>
        </is>
      </c>
      <c r="D85" s="5" t="inlineStr">
        <is>
          <t>Scored</t>
        </is>
      </c>
      <c r="E85" s="6" t="inlineStr">
        <is>
          <t>A recipe mixes water and juice concentrate in a 4:5 ratio. If you use 24 units of water, how much juice concentrate do you need?</t>
        </is>
      </c>
      <c r="F85" s="6" t="inlineStr">
        <is>
          <t>25</t>
        </is>
      </c>
      <c r="G85" s="6" t="inlineStr">
        <is>
          <t>30</t>
        </is>
      </c>
      <c r="H85" s="6" t="inlineStr">
        <is>
          <t>35</t>
        </is>
      </c>
      <c r="I85" s="6" t="inlineStr">
        <is>
          <t>24</t>
        </is>
      </c>
      <c r="J85" s="5" t="n"/>
      <c r="K85" s="5" t="n"/>
      <c r="L85" s="5" t="n"/>
      <c r="M85" s="5" t="n"/>
      <c r="N85" s="5" t="inlineStr">
        <is>
          <t>B</t>
        </is>
      </c>
      <c r="O85" s="5" t="n"/>
      <c r="P85" s="5" t="n"/>
      <c r="Q85" s="5" t="n"/>
      <c r="R85" s="5" t="n"/>
      <c r="S85" s="5" t="n"/>
      <c r="T85" s="5">
        <f>IF(O85="","",IF(O85=N85,1,0))</f>
        <v/>
      </c>
      <c r="U85" s="6" t="n"/>
    </row>
    <row r="86">
      <c r="A86" s="5" t="n">
        <v>9</v>
      </c>
      <c r="B86" s="5" t="n">
        <v>5</v>
      </c>
      <c r="C86" s="5" t="inlineStr">
        <is>
          <t>Cognitive Academia</t>
        </is>
      </c>
      <c r="D86" s="5" t="inlineStr">
        <is>
          <t>Scored</t>
        </is>
      </c>
      <c r="E86" s="6" t="inlineStr">
        <is>
          <t>What comes next in this pattern: 5, 8, 12, 17, 23, ?</t>
        </is>
      </c>
      <c r="F86" s="6" t="inlineStr">
        <is>
          <t>29</t>
        </is>
      </c>
      <c r="G86" s="6" t="inlineStr">
        <is>
          <t>31</t>
        </is>
      </c>
      <c r="H86" s="6" t="inlineStr">
        <is>
          <t>32</t>
        </is>
      </c>
      <c r="I86" s="6" t="inlineStr">
        <is>
          <t>30</t>
        </is>
      </c>
      <c r="J86" s="5" t="n"/>
      <c r="K86" s="5" t="n"/>
      <c r="L86" s="5" t="n"/>
      <c r="M86" s="5" t="n"/>
      <c r="N86" s="5" t="inlineStr">
        <is>
          <t>D</t>
        </is>
      </c>
      <c r="O86" s="5" t="n"/>
      <c r="P86" s="5" t="n"/>
      <c r="Q86" s="5" t="n"/>
      <c r="R86" s="5" t="n"/>
      <c r="S86" s="5" t="n"/>
      <c r="T86" s="5">
        <f>IF(O86="","",IF(O86=N86,1,0))</f>
        <v/>
      </c>
      <c r="U86" s="6" t="n"/>
    </row>
    <row r="87">
      <c r="A87" s="5" t="n">
        <v>9</v>
      </c>
      <c r="B87" s="5" t="n">
        <v>6</v>
      </c>
      <c r="C87" s="5" t="inlineStr">
        <is>
          <t>Leadership / Communication / Emotional &amp; Social</t>
        </is>
      </c>
      <c r="D87" s="5" t="inlineStr">
        <is>
          <t>Self-report (most/least)</t>
        </is>
      </c>
      <c r="E87" s="6" t="inlineStr">
        <is>
          <t>You just found out the class hamster escaped during your turn to watch it.</t>
        </is>
      </c>
      <c r="F87" s="6" t="inlineStr">
        <is>
          <t>You like guiding your team toward a goal</t>
        </is>
      </c>
      <c r="G87" s="6" t="inlineStr">
        <is>
          <t>You notice small changes in a friend's mood</t>
        </is>
      </c>
      <c r="H87" s="6" t="inlineStr">
        <is>
          <t>You enjoy explaining your work to the class</t>
        </is>
      </c>
      <c r="I87" s="6" t="inlineStr">
        <is>
          <t>None of these feel like you in this moment</t>
        </is>
      </c>
      <c r="J87" s="5" t="inlineStr">
        <is>
          <t>LD</t>
        </is>
      </c>
      <c r="K87" s="5" t="inlineStr">
        <is>
          <t>ES</t>
        </is>
      </c>
      <c r="L87" s="5" t="inlineStr">
        <is>
          <t>CM</t>
        </is>
      </c>
      <c r="M87" s="5" t="inlineStr"/>
      <c r="N87" s="5" t="n"/>
      <c r="O87" s="5" t="n"/>
      <c r="P87" s="5" t="n"/>
      <c r="Q87" s="5" t="n"/>
      <c r="R87" s="5">
        <f>IFERROR(INDEX(J87:M87,MATCH(P87,{"A","B","C","D"},0)),"")</f>
        <v/>
      </c>
      <c r="S87" s="5">
        <f>IFERROR(INDEX(J87:M87,MATCH(Q87,{"A","B","C","D"},0)),"")</f>
        <v/>
      </c>
      <c r="T87" s="5" t="n"/>
      <c r="U87" s="6" t="n"/>
    </row>
    <row r="88">
      <c r="A88" s="5" t="n">
        <v>9</v>
      </c>
      <c r="B88" s="5" t="n">
        <v>7</v>
      </c>
      <c r="C88" s="5" t="inlineStr">
        <is>
          <t>Leadership / Communication / Emotional &amp; Social</t>
        </is>
      </c>
      <c r="D88" s="5" t="inlineStr">
        <is>
          <t>Self-report (most/least)</t>
        </is>
      </c>
      <c r="E88" s="6" t="inlineStr">
        <is>
          <t>Your best friend is crying in the hallway and won't say why, right before your next class starts.</t>
        </is>
      </c>
      <c r="F88" s="6" t="inlineStr">
        <is>
          <t>You'd need more time before reacting at all</t>
        </is>
      </c>
      <c r="G88" s="6" t="inlineStr">
        <is>
          <t>You like asking questions until things make sense</t>
        </is>
      </c>
      <c r="H88" s="6" t="inlineStr">
        <is>
          <t>You stay calm even when things go wrong</t>
        </is>
      </c>
      <c r="I88" s="6" t="inlineStr">
        <is>
          <t>You like being the one who organizes the group</t>
        </is>
      </c>
      <c r="J88" s="5" t="inlineStr"/>
      <c r="K88" s="5" t="inlineStr">
        <is>
          <t>CM</t>
        </is>
      </c>
      <c r="L88" s="5" t="inlineStr">
        <is>
          <t>ES</t>
        </is>
      </c>
      <c r="M88" s="5" t="inlineStr">
        <is>
          <t>LD</t>
        </is>
      </c>
      <c r="N88" s="5" t="n"/>
      <c r="O88" s="5" t="n"/>
      <c r="P88" s="5" t="n"/>
      <c r="Q88" s="5" t="n"/>
      <c r="R88" s="5">
        <f>IFERROR(INDEX(J88:M88,MATCH(P88,{"A","B","C","D"},0)),"")</f>
        <v/>
      </c>
      <c r="S88" s="5">
        <f>IFERROR(INDEX(J88:M88,MATCH(Q88,{"A","B","C","D"},0)),"")</f>
        <v/>
      </c>
      <c r="T88" s="5" t="n"/>
      <c r="U88" s="6" t="n"/>
    </row>
    <row r="89">
      <c r="A89" s="5" t="n">
        <v>9</v>
      </c>
      <c r="B89" s="5" t="n">
        <v>8</v>
      </c>
      <c r="C89" s="5" t="inlineStr">
        <is>
          <t>Leadership / Communication / Emotional &amp; Social</t>
        </is>
      </c>
      <c r="D89" s="5" t="inlineStr">
        <is>
          <t>Self-report (most/least)</t>
        </is>
      </c>
      <c r="E89" s="6" t="inlineStr">
        <is>
          <t>The teacher asks for one volunteer to redo a messed-up group presentation, alone, right now.</t>
        </is>
      </c>
      <c r="F89" s="6" t="inlineStr">
        <is>
          <t>You can tell how someone is feeling without them saying it</t>
        </is>
      </c>
      <c r="G89" s="6" t="inlineStr">
        <is>
          <t>You make sure your point comes across clearly</t>
        </is>
      </c>
      <c r="H89" s="6" t="inlineStr">
        <is>
          <t>You enjoy being picked as the leader</t>
        </is>
      </c>
      <c r="I89" s="6" t="inlineStr">
        <is>
          <t>You'd rather wait and see what others do first</t>
        </is>
      </c>
      <c r="J89" s="5" t="inlineStr">
        <is>
          <t>ES</t>
        </is>
      </c>
      <c r="K89" s="5" t="inlineStr">
        <is>
          <t>CM</t>
        </is>
      </c>
      <c r="L89" s="5" t="inlineStr">
        <is>
          <t>LD</t>
        </is>
      </c>
      <c r="M89" s="5" t="inlineStr"/>
      <c r="N89" s="5" t="n"/>
      <c r="O89" s="5" t="n"/>
      <c r="P89" s="5" t="n"/>
      <c r="Q89" s="5" t="n"/>
      <c r="R89" s="5">
        <f>IFERROR(INDEX(J89:M89,MATCH(P89,{"A","B","C","D"},0)),"")</f>
        <v/>
      </c>
      <c r="S89" s="5">
        <f>IFERROR(INDEX(J89:M89,MATCH(Q89,{"A","B","C","D"},0)),"")</f>
        <v/>
      </c>
      <c r="T89" s="5" t="n"/>
      <c r="U89" s="6" t="n"/>
    </row>
    <row r="90">
      <c r="A90" s="5" t="n">
        <v>9</v>
      </c>
      <c r="B90" s="5" t="n">
        <v>9</v>
      </c>
      <c r="C90" s="5" t="inlineStr">
        <is>
          <t>Creative Skills</t>
        </is>
      </c>
      <c r="D90" s="5" t="inlineStr">
        <is>
          <t>Open-ended (not auto-scored)</t>
        </is>
      </c>
      <c r="E90" s="6" t="inlineStr">
        <is>
          <t>Design a treehouse with one unusual feature no one has ever seen before.</t>
        </is>
      </c>
      <c r="F90" s="6" t="n"/>
      <c r="G90" s="6" t="n"/>
      <c r="H90" s="6" t="n"/>
      <c r="I90" s="6" t="n"/>
      <c r="J90" s="5" t="n"/>
      <c r="K90" s="5" t="n"/>
      <c r="L90" s="5" t="n"/>
      <c r="M90" s="5" t="n"/>
      <c r="N90" s="5" t="n"/>
      <c r="O90" s="5" t="n"/>
      <c r="P90" s="5" t="n"/>
      <c r="Q90" s="5" t="n"/>
      <c r="R90" s="5" t="n"/>
      <c r="S90" s="5" t="n"/>
      <c r="T90" s="5" t="n"/>
      <c r="U90" s="6" t="n"/>
    </row>
    <row r="91">
      <c r="A91" s="5" t="n">
        <v>9</v>
      </c>
      <c r="B91" s="5" t="n">
        <v>10</v>
      </c>
      <c r="C91" s="5" t="inlineStr">
        <is>
          <t>Listening Skills</t>
        </is>
      </c>
      <c r="D91" s="5" t="inlineStr">
        <is>
          <t>Scored</t>
        </is>
      </c>
      <c r="E91" s="6" t="inlineStr">
        <is>
          <t>[Read once, then answer without re-reading] “Getting ready for the play, Arjun found his costume, practiced his lines, and finally waited backstage.”  ||  What happened right after the first thing mentioned?</t>
        </is>
      </c>
      <c r="F91" s="6" t="inlineStr">
        <is>
          <t>waited backstage</t>
        </is>
      </c>
      <c r="G91" s="6" t="inlineStr">
        <is>
          <t>sold tickets at the door</t>
        </is>
      </c>
      <c r="H91" s="6" t="inlineStr">
        <is>
          <t>practiced his lines</t>
        </is>
      </c>
      <c r="I91" s="6" t="inlineStr">
        <is>
          <t>found his costume</t>
        </is>
      </c>
      <c r="J91" s="5" t="n"/>
      <c r="K91" s="5" t="n"/>
      <c r="L91" s="5" t="n"/>
      <c r="M91" s="5" t="n"/>
      <c r="N91" s="5" t="inlineStr">
        <is>
          <t>C</t>
        </is>
      </c>
      <c r="O91" s="5" t="n"/>
      <c r="P91" s="5" t="n"/>
      <c r="Q91" s="5" t="n"/>
      <c r="R91" s="5" t="n"/>
      <c r="S91" s="5" t="n"/>
      <c r="T91" s="5">
        <f>IF(O91="","",IF(O91=N91,1,0))</f>
        <v/>
      </c>
      <c r="U91" s="6" t="n"/>
    </row>
    <row r="92">
      <c r="A92" s="7" t="n">
        <v>10</v>
      </c>
      <c r="B92" s="7" t="n">
        <v>1</v>
      </c>
      <c r="C92" s="7" t="inlineStr">
        <is>
          <t>Problem Solving</t>
        </is>
      </c>
      <c r="D92" s="7" t="inlineStr">
        <is>
          <t>Scored</t>
        </is>
      </c>
      <c r="E92" s="8" t="inlineStr">
        <is>
          <t>Three friends — Priya, Diya, Rhea — are lining up for the class photo. Priya is not in the middle. Priya is not first. Diya is not first. Who is in the middle?</t>
        </is>
      </c>
      <c r="F92" s="8" t="inlineStr">
        <is>
          <t>Priya</t>
        </is>
      </c>
      <c r="G92" s="8" t="inlineStr">
        <is>
          <t>Diya</t>
        </is>
      </c>
      <c r="H92" s="8" t="inlineStr">
        <is>
          <t>Rhea</t>
        </is>
      </c>
      <c r="I92" s="8" t="inlineStr">
        <is>
          <t>Cannot be determined</t>
        </is>
      </c>
      <c r="J92" s="7" t="n"/>
      <c r="K92" s="7" t="n"/>
      <c r="L92" s="7" t="n"/>
      <c r="M92" s="7" t="n"/>
      <c r="N92" s="7" t="inlineStr">
        <is>
          <t>B</t>
        </is>
      </c>
      <c r="O92" s="7" t="n"/>
      <c r="P92" s="7" t="n"/>
      <c r="Q92" s="7" t="n"/>
      <c r="R92" s="7" t="n"/>
      <c r="S92" s="7" t="n"/>
      <c r="T92" s="7">
        <f>IF(O92="","",IF(O92=N92,1,0))</f>
        <v/>
      </c>
      <c r="U92" s="8" t="n"/>
    </row>
    <row r="93">
      <c r="A93" s="7" t="n">
        <v>10</v>
      </c>
      <c r="B93" s="7" t="n">
        <v>2</v>
      </c>
      <c r="C93" s="7" t="inlineStr">
        <is>
          <t>Critical Thinking</t>
        </is>
      </c>
      <c r="D93" s="7" t="inlineStr">
        <is>
          <t>Scored</t>
        </is>
      </c>
      <c r="E93" s="8" t="inlineStr">
        <is>
          <t>Zoe says: 'This is the correct answer because it's right.' What's the actual flaw in this reasoning?</t>
        </is>
      </c>
      <c r="F93" s="8" t="inlineStr">
        <is>
          <t>Right and correct mean different things</t>
        </is>
      </c>
      <c r="G93" s="8" t="inlineStr">
        <is>
          <t>She hasn't given any answer</t>
        </is>
      </c>
      <c r="H93" s="8" t="inlineStr">
        <is>
          <t>The answer is definitely wrong</t>
        </is>
      </c>
      <c r="I93" s="8" t="inlineStr">
        <is>
          <t>She's assuming the very thing she's supposed to be proving</t>
        </is>
      </c>
      <c r="J93" s="7" t="n"/>
      <c r="K93" s="7" t="n"/>
      <c r="L93" s="7" t="n"/>
      <c r="M93" s="7" t="n"/>
      <c r="N93" s="7" t="inlineStr">
        <is>
          <t>D</t>
        </is>
      </c>
      <c r="O93" s="7" t="n"/>
      <c r="P93" s="7" t="n"/>
      <c r="Q93" s="7" t="n"/>
      <c r="R93" s="7" t="n"/>
      <c r="S93" s="7" t="n"/>
      <c r="T93" s="7">
        <f>IF(O93="","",IF(O93=N93,1,0))</f>
        <v/>
      </c>
      <c r="U93" s="8" t="n"/>
    </row>
    <row r="94">
      <c r="A94" s="7" t="n">
        <v>10</v>
      </c>
      <c r="B94" s="7" t="n">
        <v>3</v>
      </c>
      <c r="C94" s="7" t="inlineStr">
        <is>
          <t>Decision Making</t>
        </is>
      </c>
      <c r="D94" s="7" t="inlineStr">
        <is>
          <t>Scored</t>
        </is>
      </c>
      <c r="E94" s="8" t="inlineStr">
        <is>
          <t>You have 39 minutes. clean your desk takes 19 minutes, finish your maths worksheet takes 20 minutes, and read a chapter for class takes 26 minutes. You must skip exactly one of them to fit the other two into your 39 minutes. Which should you skip?</t>
        </is>
      </c>
      <c r="F94" s="8" t="inlineStr">
        <is>
          <t>read a chapter for class</t>
        </is>
      </c>
      <c r="G94" s="8" t="inlineStr">
        <is>
          <t>finish your maths worksheet</t>
        </is>
      </c>
      <c r="H94" s="8" t="inlineStr">
        <is>
          <t>clean your desk</t>
        </is>
      </c>
      <c r="I94" s="8" t="inlineStr">
        <is>
          <t>It's impossible to fit any two</t>
        </is>
      </c>
      <c r="J94" s="7" t="n"/>
      <c r="K94" s="7" t="n"/>
      <c r="L94" s="7" t="n"/>
      <c r="M94" s="7" t="n"/>
      <c r="N94" s="7" t="inlineStr">
        <is>
          <t>A</t>
        </is>
      </c>
      <c r="O94" s="7" t="n"/>
      <c r="P94" s="7" t="n"/>
      <c r="Q94" s="7" t="n"/>
      <c r="R94" s="7" t="n"/>
      <c r="S94" s="7" t="n"/>
      <c r="T94" s="7">
        <f>IF(O94="","",IF(O94=N94,1,0))</f>
        <v/>
      </c>
      <c r="U94" s="8" t="n"/>
    </row>
    <row r="95">
      <c r="A95" s="7" t="n">
        <v>10</v>
      </c>
      <c r="B95" s="7" t="n">
        <v>4</v>
      </c>
      <c r="C95" s="7" t="inlineStr">
        <is>
          <t>Mental Math</t>
        </is>
      </c>
      <c r="D95" s="7" t="inlineStr">
        <is>
          <t>Scored</t>
        </is>
      </c>
      <c r="E95" s="8" t="inlineStr">
        <is>
          <t>I'm thinking of a number. If you add 2, then subtract 7, you get 7. What's my number?</t>
        </is>
      </c>
      <c r="F95" s="8" t="inlineStr">
        <is>
          <t>12</t>
        </is>
      </c>
      <c r="G95" s="8" t="inlineStr">
        <is>
          <t>14</t>
        </is>
      </c>
      <c r="H95" s="8" t="inlineStr">
        <is>
          <t>11</t>
        </is>
      </c>
      <c r="I95" s="8" t="inlineStr">
        <is>
          <t>13</t>
        </is>
      </c>
      <c r="J95" s="7" t="n"/>
      <c r="K95" s="7" t="n"/>
      <c r="L95" s="7" t="n"/>
      <c r="M95" s="7" t="n"/>
      <c r="N95" s="7" t="inlineStr">
        <is>
          <t>A</t>
        </is>
      </c>
      <c r="O95" s="7" t="n"/>
      <c r="P95" s="7" t="n"/>
      <c r="Q95" s="7" t="n"/>
      <c r="R95" s="7" t="n"/>
      <c r="S95" s="7" t="n"/>
      <c r="T95" s="7">
        <f>IF(O95="","",IF(O95=N95,1,0))</f>
        <v/>
      </c>
      <c r="U95" s="8" t="n"/>
    </row>
    <row r="96">
      <c r="A96" s="7" t="n">
        <v>10</v>
      </c>
      <c r="B96" s="7" t="n">
        <v>5</v>
      </c>
      <c r="C96" s="7" t="inlineStr">
        <is>
          <t>Cognitive Academia</t>
        </is>
      </c>
      <c r="D96" s="7" t="inlineStr">
        <is>
          <t>Scored</t>
        </is>
      </c>
      <c r="E96" s="8" t="inlineStr">
        <is>
          <t>What comes next in this pattern: 4, 12, 36, 108, ?</t>
        </is>
      </c>
      <c r="F96" s="8" t="inlineStr">
        <is>
          <t>180</t>
        </is>
      </c>
      <c r="G96" s="8" t="inlineStr">
        <is>
          <t>111</t>
        </is>
      </c>
      <c r="H96" s="8" t="inlineStr">
        <is>
          <t>324</t>
        </is>
      </c>
      <c r="I96" s="8" t="inlineStr">
        <is>
          <t>327</t>
        </is>
      </c>
      <c r="J96" s="7" t="n"/>
      <c r="K96" s="7" t="n"/>
      <c r="L96" s="7" t="n"/>
      <c r="M96" s="7" t="n"/>
      <c r="N96" s="7" t="inlineStr">
        <is>
          <t>C</t>
        </is>
      </c>
      <c r="O96" s="7" t="n"/>
      <c r="P96" s="7" t="n"/>
      <c r="Q96" s="7" t="n"/>
      <c r="R96" s="7" t="n"/>
      <c r="S96" s="7" t="n"/>
      <c r="T96" s="7">
        <f>IF(O96="","",IF(O96=N96,1,0))</f>
        <v/>
      </c>
      <c r="U96" s="8" t="n"/>
    </row>
    <row r="97">
      <c r="A97" s="7" t="n">
        <v>10</v>
      </c>
      <c r="B97" s="7" t="n">
        <v>6</v>
      </c>
      <c r="C97" s="7" t="inlineStr">
        <is>
          <t>Leadership / Communication / Emotional &amp; Social</t>
        </is>
      </c>
      <c r="D97" s="7" t="inlineStr">
        <is>
          <t>Self-report (most/least)</t>
        </is>
      </c>
      <c r="E97" s="8" t="inlineStr">
        <is>
          <t>Your team is losing badly in the final minute of the school sports match.</t>
        </is>
      </c>
      <c r="F97" s="8" t="inlineStr">
        <is>
          <t>You'd need more time before reacting at all</t>
        </is>
      </c>
      <c r="G97" s="8" t="inlineStr">
        <is>
          <t>You enjoy having conversations about new topics</t>
        </is>
      </c>
      <c r="H97" s="8" t="inlineStr">
        <is>
          <t>You think about how others might feel before acting</t>
        </is>
      </c>
      <c r="I97" s="8" t="inlineStr">
        <is>
          <t>You feel confident telling others what to do next</t>
        </is>
      </c>
      <c r="J97" s="7" t="inlineStr"/>
      <c r="K97" s="7" t="inlineStr">
        <is>
          <t>CM</t>
        </is>
      </c>
      <c r="L97" s="7" t="inlineStr">
        <is>
          <t>ES</t>
        </is>
      </c>
      <c r="M97" s="7" t="inlineStr">
        <is>
          <t>LD</t>
        </is>
      </c>
      <c r="N97" s="7" t="n"/>
      <c r="O97" s="7" t="n"/>
      <c r="P97" s="7" t="n"/>
      <c r="Q97" s="7" t="n"/>
      <c r="R97" s="7">
        <f>IFERROR(INDEX(J97:M97,MATCH(P97,{"A","B","C","D"},0)),"")</f>
        <v/>
      </c>
      <c r="S97" s="7">
        <f>IFERROR(INDEX(J97:M97,MATCH(Q97,{"A","B","C","D"},0)),"")</f>
        <v/>
      </c>
      <c r="T97" s="7" t="n"/>
      <c r="U97" s="8" t="n"/>
    </row>
    <row r="98">
      <c r="A98" s="7" t="n">
        <v>10</v>
      </c>
      <c r="B98" s="7" t="n">
        <v>7</v>
      </c>
      <c r="C98" s="7" t="inlineStr">
        <is>
          <t>Leadership / Communication / Emotional &amp; Social</t>
        </is>
      </c>
      <c r="D98" s="7" t="inlineStr">
        <is>
          <t>Self-report (most/least)</t>
        </is>
      </c>
      <c r="E98" s="8" t="inlineStr">
        <is>
          <t>You accidentally broke a classmate's model volcano the day before the exhibition.</t>
        </is>
      </c>
      <c r="F98" s="8" t="inlineStr">
        <is>
          <t>You naturally end up making the final decision</t>
        </is>
      </c>
      <c r="G98" s="8" t="inlineStr">
        <is>
          <t>You enjoy helping a friend work through a problem</t>
        </is>
      </c>
      <c r="H98" s="8" t="inlineStr">
        <is>
          <t>You'd rather wait and see what others do first</t>
        </is>
      </c>
      <c r="I98" s="8" t="inlineStr">
        <is>
          <t>You like putting your thoughts into a neat sentence</t>
        </is>
      </c>
      <c r="J98" s="7" t="inlineStr">
        <is>
          <t>LD</t>
        </is>
      </c>
      <c r="K98" s="7" t="inlineStr">
        <is>
          <t>ES</t>
        </is>
      </c>
      <c r="L98" s="7" t="inlineStr"/>
      <c r="M98" s="7" t="inlineStr">
        <is>
          <t>CM</t>
        </is>
      </c>
      <c r="N98" s="7" t="n"/>
      <c r="O98" s="7" t="n"/>
      <c r="P98" s="7" t="n"/>
      <c r="Q98" s="7" t="n"/>
      <c r="R98" s="7">
        <f>IFERROR(INDEX(J98:M98,MATCH(P98,{"A","B","C","D"},0)),"")</f>
        <v/>
      </c>
      <c r="S98" s="7">
        <f>IFERROR(INDEX(J98:M98,MATCH(Q98,{"A","B","C","D"},0)),"")</f>
        <v/>
      </c>
      <c r="T98" s="7" t="n"/>
      <c r="U98" s="8" t="n"/>
    </row>
    <row r="99">
      <c r="A99" s="7" t="n">
        <v>10</v>
      </c>
      <c r="B99" s="7" t="n">
        <v>8</v>
      </c>
      <c r="C99" s="7" t="inlineStr">
        <is>
          <t>Leadership / Communication / Emotional &amp; Social</t>
        </is>
      </c>
      <c r="D99" s="7" t="inlineStr">
        <is>
          <t>Self-report (most/least)</t>
        </is>
      </c>
      <c r="E99" s="8" t="inlineStr">
        <is>
          <t>Everyone in your group wants to do something different for the class mural, and the deadline is tomorrow.</t>
        </is>
      </c>
      <c r="F99" s="8" t="inlineStr">
        <is>
          <t>You explain things clearly so everyone understands</t>
        </is>
      </c>
      <c r="G99" s="8" t="inlineStr">
        <is>
          <t>You'd step back and observe before choosing any of these</t>
        </is>
      </c>
      <c r="H99" s="8" t="inlineStr">
        <is>
          <t>You notice when a friend is feeling upset</t>
        </is>
      </c>
      <c r="I99" s="8" t="inlineStr">
        <is>
          <t>You naturally take charge and decide what the group should do</t>
        </is>
      </c>
      <c r="J99" s="7" t="inlineStr">
        <is>
          <t>CM</t>
        </is>
      </c>
      <c r="K99" s="7" t="inlineStr"/>
      <c r="L99" s="7" t="inlineStr">
        <is>
          <t>ES</t>
        </is>
      </c>
      <c r="M99" s="7" t="inlineStr">
        <is>
          <t>LD</t>
        </is>
      </c>
      <c r="N99" s="7" t="n"/>
      <c r="O99" s="7" t="n"/>
      <c r="P99" s="7" t="n"/>
      <c r="Q99" s="7" t="n"/>
      <c r="R99" s="7">
        <f>IFERROR(INDEX(J99:M99,MATCH(P99,{"A","B","C","D"},0)),"")</f>
        <v/>
      </c>
      <c r="S99" s="7">
        <f>IFERROR(INDEX(J99:M99,MATCH(Q99,{"A","B","C","D"},0)),"")</f>
        <v/>
      </c>
      <c r="T99" s="7" t="n"/>
      <c r="U99" s="8" t="n"/>
    </row>
    <row r="100">
      <c r="A100" s="7" t="n">
        <v>10</v>
      </c>
      <c r="B100" s="7" t="n">
        <v>9</v>
      </c>
      <c r="C100" s="7" t="inlineStr">
        <is>
          <t>Creative Skills</t>
        </is>
      </c>
      <c r="D100" s="7" t="inlineStr">
        <is>
          <t>Open-ended (not auto-scored)</t>
        </is>
      </c>
      <c r="E100" s="8" t="inlineStr">
        <is>
          <t>Invent a new flavour of ice cream that has never existed. What's in it and what would you call it?</t>
        </is>
      </c>
      <c r="F100" s="8" t="n"/>
      <c r="G100" s="8" t="n"/>
      <c r="H100" s="8" t="n"/>
      <c r="I100" s="8" t="n"/>
      <c r="J100" s="7" t="n"/>
      <c r="K100" s="7" t="n"/>
      <c r="L100" s="7" t="n"/>
      <c r="M100" s="7" t="n"/>
      <c r="N100" s="7" t="n"/>
      <c r="O100" s="7" t="n"/>
      <c r="P100" s="7" t="n"/>
      <c r="Q100" s="7" t="n"/>
      <c r="R100" s="7" t="n"/>
      <c r="S100" s="7" t="n"/>
      <c r="T100" s="7" t="n"/>
      <c r="U100" s="8" t="n"/>
    </row>
    <row r="101">
      <c r="A101" s="7" t="n">
        <v>10</v>
      </c>
      <c r="B101" s="7" t="n">
        <v>10</v>
      </c>
      <c r="C101" s="7" t="inlineStr">
        <is>
          <t>Listening Skills</t>
        </is>
      </c>
      <c r="D101" s="7" t="inlineStr">
        <is>
          <t>Scored</t>
        </is>
      </c>
      <c r="E101" s="8" t="inlineStr">
        <is>
          <t>[Read once, then answer without re-reading] “During the science experiment, the group measured the water, added the powder, and then watched it change colour.”  ||  What happened first?</t>
        </is>
      </c>
      <c r="F101" s="8" t="inlineStr">
        <is>
          <t>added the powder</t>
        </is>
      </c>
      <c r="G101" s="8" t="inlineStr">
        <is>
          <t>measured the water</t>
        </is>
      </c>
      <c r="H101" s="8" t="inlineStr">
        <is>
          <t>wrote a lab report</t>
        </is>
      </c>
      <c r="I101" s="8" t="inlineStr">
        <is>
          <t>watched it change colour</t>
        </is>
      </c>
      <c r="J101" s="7" t="n"/>
      <c r="K101" s="7" t="n"/>
      <c r="L101" s="7" t="n"/>
      <c r="M101" s="7" t="n"/>
      <c r="N101" s="7" t="inlineStr">
        <is>
          <t>B</t>
        </is>
      </c>
      <c r="O101" s="7" t="n"/>
      <c r="P101" s="7" t="n"/>
      <c r="Q101" s="7" t="n"/>
      <c r="R101" s="7" t="n"/>
      <c r="S101" s="7" t="n"/>
      <c r="T101" s="7">
        <f>IF(O101="","",IF(O101=N101,1,0))</f>
        <v/>
      </c>
      <c r="U101" s="8" t="n"/>
    </row>
    <row r="104">
      <c r="A104" s="9" t="inlineStr">
        <is>
          <t>Scoring summary — fill answers above, then read results below. Creative (last column) is for manual review.</t>
        </is>
      </c>
    </row>
    <row r="105">
      <c r="A105" s="10" t="inlineStr">
        <is>
          <t>Set</t>
        </is>
      </c>
      <c r="B105" s="10" t="inlineStr">
        <is>
          <t>Problem Solving</t>
        </is>
      </c>
      <c r="C105" s="10" t="inlineStr">
        <is>
          <t>Critical Thinking</t>
        </is>
      </c>
      <c r="D105" s="10" t="inlineStr">
        <is>
          <t>Decision Making</t>
        </is>
      </c>
      <c r="E105" s="10" t="inlineStr">
        <is>
          <t>Mental Math</t>
        </is>
      </c>
      <c r="F105" s="10" t="inlineStr">
        <is>
          <t>Cognitive Academia</t>
        </is>
      </c>
      <c r="G105" s="10" t="inlineStr">
        <is>
          <t>Listening</t>
        </is>
      </c>
      <c r="H105" s="10" t="inlineStr">
        <is>
          <t>Leadership</t>
        </is>
      </c>
      <c r="I105" s="10" t="inlineStr">
        <is>
          <t>Communication</t>
        </is>
      </c>
      <c r="J105" s="10" t="inlineStr">
        <is>
          <t>Emotional &amp; Social</t>
        </is>
      </c>
      <c r="K105" s="10" t="inlineStr">
        <is>
          <t>Top strength</t>
        </is>
      </c>
    </row>
    <row r="106">
      <c r="A106" s="11" t="n">
        <v>1</v>
      </c>
      <c r="B106" s="12">
        <f>IF(O2="",0,IF(O2=N2,100,0))</f>
        <v/>
      </c>
      <c r="C106" s="12">
        <f>IF(O3="",0,IF(O3=N3,100,0))</f>
        <v/>
      </c>
      <c r="D106" s="12">
        <f>IF(O4="",0,IF(O4=N4,100,0))</f>
        <v/>
      </c>
      <c r="E106" s="12">
        <f>IF(O5="",0,IF(O5=N5,100,0))</f>
        <v/>
      </c>
      <c r="F106" s="12">
        <f>IF(O6="",0,IF(O6=N6,100,0))</f>
        <v/>
      </c>
      <c r="G106" s="12">
        <f>IF(O11="",0,IF(O11=N11,100,0))</f>
        <v/>
      </c>
      <c r="H106" s="12">
        <f>((((--(R7="LD"))-(--(S7="LD")))+((--(R8="LD"))-(--(S8="LD")))+((--(R9="LD"))-(--(S9="LD"))))+3)/6*100</f>
        <v/>
      </c>
      <c r="I106" s="12">
        <f>((((--(R7="CM"))-(--(S7="CM")))+((--(R8="CM"))-(--(S8="CM")))+((--(R9="CM"))-(--(S9="CM"))))+3)/6*100</f>
        <v/>
      </c>
      <c r="J106" s="12">
        <f>((((--(R7="ES"))-(--(S7="ES")))+((--(R8="ES"))-(--(S8="ES")))+((--(R9="ES"))-(--(S9="ES"))))+3)/6*100</f>
        <v/>
      </c>
      <c r="K106" s="12">
        <f>INDEX({"Problem Solving";"Critical Thinking";"Decision Making";"Mental Math";"Cognitive Academia";"Listening";"Leadership";"Communication";"Emotional &amp; Social"},MATCH(MAX(B106:J106),B106:J106,0))</f>
        <v/>
      </c>
    </row>
    <row r="107">
      <c r="A107" s="11" t="n">
        <v>2</v>
      </c>
      <c r="B107" s="12">
        <f>IF(O12="",0,IF(O12=N12,100,0))</f>
        <v/>
      </c>
      <c r="C107" s="12">
        <f>IF(O13="",0,IF(O13=N13,100,0))</f>
        <v/>
      </c>
      <c r="D107" s="12">
        <f>IF(O14="",0,IF(O14=N14,100,0))</f>
        <v/>
      </c>
      <c r="E107" s="12">
        <f>IF(O15="",0,IF(O15=N15,100,0))</f>
        <v/>
      </c>
      <c r="F107" s="12">
        <f>IF(O16="",0,IF(O16=N16,100,0))</f>
        <v/>
      </c>
      <c r="G107" s="12">
        <f>IF(O21="",0,IF(O21=N21,100,0))</f>
        <v/>
      </c>
      <c r="H107" s="12">
        <f>((((--(R17="LD"))-(--(S17="LD")))+((--(R18="LD"))-(--(S18="LD")))+((--(R19="LD"))-(--(S19="LD"))))+3)/6*100</f>
        <v/>
      </c>
      <c r="I107" s="12">
        <f>((((--(R17="CM"))-(--(S17="CM")))+((--(R18="CM"))-(--(S18="CM")))+((--(R19="CM"))-(--(S19="CM"))))+3)/6*100</f>
        <v/>
      </c>
      <c r="J107" s="12">
        <f>((((--(R17="ES"))-(--(S17="ES")))+((--(R18="ES"))-(--(S18="ES")))+((--(R19="ES"))-(--(S19="ES"))))+3)/6*100</f>
        <v/>
      </c>
      <c r="K107" s="12">
        <f>INDEX({"Problem Solving";"Critical Thinking";"Decision Making";"Mental Math";"Cognitive Academia";"Listening";"Leadership";"Communication";"Emotional &amp; Social"},MATCH(MAX(B107:J107),B107:J107,0))</f>
        <v/>
      </c>
    </row>
    <row r="108">
      <c r="A108" s="11" t="n">
        <v>3</v>
      </c>
      <c r="B108" s="12">
        <f>IF(O22="",0,IF(O22=N22,100,0))</f>
        <v/>
      </c>
      <c r="C108" s="12">
        <f>IF(O23="",0,IF(O23=N23,100,0))</f>
        <v/>
      </c>
      <c r="D108" s="12">
        <f>IF(O24="",0,IF(O24=N24,100,0))</f>
        <v/>
      </c>
      <c r="E108" s="12">
        <f>IF(O25="",0,IF(O25=N25,100,0))</f>
        <v/>
      </c>
      <c r="F108" s="12">
        <f>IF(O26="",0,IF(O26=N26,100,0))</f>
        <v/>
      </c>
      <c r="G108" s="12">
        <f>IF(O31="",0,IF(O31=N31,100,0))</f>
        <v/>
      </c>
      <c r="H108" s="12">
        <f>((((--(R27="LD"))-(--(S27="LD")))+((--(R28="LD"))-(--(S28="LD")))+((--(R29="LD"))-(--(S29="LD"))))+3)/6*100</f>
        <v/>
      </c>
      <c r="I108" s="12">
        <f>((((--(R27="CM"))-(--(S27="CM")))+((--(R28="CM"))-(--(S28="CM")))+((--(R29="CM"))-(--(S29="CM"))))+3)/6*100</f>
        <v/>
      </c>
      <c r="J108" s="12">
        <f>((((--(R27="ES"))-(--(S27="ES")))+((--(R28="ES"))-(--(S28="ES")))+((--(R29="ES"))-(--(S29="ES"))))+3)/6*100</f>
        <v/>
      </c>
      <c r="K108" s="12">
        <f>INDEX({"Problem Solving";"Critical Thinking";"Decision Making";"Mental Math";"Cognitive Academia";"Listening";"Leadership";"Communication";"Emotional &amp; Social"},MATCH(MAX(B108:J108),B108:J108,0))</f>
        <v/>
      </c>
    </row>
    <row r="109">
      <c r="A109" s="11" t="n">
        <v>4</v>
      </c>
      <c r="B109" s="12">
        <f>IF(O32="",0,IF(O32=N32,100,0))</f>
        <v/>
      </c>
      <c r="C109" s="12">
        <f>IF(O33="",0,IF(O33=N33,100,0))</f>
        <v/>
      </c>
      <c r="D109" s="12">
        <f>IF(O34="",0,IF(O34=N34,100,0))</f>
        <v/>
      </c>
      <c r="E109" s="12">
        <f>IF(O35="",0,IF(O35=N35,100,0))</f>
        <v/>
      </c>
      <c r="F109" s="12">
        <f>IF(O36="",0,IF(O36=N36,100,0))</f>
        <v/>
      </c>
      <c r="G109" s="12">
        <f>IF(O41="",0,IF(O41=N41,100,0))</f>
        <v/>
      </c>
      <c r="H109" s="12">
        <f>((((--(R37="LD"))-(--(S37="LD")))+((--(R38="LD"))-(--(S38="LD")))+((--(R39="LD"))-(--(S39="LD"))))+3)/6*100</f>
        <v/>
      </c>
      <c r="I109" s="12">
        <f>((((--(R37="CM"))-(--(S37="CM")))+((--(R38="CM"))-(--(S38="CM")))+((--(R39="CM"))-(--(S39="CM"))))+3)/6*100</f>
        <v/>
      </c>
      <c r="J109" s="12">
        <f>((((--(R37="ES"))-(--(S37="ES")))+((--(R38="ES"))-(--(S38="ES")))+((--(R39="ES"))-(--(S39="ES"))))+3)/6*100</f>
        <v/>
      </c>
      <c r="K109" s="12">
        <f>INDEX({"Problem Solving";"Critical Thinking";"Decision Making";"Mental Math";"Cognitive Academia";"Listening";"Leadership";"Communication";"Emotional &amp; Social"},MATCH(MAX(B109:J109),B109:J109,0))</f>
        <v/>
      </c>
    </row>
    <row r="110">
      <c r="A110" s="11" t="n">
        <v>5</v>
      </c>
      <c r="B110" s="12">
        <f>IF(O42="",0,IF(O42=N42,100,0))</f>
        <v/>
      </c>
      <c r="C110" s="12">
        <f>IF(O43="",0,IF(O43=N43,100,0))</f>
        <v/>
      </c>
      <c r="D110" s="12">
        <f>IF(O44="",0,IF(O44=N44,100,0))</f>
        <v/>
      </c>
      <c r="E110" s="12">
        <f>IF(O45="",0,IF(O45=N45,100,0))</f>
        <v/>
      </c>
      <c r="F110" s="12">
        <f>IF(O46="",0,IF(O46=N46,100,0))</f>
        <v/>
      </c>
      <c r="G110" s="12">
        <f>IF(O51="",0,IF(O51=N51,100,0))</f>
        <v/>
      </c>
      <c r="H110" s="12">
        <f>((((--(R47="LD"))-(--(S47="LD")))+((--(R48="LD"))-(--(S48="LD")))+((--(R49="LD"))-(--(S49="LD"))))+3)/6*100</f>
        <v/>
      </c>
      <c r="I110" s="12">
        <f>((((--(R47="CM"))-(--(S47="CM")))+((--(R48="CM"))-(--(S48="CM")))+((--(R49="CM"))-(--(S49="CM"))))+3)/6*100</f>
        <v/>
      </c>
      <c r="J110" s="12">
        <f>((((--(R47="ES"))-(--(S47="ES")))+((--(R48="ES"))-(--(S48="ES")))+((--(R49="ES"))-(--(S49="ES"))))+3)/6*100</f>
        <v/>
      </c>
      <c r="K110" s="12">
        <f>INDEX({"Problem Solving";"Critical Thinking";"Decision Making";"Mental Math";"Cognitive Academia";"Listening";"Leadership";"Communication";"Emotional &amp; Social"},MATCH(MAX(B110:J110),B110:J110,0))</f>
        <v/>
      </c>
    </row>
    <row r="111">
      <c r="A111" s="11" t="n">
        <v>6</v>
      </c>
      <c r="B111" s="12">
        <f>IF(O52="",0,IF(O52=N52,100,0))</f>
        <v/>
      </c>
      <c r="C111" s="12">
        <f>IF(O53="",0,IF(O53=N53,100,0))</f>
        <v/>
      </c>
      <c r="D111" s="12">
        <f>IF(O54="",0,IF(O54=N54,100,0))</f>
        <v/>
      </c>
      <c r="E111" s="12">
        <f>IF(O55="",0,IF(O55=N55,100,0))</f>
        <v/>
      </c>
      <c r="F111" s="12">
        <f>IF(O56="",0,IF(O56=N56,100,0))</f>
        <v/>
      </c>
      <c r="G111" s="12">
        <f>IF(O61="",0,IF(O61=N61,100,0))</f>
        <v/>
      </c>
      <c r="H111" s="12">
        <f>((((--(R57="LD"))-(--(S57="LD")))+((--(R58="LD"))-(--(S58="LD")))+((--(R59="LD"))-(--(S59="LD"))))+3)/6*100</f>
        <v/>
      </c>
      <c r="I111" s="12">
        <f>((((--(R57="CM"))-(--(S57="CM")))+((--(R58="CM"))-(--(S58="CM")))+((--(R59="CM"))-(--(S59="CM"))))+3)/6*100</f>
        <v/>
      </c>
      <c r="J111" s="12">
        <f>((((--(R57="ES"))-(--(S57="ES")))+((--(R58="ES"))-(--(S58="ES")))+((--(R59="ES"))-(--(S59="ES"))))+3)/6*100</f>
        <v/>
      </c>
      <c r="K111" s="12">
        <f>INDEX({"Problem Solving";"Critical Thinking";"Decision Making";"Mental Math";"Cognitive Academia";"Listening";"Leadership";"Communication";"Emotional &amp; Social"},MATCH(MAX(B111:J111),B111:J111,0))</f>
        <v/>
      </c>
    </row>
    <row r="112">
      <c r="A112" s="11" t="n">
        <v>7</v>
      </c>
      <c r="B112" s="12">
        <f>IF(O62="",0,IF(O62=N62,100,0))</f>
        <v/>
      </c>
      <c r="C112" s="12">
        <f>IF(O63="",0,IF(O63=N63,100,0))</f>
        <v/>
      </c>
      <c r="D112" s="12">
        <f>IF(O64="",0,IF(O64=N64,100,0))</f>
        <v/>
      </c>
      <c r="E112" s="12">
        <f>IF(O65="",0,IF(O65=N65,100,0))</f>
        <v/>
      </c>
      <c r="F112" s="12">
        <f>IF(O66="",0,IF(O66=N66,100,0))</f>
        <v/>
      </c>
      <c r="G112" s="12">
        <f>IF(O71="",0,IF(O71=N71,100,0))</f>
        <v/>
      </c>
      <c r="H112" s="12">
        <f>((((--(R67="LD"))-(--(S67="LD")))+((--(R68="LD"))-(--(S68="LD")))+((--(R69="LD"))-(--(S69="LD"))))+3)/6*100</f>
        <v/>
      </c>
      <c r="I112" s="12">
        <f>((((--(R67="CM"))-(--(S67="CM")))+((--(R68="CM"))-(--(S68="CM")))+((--(R69="CM"))-(--(S69="CM"))))+3)/6*100</f>
        <v/>
      </c>
      <c r="J112" s="12">
        <f>((((--(R67="ES"))-(--(S67="ES")))+((--(R68="ES"))-(--(S68="ES")))+((--(R69="ES"))-(--(S69="ES"))))+3)/6*100</f>
        <v/>
      </c>
      <c r="K112" s="12">
        <f>INDEX({"Problem Solving";"Critical Thinking";"Decision Making";"Mental Math";"Cognitive Academia";"Listening";"Leadership";"Communication";"Emotional &amp; Social"},MATCH(MAX(B112:J112),B112:J112,0))</f>
        <v/>
      </c>
    </row>
    <row r="113">
      <c r="A113" s="11" t="n">
        <v>8</v>
      </c>
      <c r="B113" s="12">
        <f>IF(O72="",0,IF(O72=N72,100,0))</f>
        <v/>
      </c>
      <c r="C113" s="12">
        <f>IF(O73="",0,IF(O73=N73,100,0))</f>
        <v/>
      </c>
      <c r="D113" s="12">
        <f>IF(O74="",0,IF(O74=N74,100,0))</f>
        <v/>
      </c>
      <c r="E113" s="12">
        <f>IF(O75="",0,IF(O75=N75,100,0))</f>
        <v/>
      </c>
      <c r="F113" s="12">
        <f>IF(O76="",0,IF(O76=N76,100,0))</f>
        <v/>
      </c>
      <c r="G113" s="12">
        <f>IF(O81="",0,IF(O81=N81,100,0))</f>
        <v/>
      </c>
      <c r="H113" s="12">
        <f>((((--(R77="LD"))-(--(S77="LD")))+((--(R78="LD"))-(--(S78="LD")))+((--(R79="LD"))-(--(S79="LD"))))+3)/6*100</f>
        <v/>
      </c>
      <c r="I113" s="12">
        <f>((((--(R77="CM"))-(--(S77="CM")))+((--(R78="CM"))-(--(S78="CM")))+((--(R79="CM"))-(--(S79="CM"))))+3)/6*100</f>
        <v/>
      </c>
      <c r="J113" s="12">
        <f>((((--(R77="ES"))-(--(S77="ES")))+((--(R78="ES"))-(--(S78="ES")))+((--(R79="ES"))-(--(S79="ES"))))+3)/6*100</f>
        <v/>
      </c>
      <c r="K113" s="12">
        <f>INDEX({"Problem Solving";"Critical Thinking";"Decision Making";"Mental Math";"Cognitive Academia";"Listening";"Leadership";"Communication";"Emotional &amp; Social"},MATCH(MAX(B113:J113),B113:J113,0))</f>
        <v/>
      </c>
    </row>
    <row r="114">
      <c r="A114" s="11" t="n">
        <v>9</v>
      </c>
      <c r="B114" s="12">
        <f>IF(O82="",0,IF(O82=N82,100,0))</f>
        <v/>
      </c>
      <c r="C114" s="12">
        <f>IF(O83="",0,IF(O83=N83,100,0))</f>
        <v/>
      </c>
      <c r="D114" s="12">
        <f>IF(O84="",0,IF(O84=N84,100,0))</f>
        <v/>
      </c>
      <c r="E114" s="12">
        <f>IF(O85="",0,IF(O85=N85,100,0))</f>
        <v/>
      </c>
      <c r="F114" s="12">
        <f>IF(O86="",0,IF(O86=N86,100,0))</f>
        <v/>
      </c>
      <c r="G114" s="12">
        <f>IF(O91="",0,IF(O91=N91,100,0))</f>
        <v/>
      </c>
      <c r="H114" s="12">
        <f>((((--(R87="LD"))-(--(S87="LD")))+((--(R88="LD"))-(--(S88="LD")))+((--(R89="LD"))-(--(S89="LD"))))+3)/6*100</f>
        <v/>
      </c>
      <c r="I114" s="12">
        <f>((((--(R87="CM"))-(--(S87="CM")))+((--(R88="CM"))-(--(S88="CM")))+((--(R89="CM"))-(--(S89="CM"))))+3)/6*100</f>
        <v/>
      </c>
      <c r="J114" s="12">
        <f>((((--(R87="ES"))-(--(S87="ES")))+((--(R88="ES"))-(--(S88="ES")))+((--(R89="ES"))-(--(S89="ES"))))+3)/6*100</f>
        <v/>
      </c>
      <c r="K114" s="12">
        <f>INDEX({"Problem Solving";"Critical Thinking";"Decision Making";"Mental Math";"Cognitive Academia";"Listening";"Leadership";"Communication";"Emotional &amp; Social"},MATCH(MAX(B114:J114),B114:J114,0))</f>
        <v/>
      </c>
    </row>
    <row r="115">
      <c r="A115" s="11" t="n">
        <v>10</v>
      </c>
      <c r="B115" s="12">
        <f>IF(O92="",0,IF(O92=N92,100,0))</f>
        <v/>
      </c>
      <c r="C115" s="12">
        <f>IF(O93="",0,IF(O93=N93,100,0))</f>
        <v/>
      </c>
      <c r="D115" s="12">
        <f>IF(O94="",0,IF(O94=N94,100,0))</f>
        <v/>
      </c>
      <c r="E115" s="12">
        <f>IF(O95="",0,IF(O95=N95,100,0))</f>
        <v/>
      </c>
      <c r="F115" s="12">
        <f>IF(O96="",0,IF(O96=N96,100,0))</f>
        <v/>
      </c>
      <c r="G115" s="12">
        <f>IF(O101="",0,IF(O101=N101,100,0))</f>
        <v/>
      </c>
      <c r="H115" s="12">
        <f>((((--(R97="LD"))-(--(S97="LD")))+((--(R98="LD"))-(--(S98="LD")))+((--(R99="LD"))-(--(S99="LD"))))+3)/6*100</f>
        <v/>
      </c>
      <c r="I115" s="12">
        <f>((((--(R97="CM"))-(--(S97="CM")))+((--(R98="CM"))-(--(S98="CM")))+((--(R99="CM"))-(--(S99="CM"))))+3)/6*100</f>
        <v/>
      </c>
      <c r="J115" s="12">
        <f>((((--(R97="ES"))-(--(S97="ES")))+((--(R98="ES"))-(--(S98="ES")))+((--(R99="ES"))-(--(S99="ES"))))+3)/6*100</f>
        <v/>
      </c>
      <c r="K115" s="12">
        <f>INDEX({"Problem Solving";"Critical Thinking";"Decision Making";"Mental Math";"Cognitive Academia";"Listening";"Leadership";"Communication";"Emotional &amp; Social"},MATCH(MAX(B115:J115),B115:J115,0))</f>
        <v/>
      </c>
    </row>
  </sheetData>
  <mergeCells count="1">
    <mergeCell ref="A104:K104"/>
  </mergeCells>
  <dataValidations count="1">
    <dataValidation sqref="O2 O3 O4 O5 O6 O11 O12 O13 O14 O15 O16 O21 O22 O23 O24 O25 O26 O31 O32 O33 O34 O35 O36 O41 O42 O43 O44 O45 O46 O51 O52 O53 O54 O55 O56 O61 O62 O63 O64 O65 O66 O71 O72 O73 O74 O75 O76 O81 O82 O83 O84 O85 O86 O91 O92 O93 O94 O95 O96 O101 P7 P8 P9 P17 P18 P19 P27 P28 P29 P37 P38 P39 P47 P48 P49 P57 P58 P59 P67 P68 P69 P77 P78 P79 P87 P88 P89 P97 P98 P99 Q7 Q8 Q9 Q17 Q18 Q19 Q27 Q28 Q29 Q37 Q38 Q39 Q47 Q48 Q49 Q57 Q58 Q59 Q67 Q68 Q69 Q77 Q78 Q79 Q87 Q88 Q89 Q97 Q98 Q99" showDropDown="0" showInputMessage="0" showErrorMessage="0" allowBlank="1" type="list">
      <formula1>"A,B,C,D"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15"/>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4" customWidth="1" min="2" max="2"/>
    <col width="16" customWidth="1" min="3" max="3"/>
    <col width="20" customWidth="1" min="4" max="4"/>
    <col width="44" customWidth="1" min="5" max="5"/>
    <col width="26" customWidth="1" min="6" max="6"/>
    <col width="26" customWidth="1" min="7" max="7"/>
    <col width="26" customWidth="1" min="8" max="8"/>
    <col width="26" customWidth="1" min="9" max="9"/>
    <col width="9" customWidth="1" min="10" max="10"/>
    <col width="9" customWidth="1" min="11" max="11"/>
    <col width="9" customWidth="1" min="12" max="12"/>
    <col width="9" customWidth="1" min="13" max="13"/>
    <col width="9" customWidth="1" min="14" max="14"/>
    <col width="11" customWidth="1" min="15" max="15"/>
    <col width="9" customWidth="1" min="16" max="16"/>
    <col width="9" customWidth="1" min="17" max="17"/>
    <col width="11" customWidth="1" min="18" max="18"/>
    <col width="11" customWidth="1" min="19" max="19"/>
    <col width="9" customWidth="1" min="20" max="20"/>
    <col width="34" customWidth="1" min="21" max="21"/>
  </cols>
  <sheetData>
    <row r="1">
      <c r="A1" s="4" t="inlineStr">
        <is>
          <t>Set</t>
        </is>
      </c>
      <c r="B1" s="4" t="inlineStr">
        <is>
          <t>Q</t>
        </is>
      </c>
      <c r="C1" s="4" t="inlineStr">
        <is>
          <t>Domain</t>
        </is>
      </c>
      <c r="D1" s="4" t="inlineStr">
        <is>
          <t>Type</t>
        </is>
      </c>
      <c r="E1" s="4" t="inlineStr">
        <is>
          <t>Prompt / Situation</t>
        </is>
      </c>
      <c r="F1" s="4" t="inlineStr">
        <is>
          <t>Option A</t>
        </is>
      </c>
      <c r="G1" s="4" t="inlineStr">
        <is>
          <t>Option B</t>
        </is>
      </c>
      <c r="H1" s="4" t="inlineStr">
        <is>
          <t>Option C</t>
        </is>
      </c>
      <c r="I1" s="4" t="inlineStr">
        <is>
          <t>Option D</t>
        </is>
      </c>
      <c r="J1" s="4" t="inlineStr">
        <is>
          <t>Domain A</t>
        </is>
      </c>
      <c r="K1" s="4" t="inlineStr">
        <is>
          <t>Domain B</t>
        </is>
      </c>
      <c r="L1" s="4" t="inlineStr">
        <is>
          <t>Domain C</t>
        </is>
      </c>
      <c r="M1" s="4" t="inlineStr">
        <is>
          <t>Domain D</t>
        </is>
      </c>
      <c r="N1" s="4" t="inlineStr">
        <is>
          <t>Correct answer</t>
        </is>
      </c>
      <c r="O1" s="4" t="inlineStr">
        <is>
          <t>Your answer (scored items)</t>
        </is>
      </c>
      <c r="P1" s="4" t="inlineStr">
        <is>
          <t>Most (self-report)</t>
        </is>
      </c>
      <c r="Q1" s="4" t="inlineStr">
        <is>
          <t>Least (self-report)</t>
        </is>
      </c>
      <c r="R1" s="4" t="inlineStr">
        <is>
          <t>Most domain</t>
        </is>
      </c>
      <c r="S1" s="4" t="inlineStr">
        <is>
          <t>Least domain</t>
        </is>
      </c>
      <c r="T1" s="4" t="inlineStr">
        <is>
          <t>Correct? (0/1)</t>
        </is>
      </c>
      <c r="U1" s="4" t="inlineStr">
        <is>
          <t>Open response (creative — not auto-scored)</t>
        </is>
      </c>
    </row>
    <row r="2">
      <c r="A2" s="5" t="n">
        <v>1</v>
      </c>
      <c r="B2" s="5" t="n">
        <v>1</v>
      </c>
      <c r="C2" s="5" t="inlineStr">
        <is>
          <t>Problem Solving</t>
        </is>
      </c>
      <c r="D2" s="5" t="inlineStr">
        <is>
          <t>Scored</t>
        </is>
      </c>
      <c r="E2" s="6" t="inlineStr">
        <is>
          <t>Three classmates — Jyoti, Aisha, Maya — are presenting their projects in order. Maya is not last. Jyoti is not in the middle. Maya is not first. Aisha is not first. Who is in the middle?</t>
        </is>
      </c>
      <c r="F2" s="6" t="inlineStr">
        <is>
          <t>Jyoti</t>
        </is>
      </c>
      <c r="G2" s="6" t="inlineStr">
        <is>
          <t>Aisha</t>
        </is>
      </c>
      <c r="H2" s="6" t="inlineStr">
        <is>
          <t>Maya</t>
        </is>
      </c>
      <c r="I2" s="6" t="inlineStr">
        <is>
          <t>Cannot be determined</t>
        </is>
      </c>
      <c r="J2" s="5" t="n"/>
      <c r="K2" s="5" t="n"/>
      <c r="L2" s="5" t="n"/>
      <c r="M2" s="5" t="n"/>
      <c r="N2" s="5" t="inlineStr">
        <is>
          <t>C</t>
        </is>
      </c>
      <c r="O2" s="5" t="n"/>
      <c r="P2" s="5" t="n"/>
      <c r="Q2" s="5" t="n"/>
      <c r="R2" s="5" t="n"/>
      <c r="S2" s="5" t="n"/>
      <c r="T2" s="5">
        <f>IF(O2="","",IF(O2=N2,1,0))</f>
        <v/>
      </c>
      <c r="U2" s="6" t="n"/>
    </row>
    <row r="3">
      <c r="A3" s="5" t="n">
        <v>1</v>
      </c>
      <c r="B3" s="5" t="n">
        <v>2</v>
      </c>
      <c r="C3" s="5" t="inlineStr">
        <is>
          <t>Critical Thinking</t>
        </is>
      </c>
      <c r="D3" s="5" t="inlineStr">
        <is>
          <t>Scored</t>
        </is>
      </c>
      <c r="E3" s="6" t="inlineStr">
        <is>
          <t>Aman noticed that ice cream sales and drowning accidents both rise in summer, and claims: 'Ice cream causes drowning.' What's the actual flaw in this reasoning?</t>
        </is>
      </c>
      <c r="F3" s="6" t="inlineStr">
        <is>
          <t>Ice cream cannot be sold in summer</t>
        </is>
      </c>
      <c r="G3" s="6" t="inlineStr">
        <is>
          <t>He's mistaking two things that rise together for one causing the other</t>
        </is>
      </c>
      <c r="H3" s="6" t="inlineStr">
        <is>
          <t>Drowning only happens in winter</t>
        </is>
      </c>
      <c r="I3" s="6" t="inlineStr">
        <is>
          <t>Ice cream sales never rise in summer</t>
        </is>
      </c>
      <c r="J3" s="5" t="n"/>
      <c r="K3" s="5" t="n"/>
      <c r="L3" s="5" t="n"/>
      <c r="M3" s="5" t="n"/>
      <c r="N3" s="5" t="inlineStr">
        <is>
          <t>B</t>
        </is>
      </c>
      <c r="O3" s="5" t="n"/>
      <c r="P3" s="5" t="n"/>
      <c r="Q3" s="5" t="n"/>
      <c r="R3" s="5" t="n"/>
      <c r="S3" s="5" t="n"/>
      <c r="T3" s="5">
        <f>IF(O3="","",IF(O3=N3,1,0))</f>
        <v/>
      </c>
      <c r="U3" s="6" t="n"/>
    </row>
    <row r="4">
      <c r="A4" s="5" t="n">
        <v>1</v>
      </c>
      <c r="B4" s="5" t="n">
        <v>3</v>
      </c>
      <c r="C4" s="5" t="inlineStr">
        <is>
          <t>Decision Making</t>
        </is>
      </c>
      <c r="D4" s="5" t="inlineStr">
        <is>
          <t>Scored</t>
        </is>
      </c>
      <c r="E4" s="6" t="inlineStr">
        <is>
          <t>You only have time for ONE of these right now. Which gives the best value for the effort it takes?</t>
        </is>
      </c>
      <c r="F4" s="6" t="inlineStr">
        <is>
          <t>prepare for the debate (effort 4, value 14)</t>
        </is>
      </c>
      <c r="G4" s="6" t="inlineStr">
        <is>
          <t>revise for the quiz (effort 3, value 3)</t>
        </is>
      </c>
      <c r="H4" s="6" t="inlineStr">
        <is>
          <t>submit your history essay (effort 6, value 18)</t>
        </is>
      </c>
      <c r="I4" s="6" t="inlineStr">
        <is>
          <t>They are all equally good choices</t>
        </is>
      </c>
      <c r="J4" s="5" t="n"/>
      <c r="K4" s="5" t="n"/>
      <c r="L4" s="5" t="n"/>
      <c r="M4" s="5" t="n"/>
      <c r="N4" s="5" t="inlineStr">
        <is>
          <t>A</t>
        </is>
      </c>
      <c r="O4" s="5" t="n"/>
      <c r="P4" s="5" t="n"/>
      <c r="Q4" s="5" t="n"/>
      <c r="R4" s="5" t="n"/>
      <c r="S4" s="5" t="n"/>
      <c r="T4" s="5">
        <f>IF(O4="","",IF(O4=N4,1,0))</f>
        <v/>
      </c>
      <c r="U4" s="6" t="n"/>
    </row>
    <row r="5">
      <c r="A5" s="5" t="n">
        <v>1</v>
      </c>
      <c r="B5" s="5" t="n">
        <v>4</v>
      </c>
      <c r="C5" s="5" t="inlineStr">
        <is>
          <t>Mental Math</t>
        </is>
      </c>
      <c r="D5" s="5" t="inlineStr">
        <is>
          <t>Scored</t>
        </is>
      </c>
      <c r="E5" s="6" t="inlineStr">
        <is>
          <t>I'm thinking of a number. If you add 8, then double it, you get 56. What's my number?</t>
        </is>
      </c>
      <c r="F5" s="6" t="inlineStr">
        <is>
          <t>21</t>
        </is>
      </c>
      <c r="G5" s="6" t="inlineStr">
        <is>
          <t>22</t>
        </is>
      </c>
      <c r="H5" s="6" t="inlineStr">
        <is>
          <t>19</t>
        </is>
      </c>
      <c r="I5" s="6" t="inlineStr">
        <is>
          <t>20</t>
        </is>
      </c>
      <c r="J5" s="5" t="n"/>
      <c r="K5" s="5" t="n"/>
      <c r="L5" s="5" t="n"/>
      <c r="M5" s="5" t="n"/>
      <c r="N5" s="5" t="inlineStr">
        <is>
          <t>D</t>
        </is>
      </c>
      <c r="O5" s="5" t="n"/>
      <c r="P5" s="5" t="n"/>
      <c r="Q5" s="5" t="n"/>
      <c r="R5" s="5" t="n"/>
      <c r="S5" s="5" t="n"/>
      <c r="T5" s="5">
        <f>IF(O5="","",IF(O5=N5,1,0))</f>
        <v/>
      </c>
      <c r="U5" s="6" t="n"/>
    </row>
    <row r="6">
      <c r="A6" s="5" t="n">
        <v>1</v>
      </c>
      <c r="B6" s="5" t="n">
        <v>5</v>
      </c>
      <c r="C6" s="5" t="inlineStr">
        <is>
          <t>Cognitive Academia</t>
        </is>
      </c>
      <c r="D6" s="5" t="inlineStr">
        <is>
          <t>Scored</t>
        </is>
      </c>
      <c r="E6" s="6" t="inlineStr">
        <is>
          <t>What comes next in this pattern: 5, 10, 20, 40, ?</t>
        </is>
      </c>
      <c r="F6" s="6" t="inlineStr">
        <is>
          <t>82</t>
        </is>
      </c>
      <c r="G6" s="6" t="inlineStr">
        <is>
          <t>80</t>
        </is>
      </c>
      <c r="H6" s="6" t="inlineStr">
        <is>
          <t>43</t>
        </is>
      </c>
      <c r="I6" s="6" t="inlineStr">
        <is>
          <t>60</t>
        </is>
      </c>
      <c r="J6" s="5" t="n"/>
      <c r="K6" s="5" t="n"/>
      <c r="L6" s="5" t="n"/>
      <c r="M6" s="5" t="n"/>
      <c r="N6" s="5" t="inlineStr">
        <is>
          <t>B</t>
        </is>
      </c>
      <c r="O6" s="5" t="n"/>
      <c r="P6" s="5" t="n"/>
      <c r="Q6" s="5" t="n"/>
      <c r="R6" s="5" t="n"/>
      <c r="S6" s="5" t="n"/>
      <c r="T6" s="5">
        <f>IF(O6="","",IF(O6=N6,1,0))</f>
        <v/>
      </c>
      <c r="U6" s="6" t="n"/>
    </row>
    <row r="7">
      <c r="A7" s="5" t="n">
        <v>1</v>
      </c>
      <c r="B7" s="5" t="n">
        <v>6</v>
      </c>
      <c r="C7" s="5" t="inlineStr">
        <is>
          <t>Leadership / Communication / Emotional &amp; Social</t>
        </is>
      </c>
      <c r="D7" s="5" t="inlineStr">
        <is>
          <t>Self-report (most/least)</t>
        </is>
      </c>
      <c r="E7" s="6" t="inlineStr">
        <is>
          <t>Your group project partner just told you, the night before it's due, that they haven't started their part.</t>
        </is>
      </c>
      <c r="F7" s="6" t="inlineStr">
        <is>
          <t>You make sure your point comes across without confusion</t>
        </is>
      </c>
      <c r="G7" s="6" t="inlineStr">
        <is>
          <t>You enjoy being chosen to head a team or committee</t>
        </is>
      </c>
      <c r="H7" s="6" t="inlineStr">
        <is>
          <t>You can sense how someone feels without them saying it</t>
        </is>
      </c>
      <c r="I7" s="6" t="inlineStr">
        <is>
          <t>None of these feel like you in this moment</t>
        </is>
      </c>
      <c r="J7" s="5" t="inlineStr">
        <is>
          <t>CM</t>
        </is>
      </c>
      <c r="K7" s="5" t="inlineStr">
        <is>
          <t>LD</t>
        </is>
      </c>
      <c r="L7" s="5" t="inlineStr">
        <is>
          <t>ES</t>
        </is>
      </c>
      <c r="M7" s="5" t="inlineStr"/>
      <c r="N7" s="5" t="n"/>
      <c r="O7" s="5" t="n"/>
      <c r="P7" s="5" t="n"/>
      <c r="Q7" s="5" t="n"/>
      <c r="R7" s="5">
        <f>IFERROR(INDEX(J7:M7,MATCH(P7,{"A","B","C","D"},0)),"")</f>
        <v/>
      </c>
      <c r="S7" s="5">
        <f>IFERROR(INDEX(J7:M7,MATCH(Q7,{"A","B","C","D"},0)),"")</f>
        <v/>
      </c>
      <c r="T7" s="5" t="n"/>
      <c r="U7" s="6" t="n"/>
    </row>
    <row r="8">
      <c r="A8" s="5" t="n">
        <v>1</v>
      </c>
      <c r="B8" s="5" t="n">
        <v>7</v>
      </c>
      <c r="C8" s="5" t="inlineStr">
        <is>
          <t>Leadership / Communication / Emotional &amp; Social</t>
        </is>
      </c>
      <c r="D8" s="5" t="inlineStr">
        <is>
          <t>Self-report (most/least)</t>
        </is>
      </c>
      <c r="E8" s="6" t="inlineStr">
        <is>
          <t>You're presenting in front of the whole grade and the projector dies right as you begin.</t>
        </is>
      </c>
      <c r="F8" s="6" t="inlineStr">
        <is>
          <t>You find the right words to explain something complex</t>
        </is>
      </c>
      <c r="G8" s="6" t="inlineStr">
        <is>
          <t>You'd need more time before reacting at all</t>
        </is>
      </c>
      <c r="H8" s="6" t="inlineStr">
        <is>
          <t>You like setting goals for others to work toward</t>
        </is>
      </c>
      <c r="I8" s="6" t="inlineStr">
        <is>
          <t>You're comfortable talking to new classmates</t>
        </is>
      </c>
      <c r="J8" s="5" t="inlineStr">
        <is>
          <t>CM</t>
        </is>
      </c>
      <c r="K8" s="5" t="inlineStr"/>
      <c r="L8" s="5" t="inlineStr">
        <is>
          <t>LD</t>
        </is>
      </c>
      <c r="M8" s="5" t="inlineStr">
        <is>
          <t>ES</t>
        </is>
      </c>
      <c r="N8" s="5" t="n"/>
      <c r="O8" s="5" t="n"/>
      <c r="P8" s="5" t="n"/>
      <c r="Q8" s="5" t="n"/>
      <c r="R8" s="5">
        <f>IFERROR(INDEX(J8:M8,MATCH(P8,{"A","B","C","D"},0)),"")</f>
        <v/>
      </c>
      <c r="S8" s="5">
        <f>IFERROR(INDEX(J8:M8,MATCH(Q8,{"A","B","C","D"},0)),"")</f>
        <v/>
      </c>
      <c r="T8" s="5" t="n"/>
      <c r="U8" s="6" t="n"/>
    </row>
    <row r="9">
      <c r="A9" s="5" t="n">
        <v>1</v>
      </c>
      <c r="B9" s="5" t="n">
        <v>8</v>
      </c>
      <c r="C9" s="5" t="inlineStr">
        <is>
          <t>Leadership / Communication / Emotional &amp; Social</t>
        </is>
      </c>
      <c r="D9" s="5" t="inlineStr">
        <is>
          <t>Self-report (most/least)</t>
        </is>
      </c>
      <c r="E9" s="6" t="inlineStr">
        <is>
          <t>A rumour about a classmate is spreading fast in the group chat and you know it isn't true.</t>
        </is>
      </c>
      <c r="F9" s="6" t="inlineStr">
        <is>
          <t>You check that others understood what you explained</t>
        </is>
      </c>
      <c r="G9" s="6" t="inlineStr">
        <is>
          <t>You stay patient even when frustrated</t>
        </is>
      </c>
      <c r="H9" s="6" t="inlineStr">
        <is>
          <t>You'd rather wait and see what others do first</t>
        </is>
      </c>
      <c r="I9" s="6" t="inlineStr">
        <is>
          <t>You enjoy leading during group projects or events</t>
        </is>
      </c>
      <c r="J9" s="5" t="inlineStr">
        <is>
          <t>CM</t>
        </is>
      </c>
      <c r="K9" s="5" t="inlineStr">
        <is>
          <t>ES</t>
        </is>
      </c>
      <c r="L9" s="5" t="inlineStr"/>
      <c r="M9" s="5" t="inlineStr">
        <is>
          <t>LD</t>
        </is>
      </c>
      <c r="N9" s="5" t="n"/>
      <c r="O9" s="5" t="n"/>
      <c r="P9" s="5" t="n"/>
      <c r="Q9" s="5" t="n"/>
      <c r="R9" s="5">
        <f>IFERROR(INDEX(J9:M9,MATCH(P9,{"A","B","C","D"},0)),"")</f>
        <v/>
      </c>
      <c r="S9" s="5">
        <f>IFERROR(INDEX(J9:M9,MATCH(Q9,{"A","B","C","D"},0)),"")</f>
        <v/>
      </c>
      <c r="T9" s="5" t="n"/>
      <c r="U9" s="6" t="n"/>
    </row>
    <row r="10">
      <c r="A10" s="5" t="n">
        <v>1</v>
      </c>
      <c r="B10" s="5" t="n">
        <v>9</v>
      </c>
      <c r="C10" s="5" t="inlineStr">
        <is>
          <t>Creative Skills</t>
        </is>
      </c>
      <c r="D10" s="5" t="inlineStr">
        <is>
          <t>Open-ended (not auto-scored)</t>
        </is>
      </c>
      <c r="E10" s="6" t="inlineStr">
        <is>
          <t>Imagine a backpack that could do one impossible thing. Describe it and how it would help students.</t>
        </is>
      </c>
      <c r="F10" s="6" t="n"/>
      <c r="G10" s="6" t="n"/>
      <c r="H10" s="6" t="n"/>
      <c r="I10" s="6" t="n"/>
      <c r="J10" s="5" t="n"/>
      <c r="K10" s="5" t="n"/>
      <c r="L10" s="5" t="n"/>
      <c r="M10" s="5" t="n"/>
      <c r="N10" s="5" t="n"/>
      <c r="O10" s="5" t="n"/>
      <c r="P10" s="5" t="n"/>
      <c r="Q10" s="5" t="n"/>
      <c r="R10" s="5" t="n"/>
      <c r="S10" s="5" t="n"/>
      <c r="T10" s="5" t="n"/>
      <c r="U10" s="6" t="n"/>
    </row>
    <row r="11">
      <c r="A11" s="5" t="n">
        <v>1</v>
      </c>
      <c r="B11" s="5" t="n">
        <v>10</v>
      </c>
      <c r="C11" s="5" t="inlineStr">
        <is>
          <t>Listening Skills</t>
        </is>
      </c>
      <c r="D11" s="5" t="inlineStr">
        <is>
          <t>Scored</t>
        </is>
      </c>
      <c r="E11" s="6" t="inlineStr">
        <is>
          <t>[Read once, then answer without re-reading] “Before the debate, Farah reviewed her notes, timed her opening statement, and then took a seat at the front table.”  ||  What happened right after the first thing mentioned?</t>
        </is>
      </c>
      <c r="F11" s="6" t="inlineStr">
        <is>
          <t>timed her opening statement</t>
        </is>
      </c>
      <c r="G11" s="6" t="inlineStr">
        <is>
          <t>reviewed her notes</t>
        </is>
      </c>
      <c r="H11" s="6" t="inlineStr">
        <is>
          <t>interviewed the judges</t>
        </is>
      </c>
      <c r="I11" s="6" t="inlineStr">
        <is>
          <t>took a seat at the front table</t>
        </is>
      </c>
      <c r="J11" s="5" t="n"/>
      <c r="K11" s="5" t="n"/>
      <c r="L11" s="5" t="n"/>
      <c r="M11" s="5" t="n"/>
      <c r="N11" s="5" t="inlineStr">
        <is>
          <t>A</t>
        </is>
      </c>
      <c r="O11" s="5" t="n"/>
      <c r="P11" s="5" t="n"/>
      <c r="Q11" s="5" t="n"/>
      <c r="R11" s="5" t="n"/>
      <c r="S11" s="5" t="n"/>
      <c r="T11" s="5">
        <f>IF(O11="","",IF(O11=N11,1,0))</f>
        <v/>
      </c>
      <c r="U11" s="6" t="n"/>
    </row>
    <row r="12">
      <c r="A12" s="7" t="n">
        <v>2</v>
      </c>
      <c r="B12" s="7" t="n">
        <v>1</v>
      </c>
      <c r="C12" s="7" t="inlineStr">
        <is>
          <t>Problem Solving</t>
        </is>
      </c>
      <c r="D12" s="7" t="inlineStr">
        <is>
          <t>Scored</t>
        </is>
      </c>
      <c r="E12" s="8" t="inlineStr">
        <is>
          <t>Three classmates — Ben, Rhea, Jyoti — are presenting their projects in order. Ben is not in the middle. Rhea is not last. Ben is not first. Jyoti is not first. Who is first?</t>
        </is>
      </c>
      <c r="F12" s="8" t="inlineStr">
        <is>
          <t>Rhea</t>
        </is>
      </c>
      <c r="G12" s="8" t="inlineStr">
        <is>
          <t>Ben</t>
        </is>
      </c>
      <c r="H12" s="8" t="inlineStr">
        <is>
          <t>Jyoti</t>
        </is>
      </c>
      <c r="I12" s="8" t="inlineStr">
        <is>
          <t>Cannot be determined</t>
        </is>
      </c>
      <c r="J12" s="7" t="n"/>
      <c r="K12" s="7" t="n"/>
      <c r="L12" s="7" t="n"/>
      <c r="M12" s="7" t="n"/>
      <c r="N12" s="7" t="inlineStr">
        <is>
          <t>A</t>
        </is>
      </c>
      <c r="O12" s="7" t="n"/>
      <c r="P12" s="7" t="n"/>
      <c r="Q12" s="7" t="n"/>
      <c r="R12" s="7" t="n"/>
      <c r="S12" s="7" t="n"/>
      <c r="T12" s="7">
        <f>IF(O12="","",IF(O12=N12,1,0))</f>
        <v/>
      </c>
      <c r="U12" s="8" t="n"/>
    </row>
    <row r="13">
      <c r="A13" s="7" t="n">
        <v>2</v>
      </c>
      <c r="B13" s="7" t="n">
        <v>2</v>
      </c>
      <c r="C13" s="7" t="inlineStr">
        <is>
          <t>Critical Thinking</t>
        </is>
      </c>
      <c r="D13" s="7" t="inlineStr">
        <is>
          <t>Scored</t>
        </is>
      </c>
      <c r="E13" s="8" t="inlineStr">
        <is>
          <t>After meeting two rude tourists from a city, Farah concludes: 'People from that city are all rude.' What's the actual flaw in this reasoning?</t>
        </is>
      </c>
      <c r="F13" s="8" t="inlineStr">
        <is>
          <t>She has met everyone from that city</t>
        </is>
      </c>
      <c r="G13" s="8" t="inlineStr">
        <is>
          <t>Rudeness cannot be observed</t>
        </is>
      </c>
      <c r="H13" s="8" t="inlineStr">
        <is>
          <t>She's forming a broad rule from a very small sample</t>
        </is>
      </c>
      <c r="I13" s="8" t="inlineStr">
        <is>
          <t>The tourists were actually polite</t>
        </is>
      </c>
      <c r="J13" s="7" t="n"/>
      <c r="K13" s="7" t="n"/>
      <c r="L13" s="7" t="n"/>
      <c r="M13" s="7" t="n"/>
      <c r="N13" s="7" t="inlineStr">
        <is>
          <t>C</t>
        </is>
      </c>
      <c r="O13" s="7" t="n"/>
      <c r="P13" s="7" t="n"/>
      <c r="Q13" s="7" t="n"/>
      <c r="R13" s="7" t="n"/>
      <c r="S13" s="7" t="n"/>
      <c r="T13" s="7">
        <f>IF(O13="","",IF(O13=N13,1,0))</f>
        <v/>
      </c>
      <c r="U13" s="8" t="n"/>
    </row>
    <row r="14">
      <c r="A14" s="7" t="n">
        <v>2</v>
      </c>
      <c r="B14" s="7" t="n">
        <v>3</v>
      </c>
      <c r="C14" s="7" t="inlineStr">
        <is>
          <t>Decision Making</t>
        </is>
      </c>
      <c r="D14" s="7" t="inlineStr">
        <is>
          <t>Scored</t>
        </is>
      </c>
      <c r="E14" s="8" t="inlineStr">
        <is>
          <t>You have 40 minutes. revise for the quiz takes 23 minutes, submit your history essay takes 17 minutes, and finish the group poster takes 27 minutes. You must skip exactly one of them to fit the other two into your 40 minutes. Which should you skip?</t>
        </is>
      </c>
      <c r="F14" s="8" t="inlineStr">
        <is>
          <t>finish the group poster</t>
        </is>
      </c>
      <c r="G14" s="8" t="inlineStr">
        <is>
          <t>It's impossible to fit any two</t>
        </is>
      </c>
      <c r="H14" s="8" t="inlineStr">
        <is>
          <t>submit your history essay</t>
        </is>
      </c>
      <c r="I14" s="8" t="inlineStr">
        <is>
          <t>revise for the quiz</t>
        </is>
      </c>
      <c r="J14" s="7" t="n"/>
      <c r="K14" s="7" t="n"/>
      <c r="L14" s="7" t="n"/>
      <c r="M14" s="7" t="n"/>
      <c r="N14" s="7" t="inlineStr">
        <is>
          <t>A</t>
        </is>
      </c>
      <c r="O14" s="7" t="n"/>
      <c r="P14" s="7" t="n"/>
      <c r="Q14" s="7" t="n"/>
      <c r="R14" s="7" t="n"/>
      <c r="S14" s="7" t="n"/>
      <c r="T14" s="7">
        <f>IF(O14="","",IF(O14=N14,1,0))</f>
        <v/>
      </c>
      <c r="U14" s="8" t="n"/>
    </row>
    <row r="15">
      <c r="A15" s="7" t="n">
        <v>2</v>
      </c>
      <c r="B15" s="7" t="n">
        <v>4</v>
      </c>
      <c r="C15" s="7" t="inlineStr">
        <is>
          <t>Mental Math</t>
        </is>
      </c>
      <c r="D15" s="7" t="inlineStr">
        <is>
          <t>Scored</t>
        </is>
      </c>
      <c r="E15" s="8" t="inlineStr">
        <is>
          <t>After spending 5 and later receiving 2 as a gift, Meera has 14. How much did Meera start with?</t>
        </is>
      </c>
      <c r="F15" s="8" t="inlineStr">
        <is>
          <t>15</t>
        </is>
      </c>
      <c r="G15" s="8" t="inlineStr">
        <is>
          <t>17</t>
        </is>
      </c>
      <c r="H15" s="8" t="inlineStr">
        <is>
          <t>22</t>
        </is>
      </c>
      <c r="I15" s="8" t="inlineStr">
        <is>
          <t>14</t>
        </is>
      </c>
      <c r="J15" s="7" t="n"/>
      <c r="K15" s="7" t="n"/>
      <c r="L15" s="7" t="n"/>
      <c r="M15" s="7" t="n"/>
      <c r="N15" s="7" t="inlineStr">
        <is>
          <t>B</t>
        </is>
      </c>
      <c r="O15" s="7" t="n"/>
      <c r="P15" s="7" t="n"/>
      <c r="Q15" s="7" t="n"/>
      <c r="R15" s="7" t="n"/>
      <c r="S15" s="7" t="n"/>
      <c r="T15" s="7">
        <f>IF(O15="","",IF(O15=N15,1,0))</f>
        <v/>
      </c>
      <c r="U15" s="8" t="n"/>
    </row>
    <row r="16">
      <c r="A16" s="7" t="n">
        <v>2</v>
      </c>
      <c r="B16" s="7" t="n">
        <v>5</v>
      </c>
      <c r="C16" s="7" t="inlineStr">
        <is>
          <t>Cognitive Academia</t>
        </is>
      </c>
      <c r="D16" s="7" t="inlineStr">
        <is>
          <t>Scored</t>
        </is>
      </c>
      <c r="E16" s="8" t="inlineStr">
        <is>
          <t>What comes next in this pattern: 1, 3, 9, 27, ?</t>
        </is>
      </c>
      <c r="F16" s="8" t="inlineStr">
        <is>
          <t>45</t>
        </is>
      </c>
      <c r="G16" s="8" t="inlineStr">
        <is>
          <t>30</t>
        </is>
      </c>
      <c r="H16" s="8" t="inlineStr">
        <is>
          <t>84</t>
        </is>
      </c>
      <c r="I16" s="8" t="inlineStr">
        <is>
          <t>81</t>
        </is>
      </c>
      <c r="J16" s="7" t="n"/>
      <c r="K16" s="7" t="n"/>
      <c r="L16" s="7" t="n"/>
      <c r="M16" s="7" t="n"/>
      <c r="N16" s="7" t="inlineStr">
        <is>
          <t>D</t>
        </is>
      </c>
      <c r="O16" s="7" t="n"/>
      <c r="P16" s="7" t="n"/>
      <c r="Q16" s="7" t="n"/>
      <c r="R16" s="7" t="n"/>
      <c r="S16" s="7" t="n"/>
      <c r="T16" s="7">
        <f>IF(O16="","",IF(O16=N16,1,0))</f>
        <v/>
      </c>
      <c r="U16" s="8" t="n"/>
    </row>
    <row r="17">
      <c r="A17" s="7" t="n">
        <v>2</v>
      </c>
      <c r="B17" s="7" t="n">
        <v>6</v>
      </c>
      <c r="C17" s="7" t="inlineStr">
        <is>
          <t>Leadership / Communication / Emotional &amp; Social</t>
        </is>
      </c>
      <c r="D17" s="7" t="inlineStr">
        <is>
          <t>Self-report (most/least)</t>
        </is>
      </c>
      <c r="E17" s="8" t="inlineStr">
        <is>
          <t>Your team is down to the last relay leg of sports day and everything depends on the next thirty seconds.</t>
        </is>
      </c>
      <c r="F17" s="8" t="inlineStr">
        <is>
          <t>You'd need more time before reacting at all</t>
        </is>
      </c>
      <c r="G17" s="8" t="inlineStr">
        <is>
          <t>You explain your ideas clearly so others understand</t>
        </is>
      </c>
      <c r="H17" s="8" t="inlineStr">
        <is>
          <t>You notice when a friend is feeling stressed</t>
        </is>
      </c>
      <c r="I17" s="8" t="inlineStr">
        <is>
          <t>You naturally take charge when the group needs direction</t>
        </is>
      </c>
      <c r="J17" s="7" t="inlineStr"/>
      <c r="K17" s="7" t="inlineStr">
        <is>
          <t>CM</t>
        </is>
      </c>
      <c r="L17" s="7" t="inlineStr">
        <is>
          <t>ES</t>
        </is>
      </c>
      <c r="M17" s="7" t="inlineStr">
        <is>
          <t>LD</t>
        </is>
      </c>
      <c r="N17" s="7" t="n"/>
      <c r="O17" s="7" t="n"/>
      <c r="P17" s="7" t="n"/>
      <c r="Q17" s="7" t="n"/>
      <c r="R17" s="7">
        <f>IFERROR(INDEX(J17:M17,MATCH(P17,{"A","B","C","D"},0)),"")</f>
        <v/>
      </c>
      <c r="S17" s="7">
        <f>IFERROR(INDEX(J17:M17,MATCH(Q17,{"A","B","C","D"},0)),"")</f>
        <v/>
      </c>
      <c r="T17" s="7" t="n"/>
      <c r="U17" s="8" t="n"/>
    </row>
    <row r="18">
      <c r="A18" s="7" t="n">
        <v>2</v>
      </c>
      <c r="B18" s="7" t="n">
        <v>7</v>
      </c>
      <c r="C18" s="7" t="inlineStr">
        <is>
          <t>Leadership / Communication / Emotional &amp; Social</t>
        </is>
      </c>
      <c r="D18" s="7" t="inlineStr">
        <is>
          <t>Self-report (most/least)</t>
        </is>
      </c>
      <c r="E18" s="8" t="inlineStr">
        <is>
          <t>You just realized you studied the wrong chapter the night before a big test.</t>
        </is>
      </c>
      <c r="F18" s="8" t="inlineStr">
        <is>
          <t>You enjoy writing essays or giving presentations</t>
        </is>
      </c>
      <c r="G18" s="8" t="inlineStr">
        <is>
          <t>You step up to lead when no one else does</t>
        </is>
      </c>
      <c r="H18" s="8" t="inlineStr">
        <is>
          <t>You'd rather wait and see what others do first</t>
        </is>
      </c>
      <c r="I18" s="8" t="inlineStr">
        <is>
          <t>You're good at helping a friend feel better</t>
        </is>
      </c>
      <c r="J18" s="7" t="inlineStr">
        <is>
          <t>CM</t>
        </is>
      </c>
      <c r="K18" s="7" t="inlineStr">
        <is>
          <t>LD</t>
        </is>
      </c>
      <c r="L18" s="7" t="inlineStr"/>
      <c r="M18" s="7" t="inlineStr">
        <is>
          <t>ES</t>
        </is>
      </c>
      <c r="N18" s="7" t="n"/>
      <c r="O18" s="7" t="n"/>
      <c r="P18" s="7" t="n"/>
      <c r="Q18" s="7" t="n"/>
      <c r="R18" s="7">
        <f>IFERROR(INDEX(J18:M18,MATCH(P18,{"A","B","C","D"},0)),"")</f>
        <v/>
      </c>
      <c r="S18" s="7">
        <f>IFERROR(INDEX(J18:M18,MATCH(Q18,{"A","B","C","D"},0)),"")</f>
        <v/>
      </c>
      <c r="T18" s="7" t="n"/>
      <c r="U18" s="8" t="n"/>
    </row>
    <row r="19">
      <c r="A19" s="7" t="n">
        <v>2</v>
      </c>
      <c r="B19" s="7" t="n">
        <v>8</v>
      </c>
      <c r="C19" s="7" t="inlineStr">
        <is>
          <t>Leadership / Communication / Emotional &amp; Social</t>
        </is>
      </c>
      <c r="D19" s="7" t="inlineStr">
        <is>
          <t>Self-report (most/least)</t>
        </is>
      </c>
      <c r="E19" s="8" t="inlineStr">
        <is>
          <t>A classmate is being excluded from a group activity right in front of you.</t>
        </is>
      </c>
      <c r="F19" s="8" t="inlineStr">
        <is>
          <t>You like presenting your ideas to the class</t>
        </is>
      </c>
      <c r="G19" s="8" t="inlineStr">
        <is>
          <t>You take responsibility when something goes wrong</t>
        </is>
      </c>
      <c r="H19" s="8" t="inlineStr">
        <is>
          <t>You'd step back and observe before choosing any of these</t>
        </is>
      </c>
      <c r="I19" s="8" t="inlineStr">
        <is>
          <t>You handle disagreements without escalating them</t>
        </is>
      </c>
      <c r="J19" s="7" t="inlineStr">
        <is>
          <t>CM</t>
        </is>
      </c>
      <c r="K19" s="7" t="inlineStr">
        <is>
          <t>LD</t>
        </is>
      </c>
      <c r="L19" s="7" t="inlineStr"/>
      <c r="M19" s="7" t="inlineStr">
        <is>
          <t>ES</t>
        </is>
      </c>
      <c r="N19" s="7" t="n"/>
      <c r="O19" s="7" t="n"/>
      <c r="P19" s="7" t="n"/>
      <c r="Q19" s="7" t="n"/>
      <c r="R19" s="7">
        <f>IFERROR(INDEX(J19:M19,MATCH(P19,{"A","B","C","D"},0)),"")</f>
        <v/>
      </c>
      <c r="S19" s="7">
        <f>IFERROR(INDEX(J19:M19,MATCH(Q19,{"A","B","C","D"},0)),"")</f>
        <v/>
      </c>
      <c r="T19" s="7" t="n"/>
      <c r="U19" s="8" t="n"/>
    </row>
    <row r="20">
      <c r="A20" s="7" t="n">
        <v>2</v>
      </c>
      <c r="B20" s="7" t="n">
        <v>9</v>
      </c>
      <c r="C20" s="7" t="inlineStr">
        <is>
          <t>Creative Skills</t>
        </is>
      </c>
      <c r="D20" s="7" t="inlineStr">
        <is>
          <t>Open-ended (not auto-scored)</t>
        </is>
      </c>
      <c r="E20" s="8" t="inlineStr">
        <is>
          <t>Your school wants one new club that has never existed anywhere. Pitch it in three sentences.</t>
        </is>
      </c>
      <c r="F20" s="8" t="n"/>
      <c r="G20" s="8" t="n"/>
      <c r="H20" s="8" t="n"/>
      <c r="I20" s="8" t="n"/>
      <c r="J20" s="7" t="n"/>
      <c r="K20" s="7" t="n"/>
      <c r="L20" s="7" t="n"/>
      <c r="M20" s="7" t="n"/>
      <c r="N20" s="7" t="n"/>
      <c r="O20" s="7" t="n"/>
      <c r="P20" s="7" t="n"/>
      <c r="Q20" s="7" t="n"/>
      <c r="R20" s="7" t="n"/>
      <c r="S20" s="7" t="n"/>
      <c r="T20" s="7" t="n"/>
      <c r="U20" s="8" t="n"/>
    </row>
    <row r="21">
      <c r="A21" s="7" t="n">
        <v>2</v>
      </c>
      <c r="B21" s="7" t="n">
        <v>10</v>
      </c>
      <c r="C21" s="7" t="inlineStr">
        <is>
          <t>Listening Skills</t>
        </is>
      </c>
      <c r="D21" s="7" t="inlineStr">
        <is>
          <t>Scored</t>
        </is>
      </c>
      <c r="E21" s="8" t="inlineStr">
        <is>
          <t>[Read once, then answer without re-reading] “On the morning of the trip, the group checked the bus schedule, confirmed the headcount, and then boarded just before departure.”  ||  What happened right after the first thing mentioned?</t>
        </is>
      </c>
      <c r="F21" s="8" t="inlineStr">
        <is>
          <t>checked the bus schedule</t>
        </is>
      </c>
      <c r="G21" s="8" t="inlineStr">
        <is>
          <t>booked hotel rooms</t>
        </is>
      </c>
      <c r="H21" s="8" t="inlineStr">
        <is>
          <t>boarded the bus</t>
        </is>
      </c>
      <c r="I21" s="8" t="inlineStr">
        <is>
          <t>confirmed the headcount</t>
        </is>
      </c>
      <c r="J21" s="7" t="n"/>
      <c r="K21" s="7" t="n"/>
      <c r="L21" s="7" t="n"/>
      <c r="M21" s="7" t="n"/>
      <c r="N21" s="7" t="inlineStr">
        <is>
          <t>D</t>
        </is>
      </c>
      <c r="O21" s="7" t="n"/>
      <c r="P21" s="7" t="n"/>
      <c r="Q21" s="7" t="n"/>
      <c r="R21" s="7" t="n"/>
      <c r="S21" s="7" t="n"/>
      <c r="T21" s="7">
        <f>IF(O21="","",IF(O21=N21,1,0))</f>
        <v/>
      </c>
      <c r="U21" s="8" t="n"/>
    </row>
    <row r="22">
      <c r="A22" s="5" t="n">
        <v>3</v>
      </c>
      <c r="B22" s="5" t="n">
        <v>1</v>
      </c>
      <c r="C22" s="5" t="inlineStr">
        <is>
          <t>Problem Solving</t>
        </is>
      </c>
      <c r="D22" s="5" t="inlineStr">
        <is>
          <t>Scored</t>
        </is>
      </c>
      <c r="E22" s="6" t="inlineStr">
        <is>
          <t>Three classmates — Wei, Rhea, Diya — are presenting their projects in order. Diya is not first. Rhea is not first. Diya is not in the middle. Who is first?</t>
        </is>
      </c>
      <c r="F22" s="6" t="inlineStr">
        <is>
          <t>Cannot be determined</t>
        </is>
      </c>
      <c r="G22" s="6" t="inlineStr">
        <is>
          <t>Rhea</t>
        </is>
      </c>
      <c r="H22" s="6" t="inlineStr">
        <is>
          <t>Wei</t>
        </is>
      </c>
      <c r="I22" s="6" t="inlineStr">
        <is>
          <t>Diya</t>
        </is>
      </c>
      <c r="J22" s="5" t="n"/>
      <c r="K22" s="5" t="n"/>
      <c r="L22" s="5" t="n"/>
      <c r="M22" s="5" t="n"/>
      <c r="N22" s="5" t="inlineStr">
        <is>
          <t>C</t>
        </is>
      </c>
      <c r="O22" s="5" t="n"/>
      <c r="P22" s="5" t="n"/>
      <c r="Q22" s="5" t="n"/>
      <c r="R22" s="5" t="n"/>
      <c r="S22" s="5" t="n"/>
      <c r="T22" s="5">
        <f>IF(O22="","",IF(O22=N22,1,0))</f>
        <v/>
      </c>
      <c r="U22" s="6" t="n"/>
    </row>
    <row r="23">
      <c r="A23" s="5" t="n">
        <v>3</v>
      </c>
      <c r="B23" s="5" t="n">
        <v>2</v>
      </c>
      <c r="C23" s="5" t="inlineStr">
        <is>
          <t>Critical Thinking</t>
        </is>
      </c>
      <c r="D23" s="5" t="inlineStr">
        <is>
          <t>Scored</t>
        </is>
      </c>
      <c r="E23" s="6" t="inlineStr">
        <is>
          <t>A coach says: 'Either you train every single day, or you'll never be good at this sport.' What's the actual flaw in this reasoning?</t>
        </is>
      </c>
      <c r="F23" s="6" t="inlineStr">
        <is>
          <t>He's ignoring the middle-ground options between the two extremes</t>
        </is>
      </c>
      <c r="G23" s="6" t="inlineStr">
        <is>
          <t>The sport requires no practice</t>
        </is>
      </c>
      <c r="H23" s="6" t="inlineStr">
        <is>
          <t>No one has ever trained daily</t>
        </is>
      </c>
      <c r="I23" s="6" t="inlineStr">
        <is>
          <t>Training is not allowed on this team</t>
        </is>
      </c>
      <c r="J23" s="5" t="n"/>
      <c r="K23" s="5" t="n"/>
      <c r="L23" s="5" t="n"/>
      <c r="M23" s="5" t="n"/>
      <c r="N23" s="5" t="inlineStr">
        <is>
          <t>A</t>
        </is>
      </c>
      <c r="O23" s="5" t="n"/>
      <c r="P23" s="5" t="n"/>
      <c r="Q23" s="5" t="n"/>
      <c r="R23" s="5" t="n"/>
      <c r="S23" s="5" t="n"/>
      <c r="T23" s="5">
        <f>IF(O23="","",IF(O23=N23,1,0))</f>
        <v/>
      </c>
      <c r="U23" s="6" t="n"/>
    </row>
    <row r="24">
      <c r="A24" s="5" t="n">
        <v>3</v>
      </c>
      <c r="B24" s="5" t="n">
        <v>3</v>
      </c>
      <c r="C24" s="5" t="inlineStr">
        <is>
          <t>Decision Making</t>
        </is>
      </c>
      <c r="D24" s="5" t="inlineStr">
        <is>
          <t>Scored</t>
        </is>
      </c>
      <c r="E24" s="6" t="inlineStr">
        <is>
          <t>You only have time for ONE of these right now. Which gives the best value for the effort it takes?</t>
        </is>
      </c>
      <c r="F24" s="6" t="inlineStr">
        <is>
          <t>submit your history essay (effort 6, value 12)</t>
        </is>
      </c>
      <c r="G24" s="6" t="inlineStr">
        <is>
          <t>They are all equally good choices</t>
        </is>
      </c>
      <c r="H24" s="6" t="inlineStr">
        <is>
          <t>finish the group poster (effort 4, value 13)</t>
        </is>
      </c>
      <c r="I24" s="6" t="inlineStr">
        <is>
          <t>revise for the quiz (effort 8, value 9)</t>
        </is>
      </c>
      <c r="J24" s="5" t="n"/>
      <c r="K24" s="5" t="n"/>
      <c r="L24" s="5" t="n"/>
      <c r="M24" s="5" t="n"/>
      <c r="N24" s="5" t="inlineStr">
        <is>
          <t>C</t>
        </is>
      </c>
      <c r="O24" s="5" t="n"/>
      <c r="P24" s="5" t="n"/>
      <c r="Q24" s="5" t="n"/>
      <c r="R24" s="5" t="n"/>
      <c r="S24" s="5" t="n"/>
      <c r="T24" s="5">
        <f>IF(O24="","",IF(O24=N24,1,0))</f>
        <v/>
      </c>
      <c r="U24" s="6" t="n"/>
    </row>
    <row r="25">
      <c r="A25" s="5" t="n">
        <v>3</v>
      </c>
      <c r="B25" s="5" t="n">
        <v>4</v>
      </c>
      <c r="C25" s="5" t="inlineStr">
        <is>
          <t>Mental Math</t>
        </is>
      </c>
      <c r="D25" s="5" t="inlineStr">
        <is>
          <t>Scored</t>
        </is>
      </c>
      <c r="E25" s="6" t="inlineStr">
        <is>
          <t>A recipe mixes blue paint and yellow paint in a 3:4 ratio. If you use 6 units of blue paint, how much yellow paint do you need?</t>
        </is>
      </c>
      <c r="F25" s="6" t="inlineStr">
        <is>
          <t>4</t>
        </is>
      </c>
      <c r="G25" s="6" t="inlineStr">
        <is>
          <t>8</t>
        </is>
      </c>
      <c r="H25" s="6" t="inlineStr">
        <is>
          <t>12</t>
        </is>
      </c>
      <c r="I25" s="6" t="inlineStr">
        <is>
          <t>6</t>
        </is>
      </c>
      <c r="J25" s="5" t="n"/>
      <c r="K25" s="5" t="n"/>
      <c r="L25" s="5" t="n"/>
      <c r="M25" s="5" t="n"/>
      <c r="N25" s="5" t="inlineStr">
        <is>
          <t>B</t>
        </is>
      </c>
      <c r="O25" s="5" t="n"/>
      <c r="P25" s="5" t="n"/>
      <c r="Q25" s="5" t="n"/>
      <c r="R25" s="5" t="n"/>
      <c r="S25" s="5" t="n"/>
      <c r="T25" s="5">
        <f>IF(O25="","",IF(O25=N25,1,0))</f>
        <v/>
      </c>
      <c r="U25" s="6" t="n"/>
    </row>
    <row r="26">
      <c r="A26" s="5" t="n">
        <v>3</v>
      </c>
      <c r="B26" s="5" t="n">
        <v>5</v>
      </c>
      <c r="C26" s="5" t="inlineStr">
        <is>
          <t>Cognitive Academia</t>
        </is>
      </c>
      <c r="D26" s="5" t="inlineStr">
        <is>
          <t>Scored</t>
        </is>
      </c>
      <c r="E26" s="6" t="inlineStr">
        <is>
          <t>What comes next in this pattern: 1, 2, 4, 8, ?</t>
        </is>
      </c>
      <c r="F26" s="6" t="inlineStr">
        <is>
          <t>18</t>
        </is>
      </c>
      <c r="G26" s="6" t="inlineStr">
        <is>
          <t>16</t>
        </is>
      </c>
      <c r="H26" s="6" t="inlineStr">
        <is>
          <t>11</t>
        </is>
      </c>
      <c r="I26" s="6" t="inlineStr">
        <is>
          <t>12</t>
        </is>
      </c>
      <c r="J26" s="5" t="n"/>
      <c r="K26" s="5" t="n"/>
      <c r="L26" s="5" t="n"/>
      <c r="M26" s="5" t="n"/>
      <c r="N26" s="5" t="inlineStr">
        <is>
          <t>B</t>
        </is>
      </c>
      <c r="O26" s="5" t="n"/>
      <c r="P26" s="5" t="n"/>
      <c r="Q26" s="5" t="n"/>
      <c r="R26" s="5" t="n"/>
      <c r="S26" s="5" t="n"/>
      <c r="T26" s="5">
        <f>IF(O26="","",IF(O26=N26,1,0))</f>
        <v/>
      </c>
      <c r="U26" s="6" t="n"/>
    </row>
    <row r="27">
      <c r="A27" s="5" t="n">
        <v>3</v>
      </c>
      <c r="B27" s="5" t="n">
        <v>6</v>
      </c>
      <c r="C27" s="5" t="inlineStr">
        <is>
          <t>Leadership / Communication / Emotional &amp; Social</t>
        </is>
      </c>
      <c r="D27" s="5" t="inlineStr">
        <is>
          <t>Self-report (most/least)</t>
        </is>
      </c>
      <c r="E27" s="6" t="inlineStr">
        <is>
          <t>Your robotics team's device stops working two minutes before the competition demo.</t>
        </is>
      </c>
      <c r="F27" s="6" t="inlineStr">
        <is>
          <t>You'd rather wait and see what others do first</t>
        </is>
      </c>
      <c r="G27" s="6" t="inlineStr">
        <is>
          <t>You stay patient even when frustrated</t>
        </is>
      </c>
      <c r="H27" s="6" t="inlineStr">
        <is>
          <t>You check that others understood what you explained</t>
        </is>
      </c>
      <c r="I27" s="6" t="inlineStr">
        <is>
          <t>You enjoy leading during group projects or events</t>
        </is>
      </c>
      <c r="J27" s="5" t="inlineStr"/>
      <c r="K27" s="5" t="inlineStr">
        <is>
          <t>ES</t>
        </is>
      </c>
      <c r="L27" s="5" t="inlineStr">
        <is>
          <t>CM</t>
        </is>
      </c>
      <c r="M27" s="5" t="inlineStr">
        <is>
          <t>LD</t>
        </is>
      </c>
      <c r="N27" s="5" t="n"/>
      <c r="O27" s="5" t="n"/>
      <c r="P27" s="5" t="n"/>
      <c r="Q27" s="5" t="n"/>
      <c r="R27" s="5">
        <f>IFERROR(INDEX(J27:M27,MATCH(P27,{"A","B","C","D"},0)),"")</f>
        <v/>
      </c>
      <c r="S27" s="5">
        <f>IFERROR(INDEX(J27:M27,MATCH(Q27,{"A","B","C","D"},0)),"")</f>
        <v/>
      </c>
      <c r="T27" s="5" t="n"/>
      <c r="U27" s="6" t="n"/>
    </row>
    <row r="28">
      <c r="A28" s="5" t="n">
        <v>3</v>
      </c>
      <c r="B28" s="5" t="n">
        <v>7</v>
      </c>
      <c r="C28" s="5" t="inlineStr">
        <is>
          <t>Leadership / Communication / Emotional &amp; Social</t>
        </is>
      </c>
      <c r="D28" s="5" t="inlineStr">
        <is>
          <t>Self-report (most/least)</t>
        </is>
      </c>
      <c r="E28" s="6" t="inlineStr">
        <is>
          <t>You're mediating an argument between two friends who are both upset with each other.</t>
        </is>
      </c>
      <c r="F28" s="6" t="inlineStr">
        <is>
          <t>You notice small changes in a friend's mood</t>
        </is>
      </c>
      <c r="G28" s="6" t="inlineStr">
        <is>
          <t>You'd step back and observe before choosing any of these</t>
        </is>
      </c>
      <c r="H28" s="6" t="inlineStr">
        <is>
          <t>You enjoy explaining your work to teachers or peers</t>
        </is>
      </c>
      <c r="I28" s="6" t="inlineStr">
        <is>
          <t>You like guiding your team toward a shared goal</t>
        </is>
      </c>
      <c r="J28" s="5" t="inlineStr">
        <is>
          <t>ES</t>
        </is>
      </c>
      <c r="K28" s="5" t="inlineStr"/>
      <c r="L28" s="5" t="inlineStr">
        <is>
          <t>CM</t>
        </is>
      </c>
      <c r="M28" s="5" t="inlineStr">
        <is>
          <t>LD</t>
        </is>
      </c>
      <c r="N28" s="5" t="n"/>
      <c r="O28" s="5" t="n"/>
      <c r="P28" s="5" t="n"/>
      <c r="Q28" s="5" t="n"/>
      <c r="R28" s="5">
        <f>IFERROR(INDEX(J28:M28,MATCH(P28,{"A","B","C","D"},0)),"")</f>
        <v/>
      </c>
      <c r="S28" s="5">
        <f>IFERROR(INDEX(J28:M28,MATCH(Q28,{"A","B","C","D"},0)),"")</f>
        <v/>
      </c>
      <c r="T28" s="5" t="n"/>
      <c r="U28" s="6" t="n"/>
    </row>
    <row r="29">
      <c r="A29" s="5" t="n">
        <v>3</v>
      </c>
      <c r="B29" s="5" t="n">
        <v>8</v>
      </c>
      <c r="C29" s="5" t="inlineStr">
        <is>
          <t>Leadership / Communication / Emotional &amp; Social</t>
        </is>
      </c>
      <c r="D29" s="5" t="inlineStr">
        <is>
          <t>Self-report (most/least)</t>
        </is>
      </c>
      <c r="E29" s="6" t="inlineStr">
        <is>
          <t>Your class election speech notes just got left at home, and you're up next.</t>
        </is>
      </c>
      <c r="F29" s="6" t="inlineStr">
        <is>
          <t>You like asking questions to clarify confusing topics</t>
        </is>
      </c>
      <c r="G29" s="6" t="inlineStr">
        <is>
          <t>You like organizing the group's plan of action</t>
        </is>
      </c>
      <c r="H29" s="6" t="inlineStr">
        <is>
          <t>You stay calm even under exam pressure</t>
        </is>
      </c>
      <c r="I29" s="6" t="inlineStr">
        <is>
          <t>None of these feel like you in this moment</t>
        </is>
      </c>
      <c r="J29" s="5" t="inlineStr">
        <is>
          <t>CM</t>
        </is>
      </c>
      <c r="K29" s="5" t="inlineStr">
        <is>
          <t>LD</t>
        </is>
      </c>
      <c r="L29" s="5" t="inlineStr">
        <is>
          <t>ES</t>
        </is>
      </c>
      <c r="M29" s="5" t="inlineStr"/>
      <c r="N29" s="5" t="n"/>
      <c r="O29" s="5" t="n"/>
      <c r="P29" s="5" t="n"/>
      <c r="Q29" s="5" t="n"/>
      <c r="R29" s="5">
        <f>IFERROR(INDEX(J29:M29,MATCH(P29,{"A","B","C","D"},0)),"")</f>
        <v/>
      </c>
      <c r="S29" s="5">
        <f>IFERROR(INDEX(J29:M29,MATCH(Q29,{"A","B","C","D"},0)),"")</f>
        <v/>
      </c>
      <c r="T29" s="5" t="n"/>
      <c r="U29" s="6" t="n"/>
    </row>
    <row r="30">
      <c r="A30" s="5" t="n">
        <v>3</v>
      </c>
      <c r="B30" s="5" t="n">
        <v>9</v>
      </c>
      <c r="C30" s="5" t="inlineStr">
        <is>
          <t>Creative Skills</t>
        </is>
      </c>
      <c r="D30" s="5" t="inlineStr">
        <is>
          <t>Open-ended (not auto-scored)</t>
        </is>
      </c>
      <c r="E30" s="6" t="inlineStr">
        <is>
          <t>Invent a gadget that would make Monday mornings better for every student. What does it do?</t>
        </is>
      </c>
      <c r="F30" s="6" t="n"/>
      <c r="G30" s="6" t="n"/>
      <c r="H30" s="6" t="n"/>
      <c r="I30" s="6" t="n"/>
      <c r="J30" s="5" t="n"/>
      <c r="K30" s="5" t="n"/>
      <c r="L30" s="5" t="n"/>
      <c r="M30" s="5" t="n"/>
      <c r="N30" s="5" t="n"/>
      <c r="O30" s="5" t="n"/>
      <c r="P30" s="5" t="n"/>
      <c r="Q30" s="5" t="n"/>
      <c r="R30" s="5" t="n"/>
      <c r="S30" s="5" t="n"/>
      <c r="T30" s="5" t="n"/>
      <c r="U30" s="6" t="n"/>
    </row>
    <row r="31">
      <c r="A31" s="5" t="n">
        <v>3</v>
      </c>
      <c r="B31" s="5" t="n">
        <v>10</v>
      </c>
      <c r="C31" s="5" t="inlineStr">
        <is>
          <t>Listening Skills</t>
        </is>
      </c>
      <c r="D31" s="5" t="inlineStr">
        <is>
          <t>Scored</t>
        </is>
      </c>
      <c r="E31" s="6" t="inlineStr">
        <is>
          <t>[Read once, then answer without re-reading] “Before the robotics demo, Kunal charged the battery, tested the sensors, and finally ran a quick trial lap.”  ||  What happened right after the first thing mentioned?</t>
        </is>
      </c>
      <c r="F31" s="6" t="inlineStr">
        <is>
          <t>printed the manual</t>
        </is>
      </c>
      <c r="G31" s="6" t="inlineStr">
        <is>
          <t>charged the battery</t>
        </is>
      </c>
      <c r="H31" s="6" t="inlineStr">
        <is>
          <t>ran a trial lap</t>
        </is>
      </c>
      <c r="I31" s="6" t="inlineStr">
        <is>
          <t>tested the sensors</t>
        </is>
      </c>
      <c r="J31" s="5" t="n"/>
      <c r="K31" s="5" t="n"/>
      <c r="L31" s="5" t="n"/>
      <c r="M31" s="5" t="n"/>
      <c r="N31" s="5" t="inlineStr">
        <is>
          <t>D</t>
        </is>
      </c>
      <c r="O31" s="5" t="n"/>
      <c r="P31" s="5" t="n"/>
      <c r="Q31" s="5" t="n"/>
      <c r="R31" s="5" t="n"/>
      <c r="S31" s="5" t="n"/>
      <c r="T31" s="5">
        <f>IF(O31="","",IF(O31=N31,1,0))</f>
        <v/>
      </c>
      <c r="U31" s="6" t="n"/>
    </row>
    <row r="32">
      <c r="A32" s="7" t="n">
        <v>4</v>
      </c>
      <c r="B32" s="7" t="n">
        <v>1</v>
      </c>
      <c r="C32" s="7" t="inlineStr">
        <is>
          <t>Problem Solving</t>
        </is>
      </c>
      <c r="D32" s="7" t="inlineStr">
        <is>
          <t>Scored</t>
        </is>
      </c>
      <c r="E32" s="8" t="inlineStr">
        <is>
          <t>Three classmates — Hana, Sara, Wei — are presenting their projects in order. Wei is not last. Hana is not in the middle. Sara is not last. Wei is not in the middle. Who is last?</t>
        </is>
      </c>
      <c r="F32" s="8" t="inlineStr">
        <is>
          <t>Sara</t>
        </is>
      </c>
      <c r="G32" s="8" t="inlineStr">
        <is>
          <t>Wei</t>
        </is>
      </c>
      <c r="H32" s="8" t="inlineStr">
        <is>
          <t>Hana</t>
        </is>
      </c>
      <c r="I32" s="8" t="inlineStr">
        <is>
          <t>Cannot be determined</t>
        </is>
      </c>
      <c r="J32" s="7" t="n"/>
      <c r="K32" s="7" t="n"/>
      <c r="L32" s="7" t="n"/>
      <c r="M32" s="7" t="n"/>
      <c r="N32" s="7" t="inlineStr">
        <is>
          <t>C</t>
        </is>
      </c>
      <c r="O32" s="7" t="n"/>
      <c r="P32" s="7" t="n"/>
      <c r="Q32" s="7" t="n"/>
      <c r="R32" s="7" t="n"/>
      <c r="S32" s="7" t="n"/>
      <c r="T32" s="7">
        <f>IF(O32="","",IF(O32=N32,1,0))</f>
        <v/>
      </c>
      <c r="U32" s="8" t="n"/>
    </row>
    <row r="33">
      <c r="A33" s="7" t="n">
        <v>4</v>
      </c>
      <c r="B33" s="7" t="n">
        <v>2</v>
      </c>
      <c r="C33" s="7" t="inlineStr">
        <is>
          <t>Critical Thinking</t>
        </is>
      </c>
      <c r="D33" s="7" t="inlineStr">
        <is>
          <t>Scored</t>
        </is>
      </c>
      <c r="E33" s="8" t="inlineStr">
        <is>
          <t>Kunal says: 'This law is fair because it treats everyone fairly.' What's the actual flaw in this reasoning?</t>
        </is>
      </c>
      <c r="F33" s="8" t="inlineStr">
        <is>
          <t>The law only applies to adults</t>
        </is>
      </c>
      <c r="G33" s="8" t="inlineStr">
        <is>
          <t>Fairness cannot be defined</t>
        </is>
      </c>
      <c r="H33" s="8" t="inlineStr">
        <is>
          <t>He's restating the claim instead of actually explaining why it's fair</t>
        </is>
      </c>
      <c r="I33" s="8" t="inlineStr">
        <is>
          <t>The law was just repealed</t>
        </is>
      </c>
      <c r="J33" s="7" t="n"/>
      <c r="K33" s="7" t="n"/>
      <c r="L33" s="7" t="n"/>
      <c r="M33" s="7" t="n"/>
      <c r="N33" s="7" t="inlineStr">
        <is>
          <t>C</t>
        </is>
      </c>
      <c r="O33" s="7" t="n"/>
      <c r="P33" s="7" t="n"/>
      <c r="Q33" s="7" t="n"/>
      <c r="R33" s="7" t="n"/>
      <c r="S33" s="7" t="n"/>
      <c r="T33" s="7">
        <f>IF(O33="","",IF(O33=N33,1,0))</f>
        <v/>
      </c>
      <c r="U33" s="8" t="n"/>
    </row>
    <row r="34">
      <c r="A34" s="7" t="n">
        <v>4</v>
      </c>
      <c r="B34" s="7" t="n">
        <v>3</v>
      </c>
      <c r="C34" s="7" t="inlineStr">
        <is>
          <t>Decision Making</t>
        </is>
      </c>
      <c r="D34" s="7" t="inlineStr">
        <is>
          <t>Scored</t>
        </is>
      </c>
      <c r="E34" s="8" t="inlineStr">
        <is>
          <t>You have 42 minutes. finish the group poster takes 20 minutes, prepare for the debate takes 22 minutes, and revise for the quiz takes 27 minutes. You must skip exactly one of them to fit the other two into your 42 minutes. Which should you skip?</t>
        </is>
      </c>
      <c r="F34" s="8" t="inlineStr">
        <is>
          <t>prepare for the debate</t>
        </is>
      </c>
      <c r="G34" s="8" t="inlineStr">
        <is>
          <t>finish the group poster</t>
        </is>
      </c>
      <c r="H34" s="8" t="inlineStr">
        <is>
          <t>revise for the quiz</t>
        </is>
      </c>
      <c r="I34" s="8" t="inlineStr">
        <is>
          <t>It's impossible to fit any two</t>
        </is>
      </c>
      <c r="J34" s="7" t="n"/>
      <c r="K34" s="7" t="n"/>
      <c r="L34" s="7" t="n"/>
      <c r="M34" s="7" t="n"/>
      <c r="N34" s="7" t="inlineStr">
        <is>
          <t>C</t>
        </is>
      </c>
      <c r="O34" s="7" t="n"/>
      <c r="P34" s="7" t="n"/>
      <c r="Q34" s="7" t="n"/>
      <c r="R34" s="7" t="n"/>
      <c r="S34" s="7" t="n"/>
      <c r="T34" s="7">
        <f>IF(O34="","",IF(O34=N34,1,0))</f>
        <v/>
      </c>
      <c r="U34" s="8" t="n"/>
    </row>
    <row r="35">
      <c r="A35" s="7" t="n">
        <v>4</v>
      </c>
      <c r="B35" s="7" t="n">
        <v>4</v>
      </c>
      <c r="C35" s="7" t="inlineStr">
        <is>
          <t>Mental Math</t>
        </is>
      </c>
      <c r="D35" s="7" t="inlineStr">
        <is>
          <t>Scored</t>
        </is>
      </c>
      <c r="E35" s="8" t="inlineStr">
        <is>
          <t>I'm thinking of a number. If you double it, then add 6, you get 24. What's my number?</t>
        </is>
      </c>
      <c r="F35" s="8" t="inlineStr">
        <is>
          <t>10</t>
        </is>
      </c>
      <c r="G35" s="8" t="inlineStr">
        <is>
          <t>11</t>
        </is>
      </c>
      <c r="H35" s="8" t="inlineStr">
        <is>
          <t>8</t>
        </is>
      </c>
      <c r="I35" s="8" t="inlineStr">
        <is>
          <t>9</t>
        </is>
      </c>
      <c r="J35" s="7" t="n"/>
      <c r="K35" s="7" t="n"/>
      <c r="L35" s="7" t="n"/>
      <c r="M35" s="7" t="n"/>
      <c r="N35" s="7" t="inlineStr">
        <is>
          <t>D</t>
        </is>
      </c>
      <c r="O35" s="7" t="n"/>
      <c r="P35" s="7" t="n"/>
      <c r="Q35" s="7" t="n"/>
      <c r="R35" s="7" t="n"/>
      <c r="S35" s="7" t="n"/>
      <c r="T35" s="7">
        <f>IF(O35="","",IF(O35=N35,1,0))</f>
        <v/>
      </c>
      <c r="U35" s="8" t="n"/>
    </row>
    <row r="36">
      <c r="A36" s="7" t="n">
        <v>4</v>
      </c>
      <c r="B36" s="7" t="n">
        <v>5</v>
      </c>
      <c r="C36" s="7" t="inlineStr">
        <is>
          <t>Cognitive Academia</t>
        </is>
      </c>
      <c r="D36" s="7" t="inlineStr">
        <is>
          <t>Scored</t>
        </is>
      </c>
      <c r="E36" s="8" t="inlineStr">
        <is>
          <t>What comes next in this pattern: 5, 15, 45, 135, ?</t>
        </is>
      </c>
      <c r="F36" s="8" t="inlineStr">
        <is>
          <t>138</t>
        </is>
      </c>
      <c r="G36" s="8" t="inlineStr">
        <is>
          <t>405</t>
        </is>
      </c>
      <c r="H36" s="8" t="inlineStr">
        <is>
          <t>408</t>
        </is>
      </c>
      <c r="I36" s="8" t="inlineStr">
        <is>
          <t>225</t>
        </is>
      </c>
      <c r="J36" s="7" t="n"/>
      <c r="K36" s="7" t="n"/>
      <c r="L36" s="7" t="n"/>
      <c r="M36" s="7" t="n"/>
      <c r="N36" s="7" t="inlineStr">
        <is>
          <t>B</t>
        </is>
      </c>
      <c r="O36" s="7" t="n"/>
      <c r="P36" s="7" t="n"/>
      <c r="Q36" s="7" t="n"/>
      <c r="R36" s="7" t="n"/>
      <c r="S36" s="7" t="n"/>
      <c r="T36" s="7">
        <f>IF(O36="","",IF(O36=N36,1,0))</f>
        <v/>
      </c>
      <c r="U36" s="8" t="n"/>
    </row>
    <row r="37">
      <c r="A37" s="7" t="n">
        <v>4</v>
      </c>
      <c r="B37" s="7" t="n">
        <v>6</v>
      </c>
      <c r="C37" s="7" t="inlineStr">
        <is>
          <t>Leadership / Communication / Emotional &amp; Social</t>
        </is>
      </c>
      <c r="D37" s="7" t="inlineStr">
        <is>
          <t>Self-report (most/least)</t>
        </is>
      </c>
      <c r="E37" s="8" t="inlineStr">
        <is>
          <t>A teammate takes credit for an idea that was actually yours, in front of the whole class.</t>
        </is>
      </c>
      <c r="F37" s="8" t="inlineStr">
        <is>
          <t>You take responsibility when something goes wrong</t>
        </is>
      </c>
      <c r="G37" s="8" t="inlineStr">
        <is>
          <t>You handle disagreements without escalating them</t>
        </is>
      </c>
      <c r="H37" s="8" t="inlineStr">
        <is>
          <t>You'd step back and observe before choosing any of these</t>
        </is>
      </c>
      <c r="I37" s="8" t="inlineStr">
        <is>
          <t>You like presenting your ideas to the class</t>
        </is>
      </c>
      <c r="J37" s="7" t="inlineStr">
        <is>
          <t>LD</t>
        </is>
      </c>
      <c r="K37" s="7" t="inlineStr">
        <is>
          <t>ES</t>
        </is>
      </c>
      <c r="L37" s="7" t="inlineStr"/>
      <c r="M37" s="7" t="inlineStr">
        <is>
          <t>CM</t>
        </is>
      </c>
      <c r="N37" s="7" t="n"/>
      <c r="O37" s="7" t="n"/>
      <c r="P37" s="7" t="n"/>
      <c r="Q37" s="7" t="n"/>
      <c r="R37" s="7">
        <f>IFERROR(INDEX(J37:M37,MATCH(P37,{"A","B","C","D"},0)),"")</f>
        <v/>
      </c>
      <c r="S37" s="7">
        <f>IFERROR(INDEX(J37:M37,MATCH(Q37,{"A","B","C","D"},0)),"")</f>
        <v/>
      </c>
      <c r="T37" s="7" t="n"/>
      <c r="U37" s="8" t="n"/>
    </row>
    <row r="38">
      <c r="A38" s="7" t="n">
        <v>4</v>
      </c>
      <c r="B38" s="7" t="n">
        <v>7</v>
      </c>
      <c r="C38" s="7" t="inlineStr">
        <is>
          <t>Leadership / Communication / Emotional &amp; Social</t>
        </is>
      </c>
      <c r="D38" s="7" t="inlineStr">
        <is>
          <t>Self-report (most/least)</t>
        </is>
      </c>
      <c r="E38" s="8" t="inlineStr">
        <is>
          <t>Your group project partner just told you, the night before it's due, that they haven't started their part.</t>
        </is>
      </c>
      <c r="F38" s="8" t="inlineStr">
        <is>
          <t>You feel confident making decisions for the group</t>
        </is>
      </c>
      <c r="G38" s="8" t="inlineStr">
        <is>
          <t>None of these feel like you in this moment</t>
        </is>
      </c>
      <c r="H38" s="8" t="inlineStr">
        <is>
          <t>You think about how others might feel before acting</t>
        </is>
      </c>
      <c r="I38" s="8" t="inlineStr">
        <is>
          <t>You enjoy discussing new topics with others</t>
        </is>
      </c>
      <c r="J38" s="7" t="inlineStr">
        <is>
          <t>LD</t>
        </is>
      </c>
      <c r="K38" s="7" t="inlineStr"/>
      <c r="L38" s="7" t="inlineStr">
        <is>
          <t>ES</t>
        </is>
      </c>
      <c r="M38" s="7" t="inlineStr">
        <is>
          <t>CM</t>
        </is>
      </c>
      <c r="N38" s="7" t="n"/>
      <c r="O38" s="7" t="n"/>
      <c r="P38" s="7" t="n"/>
      <c r="Q38" s="7" t="n"/>
      <c r="R38" s="7">
        <f>IFERROR(INDEX(J38:M38,MATCH(P38,{"A","B","C","D"},0)),"")</f>
        <v/>
      </c>
      <c r="S38" s="7">
        <f>IFERROR(INDEX(J38:M38,MATCH(Q38,{"A","B","C","D"},0)),"")</f>
        <v/>
      </c>
      <c r="T38" s="7" t="n"/>
      <c r="U38" s="8" t="n"/>
    </row>
    <row r="39">
      <c r="A39" s="7" t="n">
        <v>4</v>
      </c>
      <c r="B39" s="7" t="n">
        <v>8</v>
      </c>
      <c r="C39" s="7" t="inlineStr">
        <is>
          <t>Leadership / Communication / Emotional &amp; Social</t>
        </is>
      </c>
      <c r="D39" s="7" t="inlineStr">
        <is>
          <t>Self-report (most/least)</t>
        </is>
      </c>
      <c r="E39" s="8" t="inlineStr">
        <is>
          <t>You're presenting in front of the whole grade and the projector dies right as you begin.</t>
        </is>
      </c>
      <c r="F39" s="8" t="inlineStr">
        <is>
          <t>You naturally end up being the one who decides</t>
        </is>
      </c>
      <c r="G39" s="8" t="inlineStr">
        <is>
          <t>You'd need more time before reacting at all</t>
        </is>
      </c>
      <c r="H39" s="8" t="inlineStr">
        <is>
          <t>You enjoy helping a friend work through a problem</t>
        </is>
      </c>
      <c r="I39" s="8" t="inlineStr">
        <is>
          <t>You like structuring your thoughts before speaking</t>
        </is>
      </c>
      <c r="J39" s="7" t="inlineStr">
        <is>
          <t>LD</t>
        </is>
      </c>
      <c r="K39" s="7" t="inlineStr"/>
      <c r="L39" s="7" t="inlineStr">
        <is>
          <t>ES</t>
        </is>
      </c>
      <c r="M39" s="7" t="inlineStr">
        <is>
          <t>CM</t>
        </is>
      </c>
      <c r="N39" s="7" t="n"/>
      <c r="O39" s="7" t="n"/>
      <c r="P39" s="7" t="n"/>
      <c r="Q39" s="7" t="n"/>
      <c r="R39" s="7">
        <f>IFERROR(INDEX(J39:M39,MATCH(P39,{"A","B","C","D"},0)),"")</f>
        <v/>
      </c>
      <c r="S39" s="7">
        <f>IFERROR(INDEX(J39:M39,MATCH(Q39,{"A","B","C","D"},0)),"")</f>
        <v/>
      </c>
      <c r="T39" s="7" t="n"/>
      <c r="U39" s="8" t="n"/>
    </row>
    <row r="40">
      <c r="A40" s="7" t="n">
        <v>4</v>
      </c>
      <c r="B40" s="7" t="n">
        <v>9</v>
      </c>
      <c r="C40" s="7" t="inlineStr">
        <is>
          <t>Creative Skills</t>
        </is>
      </c>
      <c r="D40" s="7" t="inlineStr">
        <is>
          <t>Open-ended (not auto-scored)</t>
        </is>
      </c>
      <c r="E40" s="8" t="inlineStr">
        <is>
          <t>If you could redesign the school canteen menu with one wild new dish, what would it be?</t>
        </is>
      </c>
      <c r="F40" s="8" t="n"/>
      <c r="G40" s="8" t="n"/>
      <c r="H40" s="8" t="n"/>
      <c r="I40" s="8" t="n"/>
      <c r="J40" s="7" t="n"/>
      <c r="K40" s="7" t="n"/>
      <c r="L40" s="7" t="n"/>
      <c r="M40" s="7" t="n"/>
      <c r="N40" s="7" t="n"/>
      <c r="O40" s="7" t="n"/>
      <c r="P40" s="7" t="n"/>
      <c r="Q40" s="7" t="n"/>
      <c r="R40" s="7" t="n"/>
      <c r="S40" s="7" t="n"/>
      <c r="T40" s="7" t="n"/>
      <c r="U40" s="8" t="n"/>
    </row>
    <row r="41">
      <c r="A41" s="7" t="n">
        <v>4</v>
      </c>
      <c r="B41" s="7" t="n">
        <v>10</v>
      </c>
      <c r="C41" s="7" t="inlineStr">
        <is>
          <t>Listening Skills</t>
        </is>
      </c>
      <c r="D41" s="7" t="inlineStr">
        <is>
          <t>Scored</t>
        </is>
      </c>
      <c r="E41" s="8" t="inlineStr">
        <is>
          <t>[Read once, then answer without re-reading] “At the science fair, the judges reviewed the display, asked three questions, and then moved to the next table.”  ||  What happened last?</t>
        </is>
      </c>
      <c r="F41" s="8" t="inlineStr">
        <is>
          <t>asked three questions</t>
        </is>
      </c>
      <c r="G41" s="8" t="inlineStr">
        <is>
          <t>reviewed the display</t>
        </is>
      </c>
      <c r="H41" s="8" t="inlineStr">
        <is>
          <t>awarded a trophy</t>
        </is>
      </c>
      <c r="I41" s="8" t="inlineStr">
        <is>
          <t>moved to the next table</t>
        </is>
      </c>
      <c r="J41" s="7" t="n"/>
      <c r="K41" s="7" t="n"/>
      <c r="L41" s="7" t="n"/>
      <c r="M41" s="7" t="n"/>
      <c r="N41" s="7" t="inlineStr">
        <is>
          <t>D</t>
        </is>
      </c>
      <c r="O41" s="7" t="n"/>
      <c r="P41" s="7" t="n"/>
      <c r="Q41" s="7" t="n"/>
      <c r="R41" s="7" t="n"/>
      <c r="S41" s="7" t="n"/>
      <c r="T41" s="7">
        <f>IF(O41="","",IF(O41=N41,1,0))</f>
        <v/>
      </c>
      <c r="U41" s="8" t="n"/>
    </row>
    <row r="42">
      <c r="A42" s="5" t="n">
        <v>5</v>
      </c>
      <c r="B42" s="5" t="n">
        <v>1</v>
      </c>
      <c r="C42" s="5" t="inlineStr">
        <is>
          <t>Problem Solving</t>
        </is>
      </c>
      <c r="D42" s="5" t="inlineStr">
        <is>
          <t>Scored</t>
        </is>
      </c>
      <c r="E42" s="6" t="inlineStr">
        <is>
          <t>Three classmates — Hana, Zara, Wei — are presenting their projects in order. Wei is not last. Zara is not first. Zara is not in the middle. Hana is not in the middle. Who is in the middle?</t>
        </is>
      </c>
      <c r="F42" s="6" t="inlineStr">
        <is>
          <t>Hana</t>
        </is>
      </c>
      <c r="G42" s="6" t="inlineStr">
        <is>
          <t>Cannot be determined</t>
        </is>
      </c>
      <c r="H42" s="6" t="inlineStr">
        <is>
          <t>Wei</t>
        </is>
      </c>
      <c r="I42" s="6" t="inlineStr">
        <is>
          <t>Zara</t>
        </is>
      </c>
      <c r="J42" s="5" t="n"/>
      <c r="K42" s="5" t="n"/>
      <c r="L42" s="5" t="n"/>
      <c r="M42" s="5" t="n"/>
      <c r="N42" s="5" t="inlineStr">
        <is>
          <t>C</t>
        </is>
      </c>
      <c r="O42" s="5" t="n"/>
      <c r="P42" s="5" t="n"/>
      <c r="Q42" s="5" t="n"/>
      <c r="R42" s="5" t="n"/>
      <c r="S42" s="5" t="n"/>
      <c r="T42" s="5">
        <f>IF(O42="","",IF(O42=N42,1,0))</f>
        <v/>
      </c>
      <c r="U42" s="6" t="n"/>
    </row>
    <row r="43">
      <c r="A43" s="5" t="n">
        <v>5</v>
      </c>
      <c r="B43" s="5" t="n">
        <v>2</v>
      </c>
      <c r="C43" s="5" t="inlineStr">
        <is>
          <t>Critical Thinking</t>
        </is>
      </c>
      <c r="D43" s="5" t="inlineStr">
        <is>
          <t>Scored</t>
        </is>
      </c>
      <c r="E43" s="6" t="inlineStr">
        <is>
          <t>Riya says: 'Half my school signed a petition against the new dress code, so the dress code must be wrong.' What's the actual flaw in this reasoning?</t>
        </is>
      </c>
      <c r="F43" s="6" t="inlineStr">
        <is>
          <t>Petitions are always accurate</t>
        </is>
      </c>
      <c r="G43" s="6" t="inlineStr">
        <is>
          <t>No one signed the petition</t>
        </is>
      </c>
      <c r="H43" s="6" t="inlineStr">
        <is>
          <t>The dress code doesn't exist</t>
        </is>
      </c>
      <c r="I43" s="6" t="inlineStr">
        <is>
          <t>She's treating popularity as proof, rather than evaluating the actual reasons</t>
        </is>
      </c>
      <c r="J43" s="5" t="n"/>
      <c r="K43" s="5" t="n"/>
      <c r="L43" s="5" t="n"/>
      <c r="M43" s="5" t="n"/>
      <c r="N43" s="5" t="inlineStr">
        <is>
          <t>D</t>
        </is>
      </c>
      <c r="O43" s="5" t="n"/>
      <c r="P43" s="5" t="n"/>
      <c r="Q43" s="5" t="n"/>
      <c r="R43" s="5" t="n"/>
      <c r="S43" s="5" t="n"/>
      <c r="T43" s="5">
        <f>IF(O43="","",IF(O43=N43,1,0))</f>
        <v/>
      </c>
      <c r="U43" s="6" t="n"/>
    </row>
    <row r="44">
      <c r="A44" s="5" t="n">
        <v>5</v>
      </c>
      <c r="B44" s="5" t="n">
        <v>3</v>
      </c>
      <c r="C44" s="5" t="inlineStr">
        <is>
          <t>Decision Making</t>
        </is>
      </c>
      <c r="D44" s="5" t="inlineStr">
        <is>
          <t>Scored</t>
        </is>
      </c>
      <c r="E44" s="6" t="inlineStr">
        <is>
          <t>You only have time for ONE of these right now. Which gives the best value for the effort it takes?</t>
        </is>
      </c>
      <c r="F44" s="6" t="inlineStr">
        <is>
          <t>prepare for the debate (effort 3, value 5)</t>
        </is>
      </c>
      <c r="G44" s="6" t="inlineStr">
        <is>
          <t>finish the group poster (effort 7, value 10)</t>
        </is>
      </c>
      <c r="H44" s="6" t="inlineStr">
        <is>
          <t>revise for the quiz (effort 2, value 3)</t>
        </is>
      </c>
      <c r="I44" s="6" t="inlineStr">
        <is>
          <t>They are all equally good choices</t>
        </is>
      </c>
      <c r="J44" s="5" t="n"/>
      <c r="K44" s="5" t="n"/>
      <c r="L44" s="5" t="n"/>
      <c r="M44" s="5" t="n"/>
      <c r="N44" s="5" t="inlineStr">
        <is>
          <t>A</t>
        </is>
      </c>
      <c r="O44" s="5" t="n"/>
      <c r="P44" s="5" t="n"/>
      <c r="Q44" s="5" t="n"/>
      <c r="R44" s="5" t="n"/>
      <c r="S44" s="5" t="n"/>
      <c r="T44" s="5">
        <f>IF(O44="","",IF(O44=N44,1,0))</f>
        <v/>
      </c>
      <c r="U44" s="6" t="n"/>
    </row>
    <row r="45">
      <c r="A45" s="5" t="n">
        <v>5</v>
      </c>
      <c r="B45" s="5" t="n">
        <v>4</v>
      </c>
      <c r="C45" s="5" t="inlineStr">
        <is>
          <t>Mental Math</t>
        </is>
      </c>
      <c r="D45" s="5" t="inlineStr">
        <is>
          <t>Scored</t>
        </is>
      </c>
      <c r="E45" s="6" t="inlineStr">
        <is>
          <t>After spending 15 and later receiving 5 as a gift, Ravi has 24. How much did Ravi start with?</t>
        </is>
      </c>
      <c r="F45" s="6" t="inlineStr">
        <is>
          <t>24</t>
        </is>
      </c>
      <c r="G45" s="6" t="inlineStr">
        <is>
          <t>34</t>
        </is>
      </c>
      <c r="H45" s="6" t="inlineStr">
        <is>
          <t>29</t>
        </is>
      </c>
      <c r="I45" s="6" t="inlineStr">
        <is>
          <t>49</t>
        </is>
      </c>
      <c r="J45" s="5" t="n"/>
      <c r="K45" s="5" t="n"/>
      <c r="L45" s="5" t="n"/>
      <c r="M45" s="5" t="n"/>
      <c r="N45" s="5" t="inlineStr">
        <is>
          <t>B</t>
        </is>
      </c>
      <c r="O45" s="5" t="n"/>
      <c r="P45" s="5" t="n"/>
      <c r="Q45" s="5" t="n"/>
      <c r="R45" s="5" t="n"/>
      <c r="S45" s="5" t="n"/>
      <c r="T45" s="5">
        <f>IF(O45="","",IF(O45=N45,1,0))</f>
        <v/>
      </c>
      <c r="U45" s="6" t="n"/>
    </row>
    <row r="46">
      <c r="A46" s="5" t="n">
        <v>5</v>
      </c>
      <c r="B46" s="5" t="n">
        <v>5</v>
      </c>
      <c r="C46" s="5" t="inlineStr">
        <is>
          <t>Cognitive Academia</t>
        </is>
      </c>
      <c r="D46" s="5" t="inlineStr">
        <is>
          <t>Scored</t>
        </is>
      </c>
      <c r="E46" s="6" t="inlineStr">
        <is>
          <t>What comes next in this pattern: 4, 6, 11, 19, 30, ?</t>
        </is>
      </c>
      <c r="F46" s="6" t="inlineStr">
        <is>
          <t>47</t>
        </is>
      </c>
      <c r="G46" s="6" t="inlineStr">
        <is>
          <t>50</t>
        </is>
      </c>
      <c r="H46" s="6" t="inlineStr">
        <is>
          <t>44</t>
        </is>
      </c>
      <c r="I46" s="6" t="inlineStr">
        <is>
          <t>41</t>
        </is>
      </c>
      <c r="J46" s="5" t="n"/>
      <c r="K46" s="5" t="n"/>
      <c r="L46" s="5" t="n"/>
      <c r="M46" s="5" t="n"/>
      <c r="N46" s="5" t="inlineStr">
        <is>
          <t>C</t>
        </is>
      </c>
      <c r="O46" s="5" t="n"/>
      <c r="P46" s="5" t="n"/>
      <c r="Q46" s="5" t="n"/>
      <c r="R46" s="5" t="n"/>
      <c r="S46" s="5" t="n"/>
      <c r="T46" s="5">
        <f>IF(O46="","",IF(O46=N46,1,0))</f>
        <v/>
      </c>
      <c r="U46" s="6" t="n"/>
    </row>
    <row r="47">
      <c r="A47" s="5" t="n">
        <v>5</v>
      </c>
      <c r="B47" s="5" t="n">
        <v>6</v>
      </c>
      <c r="C47" s="5" t="inlineStr">
        <is>
          <t>Leadership / Communication / Emotional &amp; Social</t>
        </is>
      </c>
      <c r="D47" s="5" t="inlineStr">
        <is>
          <t>Self-report (most/least)</t>
        </is>
      </c>
      <c r="E47" s="6" t="inlineStr">
        <is>
          <t>A rumour about a classmate is spreading fast in the group chat and you know it isn't true.</t>
        </is>
      </c>
      <c r="F47" s="6" t="inlineStr">
        <is>
          <t>You stay calm even under exam pressure</t>
        </is>
      </c>
      <c r="G47" s="6" t="inlineStr">
        <is>
          <t>You like asking questions to clarify confusing topics</t>
        </is>
      </c>
      <c r="H47" s="6" t="inlineStr">
        <is>
          <t>You like organizing the group's plan of action</t>
        </is>
      </c>
      <c r="I47" s="6" t="inlineStr">
        <is>
          <t>None of these feel like you in this moment</t>
        </is>
      </c>
      <c r="J47" s="5" t="inlineStr">
        <is>
          <t>ES</t>
        </is>
      </c>
      <c r="K47" s="5" t="inlineStr">
        <is>
          <t>CM</t>
        </is>
      </c>
      <c r="L47" s="5" t="inlineStr">
        <is>
          <t>LD</t>
        </is>
      </c>
      <c r="M47" s="5" t="inlineStr"/>
      <c r="N47" s="5" t="n"/>
      <c r="O47" s="5" t="n"/>
      <c r="P47" s="5" t="n"/>
      <c r="Q47" s="5" t="n"/>
      <c r="R47" s="5">
        <f>IFERROR(INDEX(J47:M47,MATCH(P47,{"A","B","C","D"},0)),"")</f>
        <v/>
      </c>
      <c r="S47" s="5">
        <f>IFERROR(INDEX(J47:M47,MATCH(Q47,{"A","B","C","D"},0)),"")</f>
        <v/>
      </c>
      <c r="T47" s="5" t="n"/>
      <c r="U47" s="6" t="n"/>
    </row>
    <row r="48">
      <c r="A48" s="5" t="n">
        <v>5</v>
      </c>
      <c r="B48" s="5" t="n">
        <v>7</v>
      </c>
      <c r="C48" s="5" t="inlineStr">
        <is>
          <t>Leadership / Communication / Emotional &amp; Social</t>
        </is>
      </c>
      <c r="D48" s="5" t="inlineStr">
        <is>
          <t>Self-report (most/least)</t>
        </is>
      </c>
      <c r="E48" s="6" t="inlineStr">
        <is>
          <t>Your team is down to the last relay leg of sports day and everything depends on the next thirty seconds.</t>
        </is>
      </c>
      <c r="F48" s="6" t="inlineStr">
        <is>
          <t>You can sense how someone feels without them saying it</t>
        </is>
      </c>
      <c r="G48" s="6" t="inlineStr">
        <is>
          <t>You make sure your point comes across without confusion</t>
        </is>
      </c>
      <c r="H48" s="6" t="inlineStr">
        <is>
          <t>You enjoy being chosen to head a team or committee</t>
        </is>
      </c>
      <c r="I48" s="6" t="inlineStr">
        <is>
          <t>You'd need more time before reacting at all</t>
        </is>
      </c>
      <c r="J48" s="5" t="inlineStr">
        <is>
          <t>ES</t>
        </is>
      </c>
      <c r="K48" s="5" t="inlineStr">
        <is>
          <t>CM</t>
        </is>
      </c>
      <c r="L48" s="5" t="inlineStr">
        <is>
          <t>LD</t>
        </is>
      </c>
      <c r="M48" s="5" t="inlineStr"/>
      <c r="N48" s="5" t="n"/>
      <c r="O48" s="5" t="n"/>
      <c r="P48" s="5" t="n"/>
      <c r="Q48" s="5" t="n"/>
      <c r="R48" s="5">
        <f>IFERROR(INDEX(J48:M48,MATCH(P48,{"A","B","C","D"},0)),"")</f>
        <v/>
      </c>
      <c r="S48" s="5">
        <f>IFERROR(INDEX(J48:M48,MATCH(Q48,{"A","B","C","D"},0)),"")</f>
        <v/>
      </c>
      <c r="T48" s="5" t="n"/>
      <c r="U48" s="6" t="n"/>
    </row>
    <row r="49">
      <c r="A49" s="5" t="n">
        <v>5</v>
      </c>
      <c r="B49" s="5" t="n">
        <v>8</v>
      </c>
      <c r="C49" s="5" t="inlineStr">
        <is>
          <t>Leadership / Communication / Emotional &amp; Social</t>
        </is>
      </c>
      <c r="D49" s="5" t="inlineStr">
        <is>
          <t>Self-report (most/least)</t>
        </is>
      </c>
      <c r="E49" s="6" t="inlineStr">
        <is>
          <t>You just realized you studied the wrong chapter the night before a big test.</t>
        </is>
      </c>
      <c r="F49" s="6" t="inlineStr">
        <is>
          <t>You'd rather wait and see what others do first</t>
        </is>
      </c>
      <c r="G49" s="6" t="inlineStr">
        <is>
          <t>You find the right words to explain something complex</t>
        </is>
      </c>
      <c r="H49" s="6" t="inlineStr">
        <is>
          <t>You like setting goals for others to work toward</t>
        </is>
      </c>
      <c r="I49" s="6" t="inlineStr">
        <is>
          <t>You're comfortable talking to new classmates</t>
        </is>
      </c>
      <c r="J49" s="5" t="inlineStr"/>
      <c r="K49" s="5" t="inlineStr">
        <is>
          <t>CM</t>
        </is>
      </c>
      <c r="L49" s="5" t="inlineStr">
        <is>
          <t>LD</t>
        </is>
      </c>
      <c r="M49" s="5" t="inlineStr">
        <is>
          <t>ES</t>
        </is>
      </c>
      <c r="N49" s="5" t="n"/>
      <c r="O49" s="5" t="n"/>
      <c r="P49" s="5" t="n"/>
      <c r="Q49" s="5" t="n"/>
      <c r="R49" s="5">
        <f>IFERROR(INDEX(J49:M49,MATCH(P49,{"A","B","C","D"},0)),"")</f>
        <v/>
      </c>
      <c r="S49" s="5">
        <f>IFERROR(INDEX(J49:M49,MATCH(Q49,{"A","B","C","D"},0)),"")</f>
        <v/>
      </c>
      <c r="T49" s="5" t="n"/>
      <c r="U49" s="6" t="n"/>
    </row>
    <row r="50">
      <c r="A50" s="5" t="n">
        <v>5</v>
      </c>
      <c r="B50" s="5" t="n">
        <v>9</v>
      </c>
      <c r="C50" s="5" t="inlineStr">
        <is>
          <t>Creative Skills</t>
        </is>
      </c>
      <c r="D50" s="5" t="inlineStr">
        <is>
          <t>Open-ended (not auto-scored)</t>
        </is>
      </c>
      <c r="E50" s="6" t="inlineStr">
        <is>
          <t>Describe a school subject that does not exist yet but should.</t>
        </is>
      </c>
      <c r="F50" s="6" t="n"/>
      <c r="G50" s="6" t="n"/>
      <c r="H50" s="6" t="n"/>
      <c r="I50" s="6" t="n"/>
      <c r="J50" s="5" t="n"/>
      <c r="K50" s="5" t="n"/>
      <c r="L50" s="5" t="n"/>
      <c r="M50" s="5" t="n"/>
      <c r="N50" s="5" t="n"/>
      <c r="O50" s="5" t="n"/>
      <c r="P50" s="5" t="n"/>
      <c r="Q50" s="5" t="n"/>
      <c r="R50" s="5" t="n"/>
      <c r="S50" s="5" t="n"/>
      <c r="T50" s="5" t="n"/>
      <c r="U50" s="6" t="n"/>
    </row>
    <row r="51">
      <c r="A51" s="5" t="n">
        <v>5</v>
      </c>
      <c r="B51" s="5" t="n">
        <v>10</v>
      </c>
      <c r="C51" s="5" t="inlineStr">
        <is>
          <t>Listening Skills</t>
        </is>
      </c>
      <c r="D51" s="5" t="inlineStr">
        <is>
          <t>Scored</t>
        </is>
      </c>
      <c r="E51" s="6" t="inlineStr">
        <is>
          <t>[Read once, then answer without re-reading] “Before the quiz, Riya organised her flashcards, tested herself twice, and finally packed her bag for the morning.”  ||  What happened last?</t>
        </is>
      </c>
      <c r="F51" s="6" t="inlineStr">
        <is>
          <t>organised her flashcards</t>
        </is>
      </c>
      <c r="G51" s="6" t="inlineStr">
        <is>
          <t>called a classmate</t>
        </is>
      </c>
      <c r="H51" s="6" t="inlineStr">
        <is>
          <t>packed her bag</t>
        </is>
      </c>
      <c r="I51" s="6" t="inlineStr">
        <is>
          <t>tested herself twice</t>
        </is>
      </c>
      <c r="J51" s="5" t="n"/>
      <c r="K51" s="5" t="n"/>
      <c r="L51" s="5" t="n"/>
      <c r="M51" s="5" t="n"/>
      <c r="N51" s="5" t="inlineStr">
        <is>
          <t>C</t>
        </is>
      </c>
      <c r="O51" s="5" t="n"/>
      <c r="P51" s="5" t="n"/>
      <c r="Q51" s="5" t="n"/>
      <c r="R51" s="5" t="n"/>
      <c r="S51" s="5" t="n"/>
      <c r="T51" s="5">
        <f>IF(O51="","",IF(O51=N51,1,0))</f>
        <v/>
      </c>
      <c r="U51" s="6" t="n"/>
    </row>
    <row r="52">
      <c r="A52" s="7" t="n">
        <v>6</v>
      </c>
      <c r="B52" s="7" t="n">
        <v>1</v>
      </c>
      <c r="C52" s="7" t="inlineStr">
        <is>
          <t>Problem Solving</t>
        </is>
      </c>
      <c r="D52" s="7" t="inlineStr">
        <is>
          <t>Scored</t>
        </is>
      </c>
      <c r="E52" s="8" t="inlineStr">
        <is>
          <t>Three classmates — Rhea, Omar, Noah — are presenting their projects in order. Omar is not in the middle. Omar is not last. Noah is not last. Who is last?</t>
        </is>
      </c>
      <c r="F52" s="8" t="inlineStr">
        <is>
          <t>Cannot be determined</t>
        </is>
      </c>
      <c r="G52" s="8" t="inlineStr">
        <is>
          <t>Rhea</t>
        </is>
      </c>
      <c r="H52" s="8" t="inlineStr">
        <is>
          <t>Omar</t>
        </is>
      </c>
      <c r="I52" s="8" t="inlineStr">
        <is>
          <t>Noah</t>
        </is>
      </c>
      <c r="J52" s="7" t="n"/>
      <c r="K52" s="7" t="n"/>
      <c r="L52" s="7" t="n"/>
      <c r="M52" s="7" t="n"/>
      <c r="N52" s="7" t="inlineStr">
        <is>
          <t>B</t>
        </is>
      </c>
      <c r="O52" s="7" t="n"/>
      <c r="P52" s="7" t="n"/>
      <c r="Q52" s="7" t="n"/>
      <c r="R52" s="7" t="n"/>
      <c r="S52" s="7" t="n"/>
      <c r="T52" s="7">
        <f>IF(O52="","",IF(O52=N52,1,0))</f>
        <v/>
      </c>
      <c r="U52" s="8" t="n"/>
    </row>
    <row r="53">
      <c r="A53" s="7" t="n">
        <v>6</v>
      </c>
      <c r="B53" s="7" t="n">
        <v>2</v>
      </c>
      <c r="C53" s="7" t="inlineStr">
        <is>
          <t>Critical Thinking</t>
        </is>
      </c>
      <c r="D53" s="7" t="inlineStr">
        <is>
          <t>Scored</t>
        </is>
      </c>
      <c r="E53" s="8" t="inlineStr">
        <is>
          <t>A principal warns: 'If we allow phones during lunch, soon students will be on phones all day and grades will collapse.' What's the actual flaw in this reasoning?</t>
        </is>
      </c>
      <c r="F53" s="8" t="inlineStr">
        <is>
          <t>He's assuming a small change will snowball into an extreme outcome</t>
        </is>
      </c>
      <c r="G53" s="8" t="inlineStr">
        <is>
          <t>Lunch periods don't exist</t>
        </is>
      </c>
      <c r="H53" s="8" t="inlineStr">
        <is>
          <t>Phones are already banned everywhere</t>
        </is>
      </c>
      <c r="I53" s="8" t="inlineStr">
        <is>
          <t>Grades cannot be affected by phones</t>
        </is>
      </c>
      <c r="J53" s="7" t="n"/>
      <c r="K53" s="7" t="n"/>
      <c r="L53" s="7" t="n"/>
      <c r="M53" s="7" t="n"/>
      <c r="N53" s="7" t="inlineStr">
        <is>
          <t>A</t>
        </is>
      </c>
      <c r="O53" s="7" t="n"/>
      <c r="P53" s="7" t="n"/>
      <c r="Q53" s="7" t="n"/>
      <c r="R53" s="7" t="n"/>
      <c r="S53" s="7" t="n"/>
      <c r="T53" s="7">
        <f>IF(O53="","",IF(O53=N53,1,0))</f>
        <v/>
      </c>
      <c r="U53" s="8" t="n"/>
    </row>
    <row r="54">
      <c r="A54" s="7" t="n">
        <v>6</v>
      </c>
      <c r="B54" s="7" t="n">
        <v>3</v>
      </c>
      <c r="C54" s="7" t="inlineStr">
        <is>
          <t>Decision Making</t>
        </is>
      </c>
      <c r="D54" s="7" t="inlineStr">
        <is>
          <t>Scored</t>
        </is>
      </c>
      <c r="E54" s="8" t="inlineStr">
        <is>
          <t>You have 44 minutes. revise for the quiz takes 23 minutes, prepare for the debate takes 21 minutes, and submit your history essay takes 30 minutes. You must skip exactly one of them to fit the other two into your 44 minutes. Which should you skip?</t>
        </is>
      </c>
      <c r="F54" s="8" t="inlineStr">
        <is>
          <t>revise for the quiz</t>
        </is>
      </c>
      <c r="G54" s="8" t="inlineStr">
        <is>
          <t>prepare for the debate</t>
        </is>
      </c>
      <c r="H54" s="8" t="inlineStr">
        <is>
          <t>It's impossible to fit any two</t>
        </is>
      </c>
      <c r="I54" s="8" t="inlineStr">
        <is>
          <t>submit your history essay</t>
        </is>
      </c>
      <c r="J54" s="7" t="n"/>
      <c r="K54" s="7" t="n"/>
      <c r="L54" s="7" t="n"/>
      <c r="M54" s="7" t="n"/>
      <c r="N54" s="7" t="inlineStr">
        <is>
          <t>D</t>
        </is>
      </c>
      <c r="O54" s="7" t="n"/>
      <c r="P54" s="7" t="n"/>
      <c r="Q54" s="7" t="n"/>
      <c r="R54" s="7" t="n"/>
      <c r="S54" s="7" t="n"/>
      <c r="T54" s="7">
        <f>IF(O54="","",IF(O54=N54,1,0))</f>
        <v/>
      </c>
      <c r="U54" s="8" t="n"/>
    </row>
    <row r="55">
      <c r="A55" s="7" t="n">
        <v>6</v>
      </c>
      <c r="B55" s="7" t="n">
        <v>4</v>
      </c>
      <c r="C55" s="7" t="inlineStr">
        <is>
          <t>Mental Math</t>
        </is>
      </c>
      <c r="D55" s="7" t="inlineStr">
        <is>
          <t>Scored</t>
        </is>
      </c>
      <c r="E55" s="8" t="inlineStr">
        <is>
          <t>A recipe mixes water and juice concentrate in a 5:4 ratio. If you use 10 units of water, how much juice concentrate do you need?</t>
        </is>
      </c>
      <c r="F55" s="8" t="inlineStr">
        <is>
          <t>12</t>
        </is>
      </c>
      <c r="G55" s="8" t="inlineStr">
        <is>
          <t>4</t>
        </is>
      </c>
      <c r="H55" s="8" t="inlineStr">
        <is>
          <t>10</t>
        </is>
      </c>
      <c r="I55" s="8" t="inlineStr">
        <is>
          <t>8</t>
        </is>
      </c>
      <c r="J55" s="7" t="n"/>
      <c r="K55" s="7" t="n"/>
      <c r="L55" s="7" t="n"/>
      <c r="M55" s="7" t="n"/>
      <c r="N55" s="7" t="inlineStr">
        <is>
          <t>D</t>
        </is>
      </c>
      <c r="O55" s="7" t="n"/>
      <c r="P55" s="7" t="n"/>
      <c r="Q55" s="7" t="n"/>
      <c r="R55" s="7" t="n"/>
      <c r="S55" s="7" t="n"/>
      <c r="T55" s="7">
        <f>IF(O55="","",IF(O55=N55,1,0))</f>
        <v/>
      </c>
      <c r="U55" s="8" t="n"/>
    </row>
    <row r="56">
      <c r="A56" s="7" t="n">
        <v>6</v>
      </c>
      <c r="B56" s="7" t="n">
        <v>5</v>
      </c>
      <c r="C56" s="7" t="inlineStr">
        <is>
          <t>Cognitive Academia</t>
        </is>
      </c>
      <c r="D56" s="7" t="inlineStr">
        <is>
          <t>Scored</t>
        </is>
      </c>
      <c r="E56" s="8" t="inlineStr">
        <is>
          <t>What comes next in this pattern: 3, 6, 10, 15, 21, ?</t>
        </is>
      </c>
      <c r="F56" s="8" t="inlineStr">
        <is>
          <t>28</t>
        </is>
      </c>
      <c r="G56" s="8" t="inlineStr">
        <is>
          <t>29</t>
        </is>
      </c>
      <c r="H56" s="8" t="inlineStr">
        <is>
          <t>30</t>
        </is>
      </c>
      <c r="I56" s="8" t="inlineStr">
        <is>
          <t>27</t>
        </is>
      </c>
      <c r="J56" s="7" t="n"/>
      <c r="K56" s="7" t="n"/>
      <c r="L56" s="7" t="n"/>
      <c r="M56" s="7" t="n"/>
      <c r="N56" s="7" t="inlineStr">
        <is>
          <t>A</t>
        </is>
      </c>
      <c r="O56" s="7" t="n"/>
      <c r="P56" s="7" t="n"/>
      <c r="Q56" s="7" t="n"/>
      <c r="R56" s="7" t="n"/>
      <c r="S56" s="7" t="n"/>
      <c r="T56" s="7">
        <f>IF(O56="","",IF(O56=N56,1,0))</f>
        <v/>
      </c>
      <c r="U56" s="8" t="n"/>
    </row>
    <row r="57">
      <c r="A57" s="7" t="n">
        <v>6</v>
      </c>
      <c r="B57" s="7" t="n">
        <v>6</v>
      </c>
      <c r="C57" s="7" t="inlineStr">
        <is>
          <t>Leadership / Communication / Emotional &amp; Social</t>
        </is>
      </c>
      <c r="D57" s="7" t="inlineStr">
        <is>
          <t>Self-report (most/least)</t>
        </is>
      </c>
      <c r="E57" s="8" t="inlineStr">
        <is>
          <t>A classmate is being excluded from a group activity right in front of you.</t>
        </is>
      </c>
      <c r="F57" s="8" t="inlineStr">
        <is>
          <t>You like structuring your thoughts before speaking</t>
        </is>
      </c>
      <c r="G57" s="8" t="inlineStr">
        <is>
          <t>You'd need more time before reacting at all</t>
        </is>
      </c>
      <c r="H57" s="8" t="inlineStr">
        <is>
          <t>You naturally end up being the one who decides</t>
        </is>
      </c>
      <c r="I57" s="8" t="inlineStr">
        <is>
          <t>You enjoy helping a friend work through a problem</t>
        </is>
      </c>
      <c r="J57" s="7" t="inlineStr">
        <is>
          <t>CM</t>
        </is>
      </c>
      <c r="K57" s="7" t="inlineStr"/>
      <c r="L57" s="7" t="inlineStr">
        <is>
          <t>LD</t>
        </is>
      </c>
      <c r="M57" s="7" t="inlineStr">
        <is>
          <t>ES</t>
        </is>
      </c>
      <c r="N57" s="7" t="n"/>
      <c r="O57" s="7" t="n"/>
      <c r="P57" s="7" t="n"/>
      <c r="Q57" s="7" t="n"/>
      <c r="R57" s="7">
        <f>IFERROR(INDEX(J57:M57,MATCH(P57,{"A","B","C","D"},0)),"")</f>
        <v/>
      </c>
      <c r="S57" s="7">
        <f>IFERROR(INDEX(J57:M57,MATCH(Q57,{"A","B","C","D"},0)),"")</f>
        <v/>
      </c>
      <c r="T57" s="7" t="n"/>
      <c r="U57" s="8" t="n"/>
    </row>
    <row r="58">
      <c r="A58" s="7" t="n">
        <v>6</v>
      </c>
      <c r="B58" s="7" t="n">
        <v>7</v>
      </c>
      <c r="C58" s="7" t="inlineStr">
        <is>
          <t>Leadership / Communication / Emotional &amp; Social</t>
        </is>
      </c>
      <c r="D58" s="7" t="inlineStr">
        <is>
          <t>Self-report (most/least)</t>
        </is>
      </c>
      <c r="E58" s="8" t="inlineStr">
        <is>
          <t>Your robotics team's device stops working two minutes before the competition demo.</t>
        </is>
      </c>
      <c r="F58" s="8" t="inlineStr">
        <is>
          <t>You notice when a friend is feeling stressed</t>
        </is>
      </c>
      <c r="G58" s="8" t="inlineStr">
        <is>
          <t>You explain your ideas clearly so others understand</t>
        </is>
      </c>
      <c r="H58" s="8" t="inlineStr">
        <is>
          <t>You naturally take charge when the group needs direction</t>
        </is>
      </c>
      <c r="I58" s="8" t="inlineStr">
        <is>
          <t>You'd rather wait and see what others do first</t>
        </is>
      </c>
      <c r="J58" s="7" t="inlineStr">
        <is>
          <t>ES</t>
        </is>
      </c>
      <c r="K58" s="7" t="inlineStr">
        <is>
          <t>CM</t>
        </is>
      </c>
      <c r="L58" s="7" t="inlineStr">
        <is>
          <t>LD</t>
        </is>
      </c>
      <c r="M58" s="7" t="inlineStr"/>
      <c r="N58" s="7" t="n"/>
      <c r="O58" s="7" t="n"/>
      <c r="P58" s="7" t="n"/>
      <c r="Q58" s="7" t="n"/>
      <c r="R58" s="7">
        <f>IFERROR(INDEX(J58:M58,MATCH(P58,{"A","B","C","D"},0)),"")</f>
        <v/>
      </c>
      <c r="S58" s="7">
        <f>IFERROR(INDEX(J58:M58,MATCH(Q58,{"A","B","C","D"},0)),"")</f>
        <v/>
      </c>
      <c r="T58" s="7" t="n"/>
      <c r="U58" s="8" t="n"/>
    </row>
    <row r="59">
      <c r="A59" s="7" t="n">
        <v>6</v>
      </c>
      <c r="B59" s="7" t="n">
        <v>8</v>
      </c>
      <c r="C59" s="7" t="inlineStr">
        <is>
          <t>Leadership / Communication / Emotional &amp; Social</t>
        </is>
      </c>
      <c r="D59" s="7" t="inlineStr">
        <is>
          <t>Self-report (most/least)</t>
        </is>
      </c>
      <c r="E59" s="8" t="inlineStr">
        <is>
          <t>You're mediating an argument between two friends who are both upset with each other.</t>
        </is>
      </c>
      <c r="F59" s="8" t="inlineStr">
        <is>
          <t>You'd step back and observe before choosing any of these</t>
        </is>
      </c>
      <c r="G59" s="8" t="inlineStr">
        <is>
          <t>You're good at helping a friend feel better</t>
        </is>
      </c>
      <c r="H59" s="8" t="inlineStr">
        <is>
          <t>You step up to lead when no one else does</t>
        </is>
      </c>
      <c r="I59" s="8" t="inlineStr">
        <is>
          <t>You enjoy writing essays or giving presentations</t>
        </is>
      </c>
      <c r="J59" s="7" t="inlineStr"/>
      <c r="K59" s="7" t="inlineStr">
        <is>
          <t>ES</t>
        </is>
      </c>
      <c r="L59" s="7" t="inlineStr">
        <is>
          <t>LD</t>
        </is>
      </c>
      <c r="M59" s="7" t="inlineStr">
        <is>
          <t>CM</t>
        </is>
      </c>
      <c r="N59" s="7" t="n"/>
      <c r="O59" s="7" t="n"/>
      <c r="P59" s="7" t="n"/>
      <c r="Q59" s="7" t="n"/>
      <c r="R59" s="7">
        <f>IFERROR(INDEX(J59:M59,MATCH(P59,{"A","B","C","D"},0)),"")</f>
        <v/>
      </c>
      <c r="S59" s="7">
        <f>IFERROR(INDEX(J59:M59,MATCH(Q59,{"A","B","C","D"},0)),"")</f>
        <v/>
      </c>
      <c r="T59" s="7" t="n"/>
      <c r="U59" s="8" t="n"/>
    </row>
    <row r="60">
      <c r="A60" s="7" t="n">
        <v>6</v>
      </c>
      <c r="B60" s="7" t="n">
        <v>9</v>
      </c>
      <c r="C60" s="7" t="inlineStr">
        <is>
          <t>Creative Skills</t>
        </is>
      </c>
      <c r="D60" s="7" t="inlineStr">
        <is>
          <t>Open-ended (not auto-scored)</t>
        </is>
      </c>
      <c r="E60" s="8" t="inlineStr">
        <is>
          <t>Invent an app that would genuinely make studying for exams more fun. What does it do?</t>
        </is>
      </c>
      <c r="F60" s="8" t="n"/>
      <c r="G60" s="8" t="n"/>
      <c r="H60" s="8" t="n"/>
      <c r="I60" s="8" t="n"/>
      <c r="J60" s="7" t="n"/>
      <c r="K60" s="7" t="n"/>
      <c r="L60" s="7" t="n"/>
      <c r="M60" s="7" t="n"/>
      <c r="N60" s="7" t="n"/>
      <c r="O60" s="7" t="n"/>
      <c r="P60" s="7" t="n"/>
      <c r="Q60" s="7" t="n"/>
      <c r="R60" s="7" t="n"/>
      <c r="S60" s="7" t="n"/>
      <c r="T60" s="7" t="n"/>
      <c r="U60" s="8" t="n"/>
    </row>
    <row r="61">
      <c r="A61" s="7" t="n">
        <v>6</v>
      </c>
      <c r="B61" s="7" t="n">
        <v>10</v>
      </c>
      <c r="C61" s="7" t="inlineStr">
        <is>
          <t>Listening Skills</t>
        </is>
      </c>
      <c r="D61" s="7" t="inlineStr">
        <is>
          <t>Scored</t>
        </is>
      </c>
      <c r="E61" s="8" t="inlineStr">
        <is>
          <t>[Read once, then answer without re-reading] “During the group project, the team split the research, drafted the slides, and then rehearsed the presentation once.”  ||  What happened last?</t>
        </is>
      </c>
      <c r="F61" s="8" t="inlineStr">
        <is>
          <t>drafted the slides</t>
        </is>
      </c>
      <c r="G61" s="8" t="inlineStr">
        <is>
          <t>split the research</t>
        </is>
      </c>
      <c r="H61" s="8" t="inlineStr">
        <is>
          <t>submitted the final grade</t>
        </is>
      </c>
      <c r="I61" s="8" t="inlineStr">
        <is>
          <t>rehearsed the presentation</t>
        </is>
      </c>
      <c r="J61" s="7" t="n"/>
      <c r="K61" s="7" t="n"/>
      <c r="L61" s="7" t="n"/>
      <c r="M61" s="7" t="n"/>
      <c r="N61" s="7" t="inlineStr">
        <is>
          <t>D</t>
        </is>
      </c>
      <c r="O61" s="7" t="n"/>
      <c r="P61" s="7" t="n"/>
      <c r="Q61" s="7" t="n"/>
      <c r="R61" s="7" t="n"/>
      <c r="S61" s="7" t="n"/>
      <c r="T61" s="7">
        <f>IF(O61="","",IF(O61=N61,1,0))</f>
        <v/>
      </c>
      <c r="U61" s="8" t="n"/>
    </row>
    <row r="62">
      <c r="A62" s="5" t="n">
        <v>7</v>
      </c>
      <c r="B62" s="5" t="n">
        <v>1</v>
      </c>
      <c r="C62" s="5" t="inlineStr">
        <is>
          <t>Problem Solving</t>
        </is>
      </c>
      <c r="D62" s="5" t="inlineStr">
        <is>
          <t>Scored</t>
        </is>
      </c>
      <c r="E62" s="6" t="inlineStr">
        <is>
          <t>Three classmates — Sara, Diya, Gopal — are presenting their projects in order. Diya is not last. Sara is not first. Gopal is not in the middle. Diya is not in the middle. Who is first?</t>
        </is>
      </c>
      <c r="F62" s="6" t="inlineStr">
        <is>
          <t>Sara</t>
        </is>
      </c>
      <c r="G62" s="6" t="inlineStr">
        <is>
          <t>Cannot be determined</t>
        </is>
      </c>
      <c r="H62" s="6" t="inlineStr">
        <is>
          <t>Diya</t>
        </is>
      </c>
      <c r="I62" s="6" t="inlineStr">
        <is>
          <t>Gopal</t>
        </is>
      </c>
      <c r="J62" s="5" t="n"/>
      <c r="K62" s="5" t="n"/>
      <c r="L62" s="5" t="n"/>
      <c r="M62" s="5" t="n"/>
      <c r="N62" s="5" t="inlineStr">
        <is>
          <t>C</t>
        </is>
      </c>
      <c r="O62" s="5" t="n"/>
      <c r="P62" s="5" t="n"/>
      <c r="Q62" s="5" t="n"/>
      <c r="R62" s="5" t="n"/>
      <c r="S62" s="5" t="n"/>
      <c r="T62" s="5">
        <f>IF(O62="","",IF(O62=N62,1,0))</f>
        <v/>
      </c>
      <c r="U62" s="6" t="n"/>
    </row>
    <row r="63">
      <c r="A63" s="5" t="n">
        <v>7</v>
      </c>
      <c r="B63" s="5" t="n">
        <v>2</v>
      </c>
      <c r="C63" s="5" t="inlineStr">
        <is>
          <t>Critical Thinking</t>
        </is>
      </c>
      <c r="D63" s="5" t="inlineStr">
        <is>
          <t>Scored</t>
        </is>
      </c>
      <c r="E63" s="6" t="inlineStr">
        <is>
          <t>Meera argues for a later school start time. Zaid replies: 'So you just want school to basically not happen?' What's the actual flaw in this reasoning?</t>
        </is>
      </c>
      <c r="F63" s="6" t="inlineStr">
        <is>
          <t>He's distorting her actual position into something more extreme</t>
        </is>
      </c>
      <c r="G63" s="6" t="inlineStr">
        <is>
          <t>Start times cannot be changed</t>
        </is>
      </c>
      <c r="H63" s="6" t="inlineStr">
        <is>
          <t>Zaid agrees with a later start</t>
        </is>
      </c>
      <c r="I63" s="6" t="inlineStr">
        <is>
          <t>Meera wants school cancelled entirely</t>
        </is>
      </c>
      <c r="J63" s="5" t="n"/>
      <c r="K63" s="5" t="n"/>
      <c r="L63" s="5" t="n"/>
      <c r="M63" s="5" t="n"/>
      <c r="N63" s="5" t="inlineStr">
        <is>
          <t>A</t>
        </is>
      </c>
      <c r="O63" s="5" t="n"/>
      <c r="P63" s="5" t="n"/>
      <c r="Q63" s="5" t="n"/>
      <c r="R63" s="5" t="n"/>
      <c r="S63" s="5" t="n"/>
      <c r="T63" s="5">
        <f>IF(O63="","",IF(O63=N63,1,0))</f>
        <v/>
      </c>
      <c r="U63" s="6" t="n"/>
    </row>
    <row r="64">
      <c r="A64" s="5" t="n">
        <v>7</v>
      </c>
      <c r="B64" s="5" t="n">
        <v>3</v>
      </c>
      <c r="C64" s="5" t="inlineStr">
        <is>
          <t>Decision Making</t>
        </is>
      </c>
      <c r="D64" s="5" t="inlineStr">
        <is>
          <t>Scored</t>
        </is>
      </c>
      <c r="E64" s="6" t="inlineStr">
        <is>
          <t>You only have time for ONE of these right now. Which gives the best value for the effort it takes?</t>
        </is>
      </c>
      <c r="F64" s="6" t="inlineStr">
        <is>
          <t>They are all equally good choices</t>
        </is>
      </c>
      <c r="G64" s="6" t="inlineStr">
        <is>
          <t>submit your history essay (effort 8, value 18)</t>
        </is>
      </c>
      <c r="H64" s="6" t="inlineStr">
        <is>
          <t>prepare for the debate (effort 3, value 4)</t>
        </is>
      </c>
      <c r="I64" s="6" t="inlineStr">
        <is>
          <t>revise for the quiz (effort 2, value 7)</t>
        </is>
      </c>
      <c r="J64" s="5" t="n"/>
      <c r="K64" s="5" t="n"/>
      <c r="L64" s="5" t="n"/>
      <c r="M64" s="5" t="n"/>
      <c r="N64" s="5" t="inlineStr">
        <is>
          <t>D</t>
        </is>
      </c>
      <c r="O64" s="5" t="n"/>
      <c r="P64" s="5" t="n"/>
      <c r="Q64" s="5" t="n"/>
      <c r="R64" s="5" t="n"/>
      <c r="S64" s="5" t="n"/>
      <c r="T64" s="5">
        <f>IF(O64="","",IF(O64=N64,1,0))</f>
        <v/>
      </c>
      <c r="U64" s="6" t="n"/>
    </row>
    <row r="65">
      <c r="A65" s="5" t="n">
        <v>7</v>
      </c>
      <c r="B65" s="5" t="n">
        <v>4</v>
      </c>
      <c r="C65" s="5" t="inlineStr">
        <is>
          <t>Mental Math</t>
        </is>
      </c>
      <c r="D65" s="5" t="inlineStr">
        <is>
          <t>Scored</t>
        </is>
      </c>
      <c r="E65" s="6" t="inlineStr">
        <is>
          <t>I'm thinking of a number. If you double it, then subtract 16, you get 4. What's my number?</t>
        </is>
      </c>
      <c r="F65" s="6" t="inlineStr">
        <is>
          <t>11</t>
        </is>
      </c>
      <c r="G65" s="6" t="inlineStr">
        <is>
          <t>10</t>
        </is>
      </c>
      <c r="H65" s="6" t="inlineStr">
        <is>
          <t>12</t>
        </is>
      </c>
      <c r="I65" s="6" t="inlineStr">
        <is>
          <t>9</t>
        </is>
      </c>
      <c r="J65" s="5" t="n"/>
      <c r="K65" s="5" t="n"/>
      <c r="L65" s="5" t="n"/>
      <c r="M65" s="5" t="n"/>
      <c r="N65" s="5" t="inlineStr">
        <is>
          <t>B</t>
        </is>
      </c>
      <c r="O65" s="5" t="n"/>
      <c r="P65" s="5" t="n"/>
      <c r="Q65" s="5" t="n"/>
      <c r="R65" s="5" t="n"/>
      <c r="S65" s="5" t="n"/>
      <c r="T65" s="5">
        <f>IF(O65="","",IF(O65=N65,1,0))</f>
        <v/>
      </c>
      <c r="U65" s="6" t="n"/>
    </row>
    <row r="66">
      <c r="A66" s="5" t="n">
        <v>7</v>
      </c>
      <c r="B66" s="5" t="n">
        <v>5</v>
      </c>
      <c r="C66" s="5" t="inlineStr">
        <is>
          <t>Cognitive Academia</t>
        </is>
      </c>
      <c r="D66" s="5" t="inlineStr">
        <is>
          <t>Scored</t>
        </is>
      </c>
      <c r="E66" s="6" t="inlineStr">
        <is>
          <t>What comes next in this pattern: 3, 8, 15, 24, 35, ?</t>
        </is>
      </c>
      <c r="F66" s="6" t="inlineStr">
        <is>
          <t>46</t>
        </is>
      </c>
      <c r="G66" s="6" t="inlineStr">
        <is>
          <t>52</t>
        </is>
      </c>
      <c r="H66" s="6" t="inlineStr">
        <is>
          <t>48</t>
        </is>
      </c>
      <c r="I66" s="6" t="inlineStr">
        <is>
          <t>50</t>
        </is>
      </c>
      <c r="J66" s="5" t="n"/>
      <c r="K66" s="5" t="n"/>
      <c r="L66" s="5" t="n"/>
      <c r="M66" s="5" t="n"/>
      <c r="N66" s="5" t="inlineStr">
        <is>
          <t>C</t>
        </is>
      </c>
      <c r="O66" s="5" t="n"/>
      <c r="P66" s="5" t="n"/>
      <c r="Q66" s="5" t="n"/>
      <c r="R66" s="5" t="n"/>
      <c r="S66" s="5" t="n"/>
      <c r="T66" s="5">
        <f>IF(O66="","",IF(O66=N66,1,0))</f>
        <v/>
      </c>
      <c r="U66" s="6" t="n"/>
    </row>
    <row r="67">
      <c r="A67" s="5" t="n">
        <v>7</v>
      </c>
      <c r="B67" s="5" t="n">
        <v>6</v>
      </c>
      <c r="C67" s="5" t="inlineStr">
        <is>
          <t>Leadership / Communication / Emotional &amp; Social</t>
        </is>
      </c>
      <c r="D67" s="5" t="inlineStr">
        <is>
          <t>Self-report (most/least)</t>
        </is>
      </c>
      <c r="E67" s="6" t="inlineStr">
        <is>
          <t>Your class election speech notes just got left at home, and you're up next.</t>
        </is>
      </c>
      <c r="F67" s="6" t="inlineStr">
        <is>
          <t>You'd rather wait and see what others do first</t>
        </is>
      </c>
      <c r="G67" s="6" t="inlineStr">
        <is>
          <t>You like setting goals for others to work toward</t>
        </is>
      </c>
      <c r="H67" s="6" t="inlineStr">
        <is>
          <t>You're comfortable talking to new classmates</t>
        </is>
      </c>
      <c r="I67" s="6" t="inlineStr">
        <is>
          <t>You find the right words to explain something complex</t>
        </is>
      </c>
      <c r="J67" s="5" t="inlineStr"/>
      <c r="K67" s="5" t="inlineStr">
        <is>
          <t>LD</t>
        </is>
      </c>
      <c r="L67" s="5" t="inlineStr">
        <is>
          <t>ES</t>
        </is>
      </c>
      <c r="M67" s="5" t="inlineStr">
        <is>
          <t>CM</t>
        </is>
      </c>
      <c r="N67" s="5" t="n"/>
      <c r="O67" s="5" t="n"/>
      <c r="P67" s="5" t="n"/>
      <c r="Q67" s="5" t="n"/>
      <c r="R67" s="5">
        <f>IFERROR(INDEX(J67:M67,MATCH(P67,{"A","B","C","D"},0)),"")</f>
        <v/>
      </c>
      <c r="S67" s="5">
        <f>IFERROR(INDEX(J67:M67,MATCH(Q67,{"A","B","C","D"},0)),"")</f>
        <v/>
      </c>
      <c r="T67" s="5" t="n"/>
      <c r="U67" s="6" t="n"/>
    </row>
    <row r="68">
      <c r="A68" s="5" t="n">
        <v>7</v>
      </c>
      <c r="B68" s="5" t="n">
        <v>7</v>
      </c>
      <c r="C68" s="5" t="inlineStr">
        <is>
          <t>Leadership / Communication / Emotional &amp; Social</t>
        </is>
      </c>
      <c r="D68" s="5" t="inlineStr">
        <is>
          <t>Self-report (most/least)</t>
        </is>
      </c>
      <c r="E68" s="6" t="inlineStr">
        <is>
          <t>A teammate takes credit for an idea that was actually yours, in front of the whole class.</t>
        </is>
      </c>
      <c r="F68" s="6" t="inlineStr">
        <is>
          <t>You stay patient even when frustrated</t>
        </is>
      </c>
      <c r="G68" s="6" t="inlineStr">
        <is>
          <t>You check that others understood what you explained</t>
        </is>
      </c>
      <c r="H68" s="6" t="inlineStr">
        <is>
          <t>You'd step back and observe before choosing any of these</t>
        </is>
      </c>
      <c r="I68" s="6" t="inlineStr">
        <is>
          <t>You enjoy leading during group projects or events</t>
        </is>
      </c>
      <c r="J68" s="5" t="inlineStr">
        <is>
          <t>ES</t>
        </is>
      </c>
      <c r="K68" s="5" t="inlineStr">
        <is>
          <t>CM</t>
        </is>
      </c>
      <c r="L68" s="5" t="inlineStr"/>
      <c r="M68" s="5" t="inlineStr">
        <is>
          <t>LD</t>
        </is>
      </c>
      <c r="N68" s="5" t="n"/>
      <c r="O68" s="5" t="n"/>
      <c r="P68" s="5" t="n"/>
      <c r="Q68" s="5" t="n"/>
      <c r="R68" s="5">
        <f>IFERROR(INDEX(J68:M68,MATCH(P68,{"A","B","C","D"},0)),"")</f>
        <v/>
      </c>
      <c r="S68" s="5">
        <f>IFERROR(INDEX(J68:M68,MATCH(Q68,{"A","B","C","D"},0)),"")</f>
        <v/>
      </c>
      <c r="T68" s="5" t="n"/>
      <c r="U68" s="6" t="n"/>
    </row>
    <row r="69">
      <c r="A69" s="5" t="n">
        <v>7</v>
      </c>
      <c r="B69" s="5" t="n">
        <v>8</v>
      </c>
      <c r="C69" s="5" t="inlineStr">
        <is>
          <t>Leadership / Communication / Emotional &amp; Social</t>
        </is>
      </c>
      <c r="D69" s="5" t="inlineStr">
        <is>
          <t>Self-report (most/least)</t>
        </is>
      </c>
      <c r="E69" s="6" t="inlineStr">
        <is>
          <t>Your group project partner just told you, the night before it's due, that they haven't started their part.</t>
        </is>
      </c>
      <c r="F69" s="6" t="inlineStr">
        <is>
          <t>You like guiding your team toward a shared goal</t>
        </is>
      </c>
      <c r="G69" s="6" t="inlineStr">
        <is>
          <t>You notice small changes in a friend's mood</t>
        </is>
      </c>
      <c r="H69" s="6" t="inlineStr">
        <is>
          <t>You enjoy explaining your work to teachers or peers</t>
        </is>
      </c>
      <c r="I69" s="6" t="inlineStr">
        <is>
          <t>None of these feel like you in this moment</t>
        </is>
      </c>
      <c r="J69" s="5" t="inlineStr">
        <is>
          <t>LD</t>
        </is>
      </c>
      <c r="K69" s="5" t="inlineStr">
        <is>
          <t>ES</t>
        </is>
      </c>
      <c r="L69" s="5" t="inlineStr">
        <is>
          <t>CM</t>
        </is>
      </c>
      <c r="M69" s="5" t="inlineStr"/>
      <c r="N69" s="5" t="n"/>
      <c r="O69" s="5" t="n"/>
      <c r="P69" s="5" t="n"/>
      <c r="Q69" s="5" t="n"/>
      <c r="R69" s="5">
        <f>IFERROR(INDEX(J69:M69,MATCH(P69,{"A","B","C","D"},0)),"")</f>
        <v/>
      </c>
      <c r="S69" s="5">
        <f>IFERROR(INDEX(J69:M69,MATCH(Q69,{"A","B","C","D"},0)),"")</f>
        <v/>
      </c>
      <c r="T69" s="5" t="n"/>
      <c r="U69" s="6" t="n"/>
    </row>
    <row r="70">
      <c r="A70" s="5" t="n">
        <v>7</v>
      </c>
      <c r="B70" s="5" t="n">
        <v>9</v>
      </c>
      <c r="C70" s="5" t="inlineStr">
        <is>
          <t>Creative Skills</t>
        </is>
      </c>
      <c r="D70" s="5" t="inlineStr">
        <is>
          <t>Open-ended (not auto-scored)</t>
        </is>
      </c>
      <c r="E70" s="6" t="inlineStr">
        <is>
          <t>If your school uniform could have one unusual added feature, what would it be and why?</t>
        </is>
      </c>
      <c r="F70" s="6" t="n"/>
      <c r="G70" s="6" t="n"/>
      <c r="H70" s="6" t="n"/>
      <c r="I70" s="6" t="n"/>
      <c r="J70" s="5" t="n"/>
      <c r="K70" s="5" t="n"/>
      <c r="L70" s="5" t="n"/>
      <c r="M70" s="5" t="n"/>
      <c r="N70" s="5" t="n"/>
      <c r="O70" s="5" t="n"/>
      <c r="P70" s="5" t="n"/>
      <c r="Q70" s="5" t="n"/>
      <c r="R70" s="5" t="n"/>
      <c r="S70" s="5" t="n"/>
      <c r="T70" s="5" t="n"/>
      <c r="U70" s="6" t="n"/>
    </row>
    <row r="71">
      <c r="A71" s="5" t="n">
        <v>7</v>
      </c>
      <c r="B71" s="5" t="n">
        <v>10</v>
      </c>
      <c r="C71" s="5" t="inlineStr">
        <is>
          <t>Listening Skills</t>
        </is>
      </c>
      <c r="D71" s="5" t="inlineStr">
        <is>
          <t>Scored</t>
        </is>
      </c>
      <c r="E71" s="6" t="inlineStr">
        <is>
          <t>[Read once, then answer without re-reading] “Before sports day, the captain checked the lineup, briefed the team, and then walked out to the field.”  ||  What happened first?</t>
        </is>
      </c>
      <c r="F71" s="6" t="inlineStr">
        <is>
          <t>checked the lineup</t>
        </is>
      </c>
      <c r="G71" s="6" t="inlineStr">
        <is>
          <t>collected the trophy</t>
        </is>
      </c>
      <c r="H71" s="6" t="inlineStr">
        <is>
          <t>briefed the team</t>
        </is>
      </c>
      <c r="I71" s="6" t="inlineStr">
        <is>
          <t>walked out to the field</t>
        </is>
      </c>
      <c r="J71" s="5" t="n"/>
      <c r="K71" s="5" t="n"/>
      <c r="L71" s="5" t="n"/>
      <c r="M71" s="5" t="n"/>
      <c r="N71" s="5" t="inlineStr">
        <is>
          <t>A</t>
        </is>
      </c>
      <c r="O71" s="5" t="n"/>
      <c r="P71" s="5" t="n"/>
      <c r="Q71" s="5" t="n"/>
      <c r="R71" s="5" t="n"/>
      <c r="S71" s="5" t="n"/>
      <c r="T71" s="5">
        <f>IF(O71="","",IF(O71=N71,1,0))</f>
        <v/>
      </c>
      <c r="U71" s="6" t="n"/>
    </row>
    <row r="72">
      <c r="A72" s="7" t="n">
        <v>8</v>
      </c>
      <c r="B72" s="7" t="n">
        <v>1</v>
      </c>
      <c r="C72" s="7" t="inlineStr">
        <is>
          <t>Problem Solving</t>
        </is>
      </c>
      <c r="D72" s="7" t="inlineStr">
        <is>
          <t>Scored</t>
        </is>
      </c>
      <c r="E72" s="8" t="inlineStr">
        <is>
          <t>Three classmates — Gopal, Ben, Leo — are presenting their projects in order. Gopal is not last. Leo is not in the middle. Ben is not first. Gopal is not in the middle. Who is in the middle?</t>
        </is>
      </c>
      <c r="F72" s="8" t="inlineStr">
        <is>
          <t>Ben</t>
        </is>
      </c>
      <c r="G72" s="8" t="inlineStr">
        <is>
          <t>Cannot be determined</t>
        </is>
      </c>
      <c r="H72" s="8" t="inlineStr">
        <is>
          <t>Leo</t>
        </is>
      </c>
      <c r="I72" s="8" t="inlineStr">
        <is>
          <t>Gopal</t>
        </is>
      </c>
      <c r="J72" s="7" t="n"/>
      <c r="K72" s="7" t="n"/>
      <c r="L72" s="7" t="n"/>
      <c r="M72" s="7" t="n"/>
      <c r="N72" s="7" t="inlineStr">
        <is>
          <t>A</t>
        </is>
      </c>
      <c r="O72" s="7" t="n"/>
      <c r="P72" s="7" t="n"/>
      <c r="Q72" s="7" t="n"/>
      <c r="R72" s="7" t="n"/>
      <c r="S72" s="7" t="n"/>
      <c r="T72" s="7">
        <f>IF(O72="","",IF(O72=N72,1,0))</f>
        <v/>
      </c>
      <c r="U72" s="8" t="n"/>
    </row>
    <row r="73">
      <c r="A73" s="7" t="n">
        <v>8</v>
      </c>
      <c r="B73" s="7" t="n">
        <v>2</v>
      </c>
      <c r="C73" s="7" t="inlineStr">
        <is>
          <t>Critical Thinking</t>
        </is>
      </c>
      <c r="D73" s="7" t="inlineStr">
        <is>
          <t>Scored</t>
        </is>
      </c>
      <c r="E73" s="8" t="inlineStr">
        <is>
          <t>Ishan says: 'This study method must work because a popular vlogger uses it.' What's the actual flaw in this reasoning?</t>
        </is>
      </c>
      <c r="F73" s="8" t="inlineStr">
        <is>
          <t>Study methods can't be tested</t>
        </is>
      </c>
      <c r="G73" s="8" t="inlineStr">
        <is>
          <t>He's relying on someone famous but not actually an expert on studying</t>
        </is>
      </c>
      <c r="H73" s="8" t="inlineStr">
        <is>
          <t>Ishan invented the method himself</t>
        </is>
      </c>
      <c r="I73" s="8" t="inlineStr">
        <is>
          <t>The vlogger is a certified teacher</t>
        </is>
      </c>
      <c r="J73" s="7" t="n"/>
      <c r="K73" s="7" t="n"/>
      <c r="L73" s="7" t="n"/>
      <c r="M73" s="7" t="n"/>
      <c r="N73" s="7" t="inlineStr">
        <is>
          <t>B</t>
        </is>
      </c>
      <c r="O73" s="7" t="n"/>
      <c r="P73" s="7" t="n"/>
      <c r="Q73" s="7" t="n"/>
      <c r="R73" s="7" t="n"/>
      <c r="S73" s="7" t="n"/>
      <c r="T73" s="7">
        <f>IF(O73="","",IF(O73=N73,1,0))</f>
        <v/>
      </c>
      <c r="U73" s="8" t="n"/>
    </row>
    <row r="74">
      <c r="A74" s="7" t="n">
        <v>8</v>
      </c>
      <c r="B74" s="7" t="n">
        <v>3</v>
      </c>
      <c r="C74" s="7" t="inlineStr">
        <is>
          <t>Decision Making</t>
        </is>
      </c>
      <c r="D74" s="7" t="inlineStr">
        <is>
          <t>Scored</t>
        </is>
      </c>
      <c r="E74" s="8" t="inlineStr">
        <is>
          <t>You have 30 minutes. finish the group poster takes 18 minutes, prepare for the debate takes 12 minutes, and submit your history essay takes 23 minutes. You must skip exactly one of them to fit the other two into your 30 minutes. Which should you skip?</t>
        </is>
      </c>
      <c r="F74" s="8" t="inlineStr">
        <is>
          <t>It's impossible to fit any two</t>
        </is>
      </c>
      <c r="G74" s="8" t="inlineStr">
        <is>
          <t>submit your history essay</t>
        </is>
      </c>
      <c r="H74" s="8" t="inlineStr">
        <is>
          <t>prepare for the debate</t>
        </is>
      </c>
      <c r="I74" s="8" t="inlineStr">
        <is>
          <t>finish the group poster</t>
        </is>
      </c>
      <c r="J74" s="7" t="n"/>
      <c r="K74" s="7" t="n"/>
      <c r="L74" s="7" t="n"/>
      <c r="M74" s="7" t="n"/>
      <c r="N74" s="7" t="inlineStr">
        <is>
          <t>B</t>
        </is>
      </c>
      <c r="O74" s="7" t="n"/>
      <c r="P74" s="7" t="n"/>
      <c r="Q74" s="7" t="n"/>
      <c r="R74" s="7" t="n"/>
      <c r="S74" s="7" t="n"/>
      <c r="T74" s="7">
        <f>IF(O74="","",IF(O74=N74,1,0))</f>
        <v/>
      </c>
      <c r="U74" s="8" t="n"/>
    </row>
    <row r="75">
      <c r="A75" s="7" t="n">
        <v>8</v>
      </c>
      <c r="B75" s="7" t="n">
        <v>4</v>
      </c>
      <c r="C75" s="7" t="inlineStr">
        <is>
          <t>Mental Math</t>
        </is>
      </c>
      <c r="D75" s="7" t="inlineStr">
        <is>
          <t>Scored</t>
        </is>
      </c>
      <c r="E75" s="8" t="inlineStr">
        <is>
          <t>After spending 12 and later receiving 10 as a gift, Zara has 13. How much did Zara start with?</t>
        </is>
      </c>
      <c r="F75" s="8" t="inlineStr">
        <is>
          <t>5</t>
        </is>
      </c>
      <c r="G75" s="8" t="inlineStr">
        <is>
          <t>13</t>
        </is>
      </c>
      <c r="H75" s="8" t="inlineStr">
        <is>
          <t>27</t>
        </is>
      </c>
      <c r="I75" s="8" t="inlineStr">
        <is>
          <t>15</t>
        </is>
      </c>
      <c r="J75" s="7" t="n"/>
      <c r="K75" s="7" t="n"/>
      <c r="L75" s="7" t="n"/>
      <c r="M75" s="7" t="n"/>
      <c r="N75" s="7" t="inlineStr">
        <is>
          <t>D</t>
        </is>
      </c>
      <c r="O75" s="7" t="n"/>
      <c r="P75" s="7" t="n"/>
      <c r="Q75" s="7" t="n"/>
      <c r="R75" s="7" t="n"/>
      <c r="S75" s="7" t="n"/>
      <c r="T75" s="7">
        <f>IF(O75="","",IF(O75=N75,1,0))</f>
        <v/>
      </c>
      <c r="U75" s="8" t="n"/>
    </row>
    <row r="76">
      <c r="A76" s="7" t="n">
        <v>8</v>
      </c>
      <c r="B76" s="7" t="n">
        <v>5</v>
      </c>
      <c r="C76" s="7" t="inlineStr">
        <is>
          <t>Cognitive Academia</t>
        </is>
      </c>
      <c r="D76" s="7" t="inlineStr">
        <is>
          <t>Scored</t>
        </is>
      </c>
      <c r="E76" s="8" t="inlineStr">
        <is>
          <t>What comes next in this pattern: 4, 12, 36, 108, ?</t>
        </is>
      </c>
      <c r="F76" s="8" t="inlineStr">
        <is>
          <t>327</t>
        </is>
      </c>
      <c r="G76" s="8" t="inlineStr">
        <is>
          <t>111</t>
        </is>
      </c>
      <c r="H76" s="8" t="inlineStr">
        <is>
          <t>180</t>
        </is>
      </c>
      <c r="I76" s="8" t="inlineStr">
        <is>
          <t>324</t>
        </is>
      </c>
      <c r="J76" s="7" t="n"/>
      <c r="K76" s="7" t="n"/>
      <c r="L76" s="7" t="n"/>
      <c r="M76" s="7" t="n"/>
      <c r="N76" s="7" t="inlineStr">
        <is>
          <t>D</t>
        </is>
      </c>
      <c r="O76" s="7" t="n"/>
      <c r="P76" s="7" t="n"/>
      <c r="Q76" s="7" t="n"/>
      <c r="R76" s="7" t="n"/>
      <c r="S76" s="7" t="n"/>
      <c r="T76" s="7">
        <f>IF(O76="","",IF(O76=N76,1,0))</f>
        <v/>
      </c>
      <c r="U76" s="8" t="n"/>
    </row>
    <row r="77">
      <c r="A77" s="7" t="n">
        <v>8</v>
      </c>
      <c r="B77" s="7" t="n">
        <v>6</v>
      </c>
      <c r="C77" s="7" t="inlineStr">
        <is>
          <t>Leadership / Communication / Emotional &amp; Social</t>
        </is>
      </c>
      <c r="D77" s="7" t="inlineStr">
        <is>
          <t>Self-report (most/least)</t>
        </is>
      </c>
      <c r="E77" s="8" t="inlineStr">
        <is>
          <t>You're presenting in front of the whole grade and the projector dies right as you begin.</t>
        </is>
      </c>
      <c r="F77" s="8" t="inlineStr">
        <is>
          <t>You're good at helping a friend feel better</t>
        </is>
      </c>
      <c r="G77" s="8" t="inlineStr">
        <is>
          <t>You'd step back and observe before choosing any of these</t>
        </is>
      </c>
      <c r="H77" s="8" t="inlineStr">
        <is>
          <t>You enjoy writing essays or giving presentations</t>
        </is>
      </c>
      <c r="I77" s="8" t="inlineStr">
        <is>
          <t>You step up to lead when no one else does</t>
        </is>
      </c>
      <c r="J77" s="7" t="inlineStr">
        <is>
          <t>ES</t>
        </is>
      </c>
      <c r="K77" s="7" t="inlineStr"/>
      <c r="L77" s="7" t="inlineStr">
        <is>
          <t>CM</t>
        </is>
      </c>
      <c r="M77" s="7" t="inlineStr">
        <is>
          <t>LD</t>
        </is>
      </c>
      <c r="N77" s="7" t="n"/>
      <c r="O77" s="7" t="n"/>
      <c r="P77" s="7" t="n"/>
      <c r="Q77" s="7" t="n"/>
      <c r="R77" s="7">
        <f>IFERROR(INDEX(J77:M77,MATCH(P77,{"A","B","C","D"},0)),"")</f>
        <v/>
      </c>
      <c r="S77" s="7">
        <f>IFERROR(INDEX(J77:M77,MATCH(Q77,{"A","B","C","D"},0)),"")</f>
        <v/>
      </c>
      <c r="T77" s="7" t="n"/>
      <c r="U77" s="8" t="n"/>
    </row>
    <row r="78">
      <c r="A78" s="7" t="n">
        <v>8</v>
      </c>
      <c r="B78" s="7" t="n">
        <v>7</v>
      </c>
      <c r="C78" s="7" t="inlineStr">
        <is>
          <t>Leadership / Communication / Emotional &amp; Social</t>
        </is>
      </c>
      <c r="D78" s="7" t="inlineStr">
        <is>
          <t>Self-report (most/least)</t>
        </is>
      </c>
      <c r="E78" s="8" t="inlineStr">
        <is>
          <t>A rumour about a classmate is spreading fast in the group chat and you know it isn't true.</t>
        </is>
      </c>
      <c r="F78" s="8" t="inlineStr">
        <is>
          <t>You like presenting your ideas to the class</t>
        </is>
      </c>
      <c r="G78" s="8" t="inlineStr">
        <is>
          <t>None of these feel like you in this moment</t>
        </is>
      </c>
      <c r="H78" s="8" t="inlineStr">
        <is>
          <t>You take responsibility when something goes wrong</t>
        </is>
      </c>
      <c r="I78" s="8" t="inlineStr">
        <is>
          <t>You handle disagreements without escalating them</t>
        </is>
      </c>
      <c r="J78" s="7" t="inlineStr">
        <is>
          <t>CM</t>
        </is>
      </c>
      <c r="K78" s="7" t="inlineStr"/>
      <c r="L78" s="7" t="inlineStr">
        <is>
          <t>LD</t>
        </is>
      </c>
      <c r="M78" s="7" t="inlineStr">
        <is>
          <t>ES</t>
        </is>
      </c>
      <c r="N78" s="7" t="n"/>
      <c r="O78" s="7" t="n"/>
      <c r="P78" s="7" t="n"/>
      <c r="Q78" s="7" t="n"/>
      <c r="R78" s="7">
        <f>IFERROR(INDEX(J78:M78,MATCH(P78,{"A","B","C","D"},0)),"")</f>
        <v/>
      </c>
      <c r="S78" s="7">
        <f>IFERROR(INDEX(J78:M78,MATCH(Q78,{"A","B","C","D"},0)),"")</f>
        <v/>
      </c>
      <c r="T78" s="7" t="n"/>
      <c r="U78" s="8" t="n"/>
    </row>
    <row r="79">
      <c r="A79" s="7" t="n">
        <v>8</v>
      </c>
      <c r="B79" s="7" t="n">
        <v>8</v>
      </c>
      <c r="C79" s="7" t="inlineStr">
        <is>
          <t>Leadership / Communication / Emotional &amp; Social</t>
        </is>
      </c>
      <c r="D79" s="7" t="inlineStr">
        <is>
          <t>Self-report (most/least)</t>
        </is>
      </c>
      <c r="E79" s="8" t="inlineStr">
        <is>
          <t>Your team is down to the last relay leg of sports day and everything depends on the next thirty seconds.</t>
        </is>
      </c>
      <c r="F79" s="8" t="inlineStr">
        <is>
          <t>You'd need more time before reacting at all</t>
        </is>
      </c>
      <c r="G79" s="8" t="inlineStr">
        <is>
          <t>You enjoy discussing new topics with others</t>
        </is>
      </c>
      <c r="H79" s="8" t="inlineStr">
        <is>
          <t>You think about how others might feel before acting</t>
        </is>
      </c>
      <c r="I79" s="8" t="inlineStr">
        <is>
          <t>You feel confident making decisions for the group</t>
        </is>
      </c>
      <c r="J79" s="7" t="inlineStr"/>
      <c r="K79" s="7" t="inlineStr">
        <is>
          <t>CM</t>
        </is>
      </c>
      <c r="L79" s="7" t="inlineStr">
        <is>
          <t>ES</t>
        </is>
      </c>
      <c r="M79" s="7" t="inlineStr">
        <is>
          <t>LD</t>
        </is>
      </c>
      <c r="N79" s="7" t="n"/>
      <c r="O79" s="7" t="n"/>
      <c r="P79" s="7" t="n"/>
      <c r="Q79" s="7" t="n"/>
      <c r="R79" s="7">
        <f>IFERROR(INDEX(J79:M79,MATCH(P79,{"A","B","C","D"},0)),"")</f>
        <v/>
      </c>
      <c r="S79" s="7">
        <f>IFERROR(INDEX(J79:M79,MATCH(Q79,{"A","B","C","D"},0)),"")</f>
        <v/>
      </c>
      <c r="T79" s="7" t="n"/>
      <c r="U79" s="8" t="n"/>
    </row>
    <row r="80">
      <c r="A80" s="7" t="n">
        <v>8</v>
      </c>
      <c r="B80" s="7" t="n">
        <v>9</v>
      </c>
      <c r="C80" s="7" t="inlineStr">
        <is>
          <t>Creative Skills</t>
        </is>
      </c>
      <c r="D80" s="7" t="inlineStr">
        <is>
          <t>Open-ended (not auto-scored)</t>
        </is>
      </c>
      <c r="E80" s="8" t="inlineStr">
        <is>
          <t>Design a new sport that combines two existing sports. What are the basic rules?</t>
        </is>
      </c>
      <c r="F80" s="8" t="n"/>
      <c r="G80" s="8" t="n"/>
      <c r="H80" s="8" t="n"/>
      <c r="I80" s="8" t="n"/>
      <c r="J80" s="7" t="n"/>
      <c r="K80" s="7" t="n"/>
      <c r="L80" s="7" t="n"/>
      <c r="M80" s="7" t="n"/>
      <c r="N80" s="7" t="n"/>
      <c r="O80" s="7" t="n"/>
      <c r="P80" s="7" t="n"/>
      <c r="Q80" s="7" t="n"/>
      <c r="R80" s="7" t="n"/>
      <c r="S80" s="7" t="n"/>
      <c r="T80" s="7" t="n"/>
      <c r="U80" s="8" t="n"/>
    </row>
    <row r="81">
      <c r="A81" s="7" t="n">
        <v>8</v>
      </c>
      <c r="B81" s="7" t="n">
        <v>10</v>
      </c>
      <c r="C81" s="7" t="inlineStr">
        <is>
          <t>Listening Skills</t>
        </is>
      </c>
      <c r="D81" s="7" t="inlineStr">
        <is>
          <t>Scored</t>
        </is>
      </c>
      <c r="E81" s="8" t="inlineStr">
        <is>
          <t>[Read once, then answer without re-reading] “At the debate club meeting, members picked topics, formed pairs, and then began the first practice round.”  ||  What happened last?</t>
        </is>
      </c>
      <c r="F81" s="8" t="inlineStr">
        <is>
          <t>voted on a new president</t>
        </is>
      </c>
      <c r="G81" s="8" t="inlineStr">
        <is>
          <t>formed pairs</t>
        </is>
      </c>
      <c r="H81" s="8" t="inlineStr">
        <is>
          <t>picked topics</t>
        </is>
      </c>
      <c r="I81" s="8" t="inlineStr">
        <is>
          <t>began the first practice round</t>
        </is>
      </c>
      <c r="J81" s="7" t="n"/>
      <c r="K81" s="7" t="n"/>
      <c r="L81" s="7" t="n"/>
      <c r="M81" s="7" t="n"/>
      <c r="N81" s="7" t="inlineStr">
        <is>
          <t>D</t>
        </is>
      </c>
      <c r="O81" s="7" t="n"/>
      <c r="P81" s="7" t="n"/>
      <c r="Q81" s="7" t="n"/>
      <c r="R81" s="7" t="n"/>
      <c r="S81" s="7" t="n"/>
      <c r="T81" s="7">
        <f>IF(O81="","",IF(O81=N81,1,0))</f>
        <v/>
      </c>
      <c r="U81" s="8" t="n"/>
    </row>
    <row r="82">
      <c r="A82" s="5" t="n">
        <v>9</v>
      </c>
      <c r="B82" s="5" t="n">
        <v>1</v>
      </c>
      <c r="C82" s="5" t="inlineStr">
        <is>
          <t>Problem Solving</t>
        </is>
      </c>
      <c r="D82" s="5" t="inlineStr">
        <is>
          <t>Scored</t>
        </is>
      </c>
      <c r="E82" s="6" t="inlineStr">
        <is>
          <t>Three classmates — Zara, Diya, Noah — are presenting their projects in order. Diya is not first. Noah is not first. Diya is not last. Who is in the middle?</t>
        </is>
      </c>
      <c r="F82" s="6" t="inlineStr">
        <is>
          <t>Zara</t>
        </is>
      </c>
      <c r="G82" s="6" t="inlineStr">
        <is>
          <t>Cannot be determined</t>
        </is>
      </c>
      <c r="H82" s="6" t="inlineStr">
        <is>
          <t>Noah</t>
        </is>
      </c>
      <c r="I82" s="6" t="inlineStr">
        <is>
          <t>Diya</t>
        </is>
      </c>
      <c r="J82" s="5" t="n"/>
      <c r="K82" s="5" t="n"/>
      <c r="L82" s="5" t="n"/>
      <c r="M82" s="5" t="n"/>
      <c r="N82" s="5" t="inlineStr">
        <is>
          <t>D</t>
        </is>
      </c>
      <c r="O82" s="5" t="n"/>
      <c r="P82" s="5" t="n"/>
      <c r="Q82" s="5" t="n"/>
      <c r="R82" s="5" t="n"/>
      <c r="S82" s="5" t="n"/>
      <c r="T82" s="5">
        <f>IF(O82="","",IF(O82=N82,1,0))</f>
        <v/>
      </c>
      <c r="U82" s="6" t="n"/>
    </row>
    <row r="83">
      <c r="A83" s="5" t="n">
        <v>9</v>
      </c>
      <c r="B83" s="5" t="n">
        <v>2</v>
      </c>
      <c r="C83" s="5" t="inlineStr">
        <is>
          <t>Critical Thinking</t>
        </is>
      </c>
      <c r="D83" s="5" t="inlineStr">
        <is>
          <t>Scored</t>
        </is>
      </c>
      <c r="E83" s="6" t="inlineStr">
        <is>
          <t>Leah says: 'My friend didn't study at all and still scored well, so studying doesn't really matter.' What's the actual flaw in this reasoning?</t>
        </is>
      </c>
      <c r="F83" s="6" t="inlineStr">
        <is>
          <t>Her friend actually studied a lot</t>
        </is>
      </c>
      <c r="G83" s="6" t="inlineStr">
        <is>
          <t>Scores are randomly assigned</t>
        </is>
      </c>
      <c r="H83" s="6" t="inlineStr">
        <is>
          <t>She's generalizing from one unusual case instead of typical results</t>
        </is>
      </c>
      <c r="I83" s="6" t="inlineStr">
        <is>
          <t>Studying guarantees a perfect score</t>
        </is>
      </c>
      <c r="J83" s="5" t="n"/>
      <c r="K83" s="5" t="n"/>
      <c r="L83" s="5" t="n"/>
      <c r="M83" s="5" t="n"/>
      <c r="N83" s="5" t="inlineStr">
        <is>
          <t>C</t>
        </is>
      </c>
      <c r="O83" s="5" t="n"/>
      <c r="P83" s="5" t="n"/>
      <c r="Q83" s="5" t="n"/>
      <c r="R83" s="5" t="n"/>
      <c r="S83" s="5" t="n"/>
      <c r="T83" s="5">
        <f>IF(O83="","",IF(O83=N83,1,0))</f>
        <v/>
      </c>
      <c r="U83" s="6" t="n"/>
    </row>
    <row r="84">
      <c r="A84" s="5" t="n">
        <v>9</v>
      </c>
      <c r="B84" s="5" t="n">
        <v>3</v>
      </c>
      <c r="C84" s="5" t="inlineStr">
        <is>
          <t>Decision Making</t>
        </is>
      </c>
      <c r="D84" s="5" t="inlineStr">
        <is>
          <t>Scored</t>
        </is>
      </c>
      <c r="E84" s="6" t="inlineStr">
        <is>
          <t>You only have time for ONE of these right now. Which gives the best value for the effort it takes?</t>
        </is>
      </c>
      <c r="F84" s="6" t="inlineStr">
        <is>
          <t>They are all equally good choices</t>
        </is>
      </c>
      <c r="G84" s="6" t="inlineStr">
        <is>
          <t>revise for the quiz (effort 5, value 11)</t>
        </is>
      </c>
      <c r="H84" s="6" t="inlineStr">
        <is>
          <t>prepare for the debate (effort 7, value 24)</t>
        </is>
      </c>
      <c r="I84" s="6" t="inlineStr">
        <is>
          <t>finish the group poster (effort 6, value 6)</t>
        </is>
      </c>
      <c r="J84" s="5" t="n"/>
      <c r="K84" s="5" t="n"/>
      <c r="L84" s="5" t="n"/>
      <c r="M84" s="5" t="n"/>
      <c r="N84" s="5" t="inlineStr">
        <is>
          <t>C</t>
        </is>
      </c>
      <c r="O84" s="5" t="n"/>
      <c r="P84" s="5" t="n"/>
      <c r="Q84" s="5" t="n"/>
      <c r="R84" s="5" t="n"/>
      <c r="S84" s="5" t="n"/>
      <c r="T84" s="5">
        <f>IF(O84="","",IF(O84=N84,1,0))</f>
        <v/>
      </c>
      <c r="U84" s="6" t="n"/>
    </row>
    <row r="85">
      <c r="A85" s="5" t="n">
        <v>9</v>
      </c>
      <c r="B85" s="5" t="n">
        <v>4</v>
      </c>
      <c r="C85" s="5" t="inlineStr">
        <is>
          <t>Mental Math</t>
        </is>
      </c>
      <c r="D85" s="5" t="inlineStr">
        <is>
          <t>Scored</t>
        </is>
      </c>
      <c r="E85" s="6" t="inlineStr">
        <is>
          <t>A recipe mixes water and juice concentrate in a 4:3 ratio. If you use 16 units of water, how much juice concentrate do you need?</t>
        </is>
      </c>
      <c r="F85" s="6" t="inlineStr">
        <is>
          <t>9</t>
        </is>
      </c>
      <c r="G85" s="6" t="inlineStr">
        <is>
          <t>16</t>
        </is>
      </c>
      <c r="H85" s="6" t="inlineStr">
        <is>
          <t>12</t>
        </is>
      </c>
      <c r="I85" s="6" t="inlineStr">
        <is>
          <t>15</t>
        </is>
      </c>
      <c r="J85" s="5" t="n"/>
      <c r="K85" s="5" t="n"/>
      <c r="L85" s="5" t="n"/>
      <c r="M85" s="5" t="n"/>
      <c r="N85" s="5" t="inlineStr">
        <is>
          <t>C</t>
        </is>
      </c>
      <c r="O85" s="5" t="n"/>
      <c r="P85" s="5" t="n"/>
      <c r="Q85" s="5" t="n"/>
      <c r="R85" s="5" t="n"/>
      <c r="S85" s="5" t="n"/>
      <c r="T85" s="5">
        <f>IF(O85="","",IF(O85=N85,1,0))</f>
        <v/>
      </c>
      <c r="U85" s="6" t="n"/>
    </row>
    <row r="86">
      <c r="A86" s="5" t="n">
        <v>9</v>
      </c>
      <c r="B86" s="5" t="n">
        <v>5</v>
      </c>
      <c r="C86" s="5" t="inlineStr">
        <is>
          <t>Cognitive Academia</t>
        </is>
      </c>
      <c r="D86" s="5" t="inlineStr">
        <is>
          <t>Scored</t>
        </is>
      </c>
      <c r="E86" s="6" t="inlineStr">
        <is>
          <t>What comes next in this pattern: 2, 5, 11, 20, 32, ?</t>
        </is>
      </c>
      <c r="F86" s="6" t="inlineStr">
        <is>
          <t>53</t>
        </is>
      </c>
      <c r="G86" s="6" t="inlineStr">
        <is>
          <t>44</t>
        </is>
      </c>
      <c r="H86" s="6" t="inlineStr">
        <is>
          <t>47</t>
        </is>
      </c>
      <c r="I86" s="6" t="inlineStr">
        <is>
          <t>50</t>
        </is>
      </c>
      <c r="J86" s="5" t="n"/>
      <c r="K86" s="5" t="n"/>
      <c r="L86" s="5" t="n"/>
      <c r="M86" s="5" t="n"/>
      <c r="N86" s="5" t="inlineStr">
        <is>
          <t>C</t>
        </is>
      </c>
      <c r="O86" s="5" t="n"/>
      <c r="P86" s="5" t="n"/>
      <c r="Q86" s="5" t="n"/>
      <c r="R86" s="5" t="n"/>
      <c r="S86" s="5" t="n"/>
      <c r="T86" s="5">
        <f>IF(O86="","",IF(O86=N86,1,0))</f>
        <v/>
      </c>
      <c r="U86" s="6" t="n"/>
    </row>
    <row r="87">
      <c r="A87" s="5" t="n">
        <v>9</v>
      </c>
      <c r="B87" s="5" t="n">
        <v>6</v>
      </c>
      <c r="C87" s="5" t="inlineStr">
        <is>
          <t>Leadership / Communication / Emotional &amp; Social</t>
        </is>
      </c>
      <c r="D87" s="5" t="inlineStr">
        <is>
          <t>Self-report (most/least)</t>
        </is>
      </c>
      <c r="E87" s="6" t="inlineStr">
        <is>
          <t>You just realized you studied the wrong chapter the night before a big test.</t>
        </is>
      </c>
      <c r="F87" s="6" t="inlineStr">
        <is>
          <t>None of these feel like you in this moment</t>
        </is>
      </c>
      <c r="G87" s="6" t="inlineStr">
        <is>
          <t>You like guiding your team toward a shared goal</t>
        </is>
      </c>
      <c r="H87" s="6" t="inlineStr">
        <is>
          <t>You enjoy explaining your work to teachers or peers</t>
        </is>
      </c>
      <c r="I87" s="6" t="inlineStr">
        <is>
          <t>You notice small changes in a friend's mood</t>
        </is>
      </c>
      <c r="J87" s="5" t="inlineStr"/>
      <c r="K87" s="5" t="inlineStr">
        <is>
          <t>LD</t>
        </is>
      </c>
      <c r="L87" s="5" t="inlineStr">
        <is>
          <t>CM</t>
        </is>
      </c>
      <c r="M87" s="5" t="inlineStr">
        <is>
          <t>ES</t>
        </is>
      </c>
      <c r="N87" s="5" t="n"/>
      <c r="O87" s="5" t="n"/>
      <c r="P87" s="5" t="n"/>
      <c r="Q87" s="5" t="n"/>
      <c r="R87" s="5">
        <f>IFERROR(INDEX(J87:M87,MATCH(P87,{"A","B","C","D"},0)),"")</f>
        <v/>
      </c>
      <c r="S87" s="5">
        <f>IFERROR(INDEX(J87:M87,MATCH(Q87,{"A","B","C","D"},0)),"")</f>
        <v/>
      </c>
      <c r="T87" s="5" t="n"/>
      <c r="U87" s="6" t="n"/>
    </row>
    <row r="88">
      <c r="A88" s="5" t="n">
        <v>9</v>
      </c>
      <c r="B88" s="5" t="n">
        <v>7</v>
      </c>
      <c r="C88" s="5" t="inlineStr">
        <is>
          <t>Leadership / Communication / Emotional &amp; Social</t>
        </is>
      </c>
      <c r="D88" s="5" t="inlineStr">
        <is>
          <t>Self-report (most/least)</t>
        </is>
      </c>
      <c r="E88" s="6" t="inlineStr">
        <is>
          <t>A classmate is being excluded from a group activity right in front of you.</t>
        </is>
      </c>
      <c r="F88" s="6" t="inlineStr">
        <is>
          <t>You like asking questions to clarify confusing topics</t>
        </is>
      </c>
      <c r="G88" s="6" t="inlineStr">
        <is>
          <t>You stay calm even under exam pressure</t>
        </is>
      </c>
      <c r="H88" s="6" t="inlineStr">
        <is>
          <t>You'd need more time before reacting at all</t>
        </is>
      </c>
      <c r="I88" s="6" t="inlineStr">
        <is>
          <t>You like organizing the group's plan of action</t>
        </is>
      </c>
      <c r="J88" s="5" t="inlineStr">
        <is>
          <t>CM</t>
        </is>
      </c>
      <c r="K88" s="5" t="inlineStr">
        <is>
          <t>ES</t>
        </is>
      </c>
      <c r="L88" s="5" t="inlineStr"/>
      <c r="M88" s="5" t="inlineStr">
        <is>
          <t>LD</t>
        </is>
      </c>
      <c r="N88" s="5" t="n"/>
      <c r="O88" s="5" t="n"/>
      <c r="P88" s="5" t="n"/>
      <c r="Q88" s="5" t="n"/>
      <c r="R88" s="5">
        <f>IFERROR(INDEX(J88:M88,MATCH(P88,{"A","B","C","D"},0)),"")</f>
        <v/>
      </c>
      <c r="S88" s="5">
        <f>IFERROR(INDEX(J88:M88,MATCH(Q88,{"A","B","C","D"},0)),"")</f>
        <v/>
      </c>
      <c r="T88" s="5" t="n"/>
      <c r="U88" s="6" t="n"/>
    </row>
    <row r="89">
      <c r="A89" s="5" t="n">
        <v>9</v>
      </c>
      <c r="B89" s="5" t="n">
        <v>8</v>
      </c>
      <c r="C89" s="5" t="inlineStr">
        <is>
          <t>Leadership / Communication / Emotional &amp; Social</t>
        </is>
      </c>
      <c r="D89" s="5" t="inlineStr">
        <is>
          <t>Self-report (most/least)</t>
        </is>
      </c>
      <c r="E89" s="6" t="inlineStr">
        <is>
          <t>Your robotics team's device stops working two minutes before the competition demo.</t>
        </is>
      </c>
      <c r="F89" s="6" t="inlineStr">
        <is>
          <t>You'd rather wait and see what others do first</t>
        </is>
      </c>
      <c r="G89" s="6" t="inlineStr">
        <is>
          <t>You enjoy being chosen to head a team or committee</t>
        </is>
      </c>
      <c r="H89" s="6" t="inlineStr">
        <is>
          <t>You make sure your point comes across without confusion</t>
        </is>
      </c>
      <c r="I89" s="6" t="inlineStr">
        <is>
          <t>You can sense how someone feels without them saying it</t>
        </is>
      </c>
      <c r="J89" s="5" t="inlineStr"/>
      <c r="K89" s="5" t="inlineStr">
        <is>
          <t>LD</t>
        </is>
      </c>
      <c r="L89" s="5" t="inlineStr">
        <is>
          <t>CM</t>
        </is>
      </c>
      <c r="M89" s="5" t="inlineStr">
        <is>
          <t>ES</t>
        </is>
      </c>
      <c r="N89" s="5" t="n"/>
      <c r="O89" s="5" t="n"/>
      <c r="P89" s="5" t="n"/>
      <c r="Q89" s="5" t="n"/>
      <c r="R89" s="5">
        <f>IFERROR(INDEX(J89:M89,MATCH(P89,{"A","B","C","D"},0)),"")</f>
        <v/>
      </c>
      <c r="S89" s="5">
        <f>IFERROR(INDEX(J89:M89,MATCH(Q89,{"A","B","C","D"},0)),"")</f>
        <v/>
      </c>
      <c r="T89" s="5" t="n"/>
      <c r="U89" s="6" t="n"/>
    </row>
    <row r="90">
      <c r="A90" s="5" t="n">
        <v>9</v>
      </c>
      <c r="B90" s="5" t="n">
        <v>9</v>
      </c>
      <c r="C90" s="5" t="inlineStr">
        <is>
          <t>Creative Skills</t>
        </is>
      </c>
      <c r="D90" s="5" t="inlineStr">
        <is>
          <t>Open-ended (not auto-scored)</t>
        </is>
      </c>
      <c r="E90" s="6" t="inlineStr">
        <is>
          <t>Your class has been given a blank wall to decorate however you like. What's your idea?</t>
        </is>
      </c>
      <c r="F90" s="6" t="n"/>
      <c r="G90" s="6" t="n"/>
      <c r="H90" s="6" t="n"/>
      <c r="I90" s="6" t="n"/>
      <c r="J90" s="5" t="n"/>
      <c r="K90" s="5" t="n"/>
      <c r="L90" s="5" t="n"/>
      <c r="M90" s="5" t="n"/>
      <c r="N90" s="5" t="n"/>
      <c r="O90" s="5" t="n"/>
      <c r="P90" s="5" t="n"/>
      <c r="Q90" s="5" t="n"/>
      <c r="R90" s="5" t="n"/>
      <c r="S90" s="5" t="n"/>
      <c r="T90" s="5" t="n"/>
      <c r="U90" s="6" t="n"/>
    </row>
    <row r="91">
      <c r="A91" s="5" t="n">
        <v>9</v>
      </c>
      <c r="B91" s="5" t="n">
        <v>10</v>
      </c>
      <c r="C91" s="5" t="inlineStr">
        <is>
          <t>Listening Skills</t>
        </is>
      </c>
      <c r="D91" s="5" t="inlineStr">
        <is>
          <t>Scored</t>
        </is>
      </c>
      <c r="E91" s="6" t="inlineStr">
        <is>
          <t>[Read once, then answer without re-reading] “Before the concert, the band tuned their instruments, ran a sound check, and finally waited for the curtain to rise.”  ||  What happened last?</t>
        </is>
      </c>
      <c r="F91" s="6" t="inlineStr">
        <is>
          <t>tuned their instruments</t>
        </is>
      </c>
      <c r="G91" s="6" t="inlineStr">
        <is>
          <t>sold merchandise</t>
        </is>
      </c>
      <c r="H91" s="6" t="inlineStr">
        <is>
          <t>waited for the curtain</t>
        </is>
      </c>
      <c r="I91" s="6" t="inlineStr">
        <is>
          <t>ran a sound check</t>
        </is>
      </c>
      <c r="J91" s="5" t="n"/>
      <c r="K91" s="5" t="n"/>
      <c r="L91" s="5" t="n"/>
      <c r="M91" s="5" t="n"/>
      <c r="N91" s="5" t="inlineStr">
        <is>
          <t>C</t>
        </is>
      </c>
      <c r="O91" s="5" t="n"/>
      <c r="P91" s="5" t="n"/>
      <c r="Q91" s="5" t="n"/>
      <c r="R91" s="5" t="n"/>
      <c r="S91" s="5" t="n"/>
      <c r="T91" s="5">
        <f>IF(O91="","",IF(O91=N91,1,0))</f>
        <v/>
      </c>
      <c r="U91" s="6" t="n"/>
    </row>
    <row r="92">
      <c r="A92" s="7" t="n">
        <v>10</v>
      </c>
      <c r="B92" s="7" t="n">
        <v>1</v>
      </c>
      <c r="C92" s="7" t="inlineStr">
        <is>
          <t>Problem Solving</t>
        </is>
      </c>
      <c r="D92" s="7" t="inlineStr">
        <is>
          <t>Scored</t>
        </is>
      </c>
      <c r="E92" s="8" t="inlineStr">
        <is>
          <t>Three classmates — Farah, Ben, Hana — are presenting their projects in order. Hana is not first. Hana is not in the middle. Ben is not first. Who is last?</t>
        </is>
      </c>
      <c r="F92" s="8" t="inlineStr">
        <is>
          <t>Ben</t>
        </is>
      </c>
      <c r="G92" s="8" t="inlineStr">
        <is>
          <t>Farah</t>
        </is>
      </c>
      <c r="H92" s="8" t="inlineStr">
        <is>
          <t>Cannot be determined</t>
        </is>
      </c>
      <c r="I92" s="8" t="inlineStr">
        <is>
          <t>Hana</t>
        </is>
      </c>
      <c r="J92" s="7" t="n"/>
      <c r="K92" s="7" t="n"/>
      <c r="L92" s="7" t="n"/>
      <c r="M92" s="7" t="n"/>
      <c r="N92" s="7" t="inlineStr">
        <is>
          <t>D</t>
        </is>
      </c>
      <c r="O92" s="7" t="n"/>
      <c r="P92" s="7" t="n"/>
      <c r="Q92" s="7" t="n"/>
      <c r="R92" s="7" t="n"/>
      <c r="S92" s="7" t="n"/>
      <c r="T92" s="7">
        <f>IF(O92="","",IF(O92=N92,1,0))</f>
        <v/>
      </c>
      <c r="U92" s="8" t="n"/>
    </row>
    <row r="93">
      <c r="A93" s="7" t="n">
        <v>10</v>
      </c>
      <c r="B93" s="7" t="n">
        <v>2</v>
      </c>
      <c r="C93" s="7" t="inlineStr">
        <is>
          <t>Critical Thinking</t>
        </is>
      </c>
      <c r="D93" s="7" t="inlineStr">
        <is>
          <t>Scored</t>
        </is>
      </c>
      <c r="E93" s="8" t="inlineStr">
        <is>
          <t>Omar says: 'This app is the best because it's simply superior to the others.' What's the actual flaw in this reasoning?</t>
        </is>
      </c>
      <c r="F93" s="8" t="inlineStr">
        <is>
          <t>Best and superior mean unrelated things</t>
        </is>
      </c>
      <c r="G93" s="8" t="inlineStr">
        <is>
          <t>The app doesn't exist</t>
        </is>
      </c>
      <c r="H93" s="8" t="inlineStr">
        <is>
          <t>He's asserting the conclusion again without giving an actual reason</t>
        </is>
      </c>
      <c r="I93" s="8" t="inlineStr">
        <is>
          <t>Other apps are objectively worse</t>
        </is>
      </c>
      <c r="J93" s="7" t="n"/>
      <c r="K93" s="7" t="n"/>
      <c r="L93" s="7" t="n"/>
      <c r="M93" s="7" t="n"/>
      <c r="N93" s="7" t="inlineStr">
        <is>
          <t>C</t>
        </is>
      </c>
      <c r="O93" s="7" t="n"/>
      <c r="P93" s="7" t="n"/>
      <c r="Q93" s="7" t="n"/>
      <c r="R93" s="7" t="n"/>
      <c r="S93" s="7" t="n"/>
      <c r="T93" s="7">
        <f>IF(O93="","",IF(O93=N93,1,0))</f>
        <v/>
      </c>
      <c r="U93" s="8" t="n"/>
    </row>
    <row r="94">
      <c r="A94" s="7" t="n">
        <v>10</v>
      </c>
      <c r="B94" s="7" t="n">
        <v>3</v>
      </c>
      <c r="C94" s="7" t="inlineStr">
        <is>
          <t>Decision Making</t>
        </is>
      </c>
      <c r="D94" s="7" t="inlineStr">
        <is>
          <t>Scored</t>
        </is>
      </c>
      <c r="E94" s="8" t="inlineStr">
        <is>
          <t>You have 36 minutes. submit your history essay takes 24 minutes, prepare for the debate takes 12 minutes, and finish the group poster takes 31 minutes. You must skip exactly one of them to fit the other two into your 36 minutes. Which should you skip?</t>
        </is>
      </c>
      <c r="F94" s="8" t="inlineStr">
        <is>
          <t>It's impossible to fit any two</t>
        </is>
      </c>
      <c r="G94" s="8" t="inlineStr">
        <is>
          <t>submit your history essay</t>
        </is>
      </c>
      <c r="H94" s="8" t="inlineStr">
        <is>
          <t>finish the group poster</t>
        </is>
      </c>
      <c r="I94" s="8" t="inlineStr">
        <is>
          <t>prepare for the debate</t>
        </is>
      </c>
      <c r="J94" s="7" t="n"/>
      <c r="K94" s="7" t="n"/>
      <c r="L94" s="7" t="n"/>
      <c r="M94" s="7" t="n"/>
      <c r="N94" s="7" t="inlineStr">
        <is>
          <t>C</t>
        </is>
      </c>
      <c r="O94" s="7" t="n"/>
      <c r="P94" s="7" t="n"/>
      <c r="Q94" s="7" t="n"/>
      <c r="R94" s="7" t="n"/>
      <c r="S94" s="7" t="n"/>
      <c r="T94" s="7">
        <f>IF(O94="","",IF(O94=N94,1,0))</f>
        <v/>
      </c>
      <c r="U94" s="8" t="n"/>
    </row>
    <row r="95">
      <c r="A95" s="7" t="n">
        <v>10</v>
      </c>
      <c r="B95" s="7" t="n">
        <v>4</v>
      </c>
      <c r="C95" s="7" t="inlineStr">
        <is>
          <t>Mental Math</t>
        </is>
      </c>
      <c r="D95" s="7" t="inlineStr">
        <is>
          <t>Scored</t>
        </is>
      </c>
      <c r="E95" s="8" t="inlineStr">
        <is>
          <t>I'm thinking of a number. If you double it, then subtract 4, you get 30. What's my number?</t>
        </is>
      </c>
      <c r="F95" s="8" t="inlineStr">
        <is>
          <t>18</t>
        </is>
      </c>
      <c r="G95" s="8" t="inlineStr">
        <is>
          <t>19</t>
        </is>
      </c>
      <c r="H95" s="8" t="inlineStr">
        <is>
          <t>16</t>
        </is>
      </c>
      <c r="I95" s="8" t="inlineStr">
        <is>
          <t>17</t>
        </is>
      </c>
      <c r="J95" s="7" t="n"/>
      <c r="K95" s="7" t="n"/>
      <c r="L95" s="7" t="n"/>
      <c r="M95" s="7" t="n"/>
      <c r="N95" s="7" t="inlineStr">
        <is>
          <t>D</t>
        </is>
      </c>
      <c r="O95" s="7" t="n"/>
      <c r="P95" s="7" t="n"/>
      <c r="Q95" s="7" t="n"/>
      <c r="R95" s="7" t="n"/>
      <c r="S95" s="7" t="n"/>
      <c r="T95" s="7">
        <f>IF(O95="","",IF(O95=N95,1,0))</f>
        <v/>
      </c>
      <c r="U95" s="8" t="n"/>
    </row>
    <row r="96">
      <c r="A96" s="7" t="n">
        <v>10</v>
      </c>
      <c r="B96" s="7" t="n">
        <v>5</v>
      </c>
      <c r="C96" s="7" t="inlineStr">
        <is>
          <t>Cognitive Academia</t>
        </is>
      </c>
      <c r="D96" s="7" t="inlineStr">
        <is>
          <t>Scored</t>
        </is>
      </c>
      <c r="E96" s="8" t="inlineStr">
        <is>
          <t>What comes next in this pattern: 4, 8, 14, 22, 32, ?</t>
        </is>
      </c>
      <c r="F96" s="8" t="inlineStr">
        <is>
          <t>42</t>
        </is>
      </c>
      <c r="G96" s="8" t="inlineStr">
        <is>
          <t>44</t>
        </is>
      </c>
      <c r="H96" s="8" t="inlineStr">
        <is>
          <t>46</t>
        </is>
      </c>
      <c r="I96" s="8" t="inlineStr">
        <is>
          <t>48</t>
        </is>
      </c>
      <c r="J96" s="7" t="n"/>
      <c r="K96" s="7" t="n"/>
      <c r="L96" s="7" t="n"/>
      <c r="M96" s="7" t="n"/>
      <c r="N96" s="7" t="inlineStr">
        <is>
          <t>B</t>
        </is>
      </c>
      <c r="O96" s="7" t="n"/>
      <c r="P96" s="7" t="n"/>
      <c r="Q96" s="7" t="n"/>
      <c r="R96" s="7" t="n"/>
      <c r="S96" s="7" t="n"/>
      <c r="T96" s="7">
        <f>IF(O96="","",IF(O96=N96,1,0))</f>
        <v/>
      </c>
      <c r="U96" s="8" t="n"/>
    </row>
    <row r="97">
      <c r="A97" s="7" t="n">
        <v>10</v>
      </c>
      <c r="B97" s="7" t="n">
        <v>6</v>
      </c>
      <c r="C97" s="7" t="inlineStr">
        <is>
          <t>Leadership / Communication / Emotional &amp; Social</t>
        </is>
      </c>
      <c r="D97" s="7" t="inlineStr">
        <is>
          <t>Self-report (most/least)</t>
        </is>
      </c>
      <c r="E97" s="8" t="inlineStr">
        <is>
          <t>You're mediating an argument between two friends who are both upset with each other.</t>
        </is>
      </c>
      <c r="F97" s="8" t="inlineStr">
        <is>
          <t>You think about how others might feel before acting</t>
        </is>
      </c>
      <c r="G97" s="8" t="inlineStr">
        <is>
          <t>You'd need more time before reacting at all</t>
        </is>
      </c>
      <c r="H97" s="8" t="inlineStr">
        <is>
          <t>You feel confident making decisions for the group</t>
        </is>
      </c>
      <c r="I97" s="8" t="inlineStr">
        <is>
          <t>You enjoy discussing new topics with others</t>
        </is>
      </c>
      <c r="J97" s="7" t="inlineStr">
        <is>
          <t>ES</t>
        </is>
      </c>
      <c r="K97" s="7" t="inlineStr"/>
      <c r="L97" s="7" t="inlineStr">
        <is>
          <t>LD</t>
        </is>
      </c>
      <c r="M97" s="7" t="inlineStr">
        <is>
          <t>CM</t>
        </is>
      </c>
      <c r="N97" s="7" t="n"/>
      <c r="O97" s="7" t="n"/>
      <c r="P97" s="7" t="n"/>
      <c r="Q97" s="7" t="n"/>
      <c r="R97" s="7">
        <f>IFERROR(INDEX(J97:M97,MATCH(P97,{"A","B","C","D"},0)),"")</f>
        <v/>
      </c>
      <c r="S97" s="7">
        <f>IFERROR(INDEX(J97:M97,MATCH(Q97,{"A","B","C","D"},0)),"")</f>
        <v/>
      </c>
      <c r="T97" s="7" t="n"/>
      <c r="U97" s="8" t="n"/>
    </row>
    <row r="98">
      <c r="A98" s="7" t="n">
        <v>10</v>
      </c>
      <c r="B98" s="7" t="n">
        <v>7</v>
      </c>
      <c r="C98" s="7" t="inlineStr">
        <is>
          <t>Leadership / Communication / Emotional &amp; Social</t>
        </is>
      </c>
      <c r="D98" s="7" t="inlineStr">
        <is>
          <t>Self-report (most/least)</t>
        </is>
      </c>
      <c r="E98" s="8" t="inlineStr">
        <is>
          <t>Your class election speech notes just got left at home, and you're up next.</t>
        </is>
      </c>
      <c r="F98" s="8" t="inlineStr">
        <is>
          <t>You'd rather wait and see what others do first</t>
        </is>
      </c>
      <c r="G98" s="8" t="inlineStr">
        <is>
          <t>You enjoy helping a friend work through a problem</t>
        </is>
      </c>
      <c r="H98" s="8" t="inlineStr">
        <is>
          <t>You naturally end up being the one who decides</t>
        </is>
      </c>
      <c r="I98" s="8" t="inlineStr">
        <is>
          <t>You like structuring your thoughts before speaking</t>
        </is>
      </c>
      <c r="J98" s="7" t="inlineStr"/>
      <c r="K98" s="7" t="inlineStr">
        <is>
          <t>ES</t>
        </is>
      </c>
      <c r="L98" s="7" t="inlineStr">
        <is>
          <t>LD</t>
        </is>
      </c>
      <c r="M98" s="7" t="inlineStr">
        <is>
          <t>CM</t>
        </is>
      </c>
      <c r="N98" s="7" t="n"/>
      <c r="O98" s="7" t="n"/>
      <c r="P98" s="7" t="n"/>
      <c r="Q98" s="7" t="n"/>
      <c r="R98" s="7">
        <f>IFERROR(INDEX(J98:M98,MATCH(P98,{"A","B","C","D"},0)),"")</f>
        <v/>
      </c>
      <c r="S98" s="7">
        <f>IFERROR(INDEX(J98:M98,MATCH(Q98,{"A","B","C","D"},0)),"")</f>
        <v/>
      </c>
      <c r="T98" s="7" t="n"/>
      <c r="U98" s="8" t="n"/>
    </row>
    <row r="99">
      <c r="A99" s="7" t="n">
        <v>10</v>
      </c>
      <c r="B99" s="7" t="n">
        <v>8</v>
      </c>
      <c r="C99" s="7" t="inlineStr">
        <is>
          <t>Leadership / Communication / Emotional &amp; Social</t>
        </is>
      </c>
      <c r="D99" s="7" t="inlineStr">
        <is>
          <t>Self-report (most/least)</t>
        </is>
      </c>
      <c r="E99" s="8" t="inlineStr">
        <is>
          <t>A teammate takes credit for an idea that was actually yours, in front of the whole class.</t>
        </is>
      </c>
      <c r="F99" s="8" t="inlineStr">
        <is>
          <t>You naturally take charge when the group needs direction</t>
        </is>
      </c>
      <c r="G99" s="8" t="inlineStr">
        <is>
          <t>You'd step back and observe before choosing any of these</t>
        </is>
      </c>
      <c r="H99" s="8" t="inlineStr">
        <is>
          <t>You explain your ideas clearly so others understand</t>
        </is>
      </c>
      <c r="I99" s="8" t="inlineStr">
        <is>
          <t>You notice when a friend is feeling stressed</t>
        </is>
      </c>
      <c r="J99" s="7" t="inlineStr">
        <is>
          <t>LD</t>
        </is>
      </c>
      <c r="K99" s="7" t="inlineStr"/>
      <c r="L99" s="7" t="inlineStr">
        <is>
          <t>CM</t>
        </is>
      </c>
      <c r="M99" s="7" t="inlineStr">
        <is>
          <t>ES</t>
        </is>
      </c>
      <c r="N99" s="7" t="n"/>
      <c r="O99" s="7" t="n"/>
      <c r="P99" s="7" t="n"/>
      <c r="Q99" s="7" t="n"/>
      <c r="R99" s="7">
        <f>IFERROR(INDEX(J99:M99,MATCH(P99,{"A","B","C","D"},0)),"")</f>
        <v/>
      </c>
      <c r="S99" s="7">
        <f>IFERROR(INDEX(J99:M99,MATCH(Q99,{"A","B","C","D"},0)),"")</f>
        <v/>
      </c>
      <c r="T99" s="7" t="n"/>
      <c r="U99" s="8" t="n"/>
    </row>
    <row r="100">
      <c r="A100" s="7" t="n">
        <v>10</v>
      </c>
      <c r="B100" s="7" t="n">
        <v>9</v>
      </c>
      <c r="C100" s="7" t="inlineStr">
        <is>
          <t>Creative Skills</t>
        </is>
      </c>
      <c r="D100" s="7" t="inlineStr">
        <is>
          <t>Open-ended (not auto-scored)</t>
        </is>
      </c>
      <c r="E100" s="8" t="inlineStr">
        <is>
          <t>Invent a machine that solves one small everyday annoyance at school.</t>
        </is>
      </c>
      <c r="F100" s="8" t="n"/>
      <c r="G100" s="8" t="n"/>
      <c r="H100" s="8" t="n"/>
      <c r="I100" s="8" t="n"/>
      <c r="J100" s="7" t="n"/>
      <c r="K100" s="7" t="n"/>
      <c r="L100" s="7" t="n"/>
      <c r="M100" s="7" t="n"/>
      <c r="N100" s="7" t="n"/>
      <c r="O100" s="7" t="n"/>
      <c r="P100" s="7" t="n"/>
      <c r="Q100" s="7" t="n"/>
      <c r="R100" s="7" t="n"/>
      <c r="S100" s="7" t="n"/>
      <c r="T100" s="7" t="n"/>
      <c r="U100" s="8" t="n"/>
    </row>
    <row r="101">
      <c r="A101" s="7" t="n">
        <v>10</v>
      </c>
      <c r="B101" s="7" t="n">
        <v>10</v>
      </c>
      <c r="C101" s="7" t="inlineStr">
        <is>
          <t>Listening Skills</t>
        </is>
      </c>
      <c r="D101" s="7" t="inlineStr">
        <is>
          <t>Scored</t>
        </is>
      </c>
      <c r="E101" s="8" t="inlineStr">
        <is>
          <t>[Read once, then answer without re-reading] “During the chemistry lab, the students labelled their beakers, measured the reagents, and then recorded the reaction time.”  ||  What happened last?</t>
        </is>
      </c>
      <c r="F101" s="8" t="inlineStr">
        <is>
          <t>measured the reagents</t>
        </is>
      </c>
      <c r="G101" s="8" t="inlineStr">
        <is>
          <t>recorded the reaction time</t>
        </is>
      </c>
      <c r="H101" s="8" t="inlineStr">
        <is>
          <t>cleaned the fume hood</t>
        </is>
      </c>
      <c r="I101" s="8" t="inlineStr">
        <is>
          <t>labelled their beakers</t>
        </is>
      </c>
      <c r="J101" s="7" t="n"/>
      <c r="K101" s="7" t="n"/>
      <c r="L101" s="7" t="n"/>
      <c r="M101" s="7" t="n"/>
      <c r="N101" s="7" t="inlineStr">
        <is>
          <t>B</t>
        </is>
      </c>
      <c r="O101" s="7" t="n"/>
      <c r="P101" s="7" t="n"/>
      <c r="Q101" s="7" t="n"/>
      <c r="R101" s="7" t="n"/>
      <c r="S101" s="7" t="n"/>
      <c r="T101" s="7">
        <f>IF(O101="","",IF(O101=N101,1,0))</f>
        <v/>
      </c>
      <c r="U101" s="8" t="n"/>
    </row>
    <row r="104">
      <c r="A104" s="9" t="inlineStr">
        <is>
          <t>Scoring summary — fill answers above, then read results below. Creative (last column) is for manual review.</t>
        </is>
      </c>
    </row>
    <row r="105">
      <c r="A105" s="10" t="inlineStr">
        <is>
          <t>Set</t>
        </is>
      </c>
      <c r="B105" s="10" t="inlineStr">
        <is>
          <t>Problem Solving</t>
        </is>
      </c>
      <c r="C105" s="10" t="inlineStr">
        <is>
          <t>Critical Thinking</t>
        </is>
      </c>
      <c r="D105" s="10" t="inlineStr">
        <is>
          <t>Decision Making</t>
        </is>
      </c>
      <c r="E105" s="10" t="inlineStr">
        <is>
          <t>Mental Math</t>
        </is>
      </c>
      <c r="F105" s="10" t="inlineStr">
        <is>
          <t>Cognitive Academia</t>
        </is>
      </c>
      <c r="G105" s="10" t="inlineStr">
        <is>
          <t>Listening</t>
        </is>
      </c>
      <c r="H105" s="10" t="inlineStr">
        <is>
          <t>Leadership</t>
        </is>
      </c>
      <c r="I105" s="10" t="inlineStr">
        <is>
          <t>Communication</t>
        </is>
      </c>
      <c r="J105" s="10" t="inlineStr">
        <is>
          <t>Emotional &amp; Social</t>
        </is>
      </c>
      <c r="K105" s="10" t="inlineStr">
        <is>
          <t>Top strength</t>
        </is>
      </c>
    </row>
    <row r="106">
      <c r="A106" s="11" t="n">
        <v>1</v>
      </c>
      <c r="B106" s="12">
        <f>IF(O2="",0,IF(O2=N2,100,0))</f>
        <v/>
      </c>
      <c r="C106" s="12">
        <f>IF(O3="",0,IF(O3=N3,100,0))</f>
        <v/>
      </c>
      <c r="D106" s="12">
        <f>IF(O4="",0,IF(O4=N4,100,0))</f>
        <v/>
      </c>
      <c r="E106" s="12">
        <f>IF(O5="",0,IF(O5=N5,100,0))</f>
        <v/>
      </c>
      <c r="F106" s="12">
        <f>IF(O6="",0,IF(O6=N6,100,0))</f>
        <v/>
      </c>
      <c r="G106" s="12">
        <f>IF(O11="",0,IF(O11=N11,100,0))</f>
        <v/>
      </c>
      <c r="H106" s="12">
        <f>((((--(R7="LD"))-(--(S7="LD")))+((--(R8="LD"))-(--(S8="LD")))+((--(R9="LD"))-(--(S9="LD"))))+3)/6*100</f>
        <v/>
      </c>
      <c r="I106" s="12">
        <f>((((--(R7="CM"))-(--(S7="CM")))+((--(R8="CM"))-(--(S8="CM")))+((--(R9="CM"))-(--(S9="CM"))))+3)/6*100</f>
        <v/>
      </c>
      <c r="J106" s="12">
        <f>((((--(R7="ES"))-(--(S7="ES")))+((--(R8="ES"))-(--(S8="ES")))+((--(R9="ES"))-(--(S9="ES"))))+3)/6*100</f>
        <v/>
      </c>
      <c r="K106" s="12">
        <f>INDEX({"Problem Solving";"Critical Thinking";"Decision Making";"Mental Math";"Cognitive Academia";"Listening";"Leadership";"Communication";"Emotional &amp; Social"},MATCH(MAX(B106:J106),B106:J106,0))</f>
        <v/>
      </c>
    </row>
    <row r="107">
      <c r="A107" s="11" t="n">
        <v>2</v>
      </c>
      <c r="B107" s="12">
        <f>IF(O12="",0,IF(O12=N12,100,0))</f>
        <v/>
      </c>
      <c r="C107" s="12">
        <f>IF(O13="",0,IF(O13=N13,100,0))</f>
        <v/>
      </c>
      <c r="D107" s="12">
        <f>IF(O14="",0,IF(O14=N14,100,0))</f>
        <v/>
      </c>
      <c r="E107" s="12">
        <f>IF(O15="",0,IF(O15=N15,100,0))</f>
        <v/>
      </c>
      <c r="F107" s="12">
        <f>IF(O16="",0,IF(O16=N16,100,0))</f>
        <v/>
      </c>
      <c r="G107" s="12">
        <f>IF(O21="",0,IF(O21=N21,100,0))</f>
        <v/>
      </c>
      <c r="H107" s="12">
        <f>((((--(R17="LD"))-(--(S17="LD")))+((--(R18="LD"))-(--(S18="LD")))+((--(R19="LD"))-(--(S19="LD"))))+3)/6*100</f>
        <v/>
      </c>
      <c r="I107" s="12">
        <f>((((--(R17="CM"))-(--(S17="CM")))+((--(R18="CM"))-(--(S18="CM")))+((--(R19="CM"))-(--(S19="CM"))))+3)/6*100</f>
        <v/>
      </c>
      <c r="J107" s="12">
        <f>((((--(R17="ES"))-(--(S17="ES")))+((--(R18="ES"))-(--(S18="ES")))+((--(R19="ES"))-(--(S19="ES"))))+3)/6*100</f>
        <v/>
      </c>
      <c r="K107" s="12">
        <f>INDEX({"Problem Solving";"Critical Thinking";"Decision Making";"Mental Math";"Cognitive Academia";"Listening";"Leadership";"Communication";"Emotional &amp; Social"},MATCH(MAX(B107:J107),B107:J107,0))</f>
        <v/>
      </c>
    </row>
    <row r="108">
      <c r="A108" s="11" t="n">
        <v>3</v>
      </c>
      <c r="B108" s="12">
        <f>IF(O22="",0,IF(O22=N22,100,0))</f>
        <v/>
      </c>
      <c r="C108" s="12">
        <f>IF(O23="",0,IF(O23=N23,100,0))</f>
        <v/>
      </c>
      <c r="D108" s="12">
        <f>IF(O24="",0,IF(O24=N24,100,0))</f>
        <v/>
      </c>
      <c r="E108" s="12">
        <f>IF(O25="",0,IF(O25=N25,100,0))</f>
        <v/>
      </c>
      <c r="F108" s="12">
        <f>IF(O26="",0,IF(O26=N26,100,0))</f>
        <v/>
      </c>
      <c r="G108" s="12">
        <f>IF(O31="",0,IF(O31=N31,100,0))</f>
        <v/>
      </c>
      <c r="H108" s="12">
        <f>((((--(R27="LD"))-(--(S27="LD")))+((--(R28="LD"))-(--(S28="LD")))+((--(R29="LD"))-(--(S29="LD"))))+3)/6*100</f>
        <v/>
      </c>
      <c r="I108" s="12">
        <f>((((--(R27="CM"))-(--(S27="CM")))+((--(R28="CM"))-(--(S28="CM")))+((--(R29="CM"))-(--(S29="CM"))))+3)/6*100</f>
        <v/>
      </c>
      <c r="J108" s="12">
        <f>((((--(R27="ES"))-(--(S27="ES")))+((--(R28="ES"))-(--(S28="ES")))+((--(R29="ES"))-(--(S29="ES"))))+3)/6*100</f>
        <v/>
      </c>
      <c r="K108" s="12">
        <f>INDEX({"Problem Solving";"Critical Thinking";"Decision Making";"Mental Math";"Cognitive Academia";"Listening";"Leadership";"Communication";"Emotional &amp; Social"},MATCH(MAX(B108:J108),B108:J108,0))</f>
        <v/>
      </c>
    </row>
    <row r="109">
      <c r="A109" s="11" t="n">
        <v>4</v>
      </c>
      <c r="B109" s="12">
        <f>IF(O32="",0,IF(O32=N32,100,0))</f>
        <v/>
      </c>
      <c r="C109" s="12">
        <f>IF(O33="",0,IF(O33=N33,100,0))</f>
        <v/>
      </c>
      <c r="D109" s="12">
        <f>IF(O34="",0,IF(O34=N34,100,0))</f>
        <v/>
      </c>
      <c r="E109" s="12">
        <f>IF(O35="",0,IF(O35=N35,100,0))</f>
        <v/>
      </c>
      <c r="F109" s="12">
        <f>IF(O36="",0,IF(O36=N36,100,0))</f>
        <v/>
      </c>
      <c r="G109" s="12">
        <f>IF(O41="",0,IF(O41=N41,100,0))</f>
        <v/>
      </c>
      <c r="H109" s="12">
        <f>((((--(R37="LD"))-(--(S37="LD")))+((--(R38="LD"))-(--(S38="LD")))+((--(R39="LD"))-(--(S39="LD"))))+3)/6*100</f>
        <v/>
      </c>
      <c r="I109" s="12">
        <f>((((--(R37="CM"))-(--(S37="CM")))+((--(R38="CM"))-(--(S38="CM")))+((--(R39="CM"))-(--(S39="CM"))))+3)/6*100</f>
        <v/>
      </c>
      <c r="J109" s="12">
        <f>((((--(R37="ES"))-(--(S37="ES")))+((--(R38="ES"))-(--(S38="ES")))+((--(R39="ES"))-(--(S39="ES"))))+3)/6*100</f>
        <v/>
      </c>
      <c r="K109" s="12">
        <f>INDEX({"Problem Solving";"Critical Thinking";"Decision Making";"Mental Math";"Cognitive Academia";"Listening";"Leadership";"Communication";"Emotional &amp; Social"},MATCH(MAX(B109:J109),B109:J109,0))</f>
        <v/>
      </c>
    </row>
    <row r="110">
      <c r="A110" s="11" t="n">
        <v>5</v>
      </c>
      <c r="B110" s="12">
        <f>IF(O42="",0,IF(O42=N42,100,0))</f>
        <v/>
      </c>
      <c r="C110" s="12">
        <f>IF(O43="",0,IF(O43=N43,100,0))</f>
        <v/>
      </c>
      <c r="D110" s="12">
        <f>IF(O44="",0,IF(O44=N44,100,0))</f>
        <v/>
      </c>
      <c r="E110" s="12">
        <f>IF(O45="",0,IF(O45=N45,100,0))</f>
        <v/>
      </c>
      <c r="F110" s="12">
        <f>IF(O46="",0,IF(O46=N46,100,0))</f>
        <v/>
      </c>
      <c r="G110" s="12">
        <f>IF(O51="",0,IF(O51=N51,100,0))</f>
        <v/>
      </c>
      <c r="H110" s="12">
        <f>((((--(R47="LD"))-(--(S47="LD")))+((--(R48="LD"))-(--(S48="LD")))+((--(R49="LD"))-(--(S49="LD"))))+3)/6*100</f>
        <v/>
      </c>
      <c r="I110" s="12">
        <f>((((--(R47="CM"))-(--(S47="CM")))+((--(R48="CM"))-(--(S48="CM")))+((--(R49="CM"))-(--(S49="CM"))))+3)/6*100</f>
        <v/>
      </c>
      <c r="J110" s="12">
        <f>((((--(R47="ES"))-(--(S47="ES")))+((--(R48="ES"))-(--(S48="ES")))+((--(R49="ES"))-(--(S49="ES"))))+3)/6*100</f>
        <v/>
      </c>
      <c r="K110" s="12">
        <f>INDEX({"Problem Solving";"Critical Thinking";"Decision Making";"Mental Math";"Cognitive Academia";"Listening";"Leadership";"Communication";"Emotional &amp; Social"},MATCH(MAX(B110:J110),B110:J110,0))</f>
        <v/>
      </c>
    </row>
    <row r="111">
      <c r="A111" s="11" t="n">
        <v>6</v>
      </c>
      <c r="B111" s="12">
        <f>IF(O52="",0,IF(O52=N52,100,0))</f>
        <v/>
      </c>
      <c r="C111" s="12">
        <f>IF(O53="",0,IF(O53=N53,100,0))</f>
        <v/>
      </c>
      <c r="D111" s="12">
        <f>IF(O54="",0,IF(O54=N54,100,0))</f>
        <v/>
      </c>
      <c r="E111" s="12">
        <f>IF(O55="",0,IF(O55=N55,100,0))</f>
        <v/>
      </c>
      <c r="F111" s="12">
        <f>IF(O56="",0,IF(O56=N56,100,0))</f>
        <v/>
      </c>
      <c r="G111" s="12">
        <f>IF(O61="",0,IF(O61=N61,100,0))</f>
        <v/>
      </c>
      <c r="H111" s="12">
        <f>((((--(R57="LD"))-(--(S57="LD")))+((--(R58="LD"))-(--(S58="LD")))+((--(R59="LD"))-(--(S59="LD"))))+3)/6*100</f>
        <v/>
      </c>
      <c r="I111" s="12">
        <f>((((--(R57="CM"))-(--(S57="CM")))+((--(R58="CM"))-(--(S58="CM")))+((--(R59="CM"))-(--(S59="CM"))))+3)/6*100</f>
        <v/>
      </c>
      <c r="J111" s="12">
        <f>((((--(R57="ES"))-(--(S57="ES")))+((--(R58="ES"))-(--(S58="ES")))+((--(R59="ES"))-(--(S59="ES"))))+3)/6*100</f>
        <v/>
      </c>
      <c r="K111" s="12">
        <f>INDEX({"Problem Solving";"Critical Thinking";"Decision Making";"Mental Math";"Cognitive Academia";"Listening";"Leadership";"Communication";"Emotional &amp; Social"},MATCH(MAX(B111:J111),B111:J111,0))</f>
        <v/>
      </c>
    </row>
    <row r="112">
      <c r="A112" s="11" t="n">
        <v>7</v>
      </c>
      <c r="B112" s="12">
        <f>IF(O62="",0,IF(O62=N62,100,0))</f>
        <v/>
      </c>
      <c r="C112" s="12">
        <f>IF(O63="",0,IF(O63=N63,100,0))</f>
        <v/>
      </c>
      <c r="D112" s="12">
        <f>IF(O64="",0,IF(O64=N64,100,0))</f>
        <v/>
      </c>
      <c r="E112" s="12">
        <f>IF(O65="",0,IF(O65=N65,100,0))</f>
        <v/>
      </c>
      <c r="F112" s="12">
        <f>IF(O66="",0,IF(O66=N66,100,0))</f>
        <v/>
      </c>
      <c r="G112" s="12">
        <f>IF(O71="",0,IF(O71=N71,100,0))</f>
        <v/>
      </c>
      <c r="H112" s="12">
        <f>((((--(R67="LD"))-(--(S67="LD")))+((--(R68="LD"))-(--(S68="LD")))+((--(R69="LD"))-(--(S69="LD"))))+3)/6*100</f>
        <v/>
      </c>
      <c r="I112" s="12">
        <f>((((--(R67="CM"))-(--(S67="CM")))+((--(R68="CM"))-(--(S68="CM")))+((--(R69="CM"))-(--(S69="CM"))))+3)/6*100</f>
        <v/>
      </c>
      <c r="J112" s="12">
        <f>((((--(R67="ES"))-(--(S67="ES")))+((--(R68="ES"))-(--(S68="ES")))+((--(R69="ES"))-(--(S69="ES"))))+3)/6*100</f>
        <v/>
      </c>
      <c r="K112" s="12">
        <f>INDEX({"Problem Solving";"Critical Thinking";"Decision Making";"Mental Math";"Cognitive Academia";"Listening";"Leadership";"Communication";"Emotional &amp; Social"},MATCH(MAX(B112:J112),B112:J112,0))</f>
        <v/>
      </c>
    </row>
    <row r="113">
      <c r="A113" s="11" t="n">
        <v>8</v>
      </c>
      <c r="B113" s="12">
        <f>IF(O72="",0,IF(O72=N72,100,0))</f>
        <v/>
      </c>
      <c r="C113" s="12">
        <f>IF(O73="",0,IF(O73=N73,100,0))</f>
        <v/>
      </c>
      <c r="D113" s="12">
        <f>IF(O74="",0,IF(O74=N74,100,0))</f>
        <v/>
      </c>
      <c r="E113" s="12">
        <f>IF(O75="",0,IF(O75=N75,100,0))</f>
        <v/>
      </c>
      <c r="F113" s="12">
        <f>IF(O76="",0,IF(O76=N76,100,0))</f>
        <v/>
      </c>
      <c r="G113" s="12">
        <f>IF(O81="",0,IF(O81=N81,100,0))</f>
        <v/>
      </c>
      <c r="H113" s="12">
        <f>((((--(R77="LD"))-(--(S77="LD")))+((--(R78="LD"))-(--(S78="LD")))+((--(R79="LD"))-(--(S79="LD"))))+3)/6*100</f>
        <v/>
      </c>
      <c r="I113" s="12">
        <f>((((--(R77="CM"))-(--(S77="CM")))+((--(R78="CM"))-(--(S78="CM")))+((--(R79="CM"))-(--(S79="CM"))))+3)/6*100</f>
        <v/>
      </c>
      <c r="J113" s="12">
        <f>((((--(R77="ES"))-(--(S77="ES")))+((--(R78="ES"))-(--(S78="ES")))+((--(R79="ES"))-(--(S79="ES"))))+3)/6*100</f>
        <v/>
      </c>
      <c r="K113" s="12">
        <f>INDEX({"Problem Solving";"Critical Thinking";"Decision Making";"Mental Math";"Cognitive Academia";"Listening";"Leadership";"Communication";"Emotional &amp; Social"},MATCH(MAX(B113:J113),B113:J113,0))</f>
        <v/>
      </c>
    </row>
    <row r="114">
      <c r="A114" s="11" t="n">
        <v>9</v>
      </c>
      <c r="B114" s="12">
        <f>IF(O82="",0,IF(O82=N82,100,0))</f>
        <v/>
      </c>
      <c r="C114" s="12">
        <f>IF(O83="",0,IF(O83=N83,100,0))</f>
        <v/>
      </c>
      <c r="D114" s="12">
        <f>IF(O84="",0,IF(O84=N84,100,0))</f>
        <v/>
      </c>
      <c r="E114" s="12">
        <f>IF(O85="",0,IF(O85=N85,100,0))</f>
        <v/>
      </c>
      <c r="F114" s="12">
        <f>IF(O86="",0,IF(O86=N86,100,0))</f>
        <v/>
      </c>
      <c r="G114" s="12">
        <f>IF(O91="",0,IF(O91=N91,100,0))</f>
        <v/>
      </c>
      <c r="H114" s="12">
        <f>((((--(R87="LD"))-(--(S87="LD")))+((--(R88="LD"))-(--(S88="LD")))+((--(R89="LD"))-(--(S89="LD"))))+3)/6*100</f>
        <v/>
      </c>
      <c r="I114" s="12">
        <f>((((--(R87="CM"))-(--(S87="CM")))+((--(R88="CM"))-(--(S88="CM")))+((--(R89="CM"))-(--(S89="CM"))))+3)/6*100</f>
        <v/>
      </c>
      <c r="J114" s="12">
        <f>((((--(R87="ES"))-(--(S87="ES")))+((--(R88="ES"))-(--(S88="ES")))+((--(R89="ES"))-(--(S89="ES"))))+3)/6*100</f>
        <v/>
      </c>
      <c r="K114" s="12">
        <f>INDEX({"Problem Solving";"Critical Thinking";"Decision Making";"Mental Math";"Cognitive Academia";"Listening";"Leadership";"Communication";"Emotional &amp; Social"},MATCH(MAX(B114:J114),B114:J114,0))</f>
        <v/>
      </c>
    </row>
    <row r="115">
      <c r="A115" s="11" t="n">
        <v>10</v>
      </c>
      <c r="B115" s="12">
        <f>IF(O92="",0,IF(O92=N92,100,0))</f>
        <v/>
      </c>
      <c r="C115" s="12">
        <f>IF(O93="",0,IF(O93=N93,100,0))</f>
        <v/>
      </c>
      <c r="D115" s="12">
        <f>IF(O94="",0,IF(O94=N94,100,0))</f>
        <v/>
      </c>
      <c r="E115" s="12">
        <f>IF(O95="",0,IF(O95=N95,100,0))</f>
        <v/>
      </c>
      <c r="F115" s="12">
        <f>IF(O96="",0,IF(O96=N96,100,0))</f>
        <v/>
      </c>
      <c r="G115" s="12">
        <f>IF(O101="",0,IF(O101=N101,100,0))</f>
        <v/>
      </c>
      <c r="H115" s="12">
        <f>((((--(R97="LD"))-(--(S97="LD")))+((--(R98="LD"))-(--(S98="LD")))+((--(R99="LD"))-(--(S99="LD"))))+3)/6*100</f>
        <v/>
      </c>
      <c r="I115" s="12">
        <f>((((--(R97="CM"))-(--(S97="CM")))+((--(R98="CM"))-(--(S98="CM")))+((--(R99="CM"))-(--(S99="CM"))))+3)/6*100</f>
        <v/>
      </c>
      <c r="J115" s="12">
        <f>((((--(R97="ES"))-(--(S97="ES")))+((--(R98="ES"))-(--(S98="ES")))+((--(R99="ES"))-(--(S99="ES"))))+3)/6*100</f>
        <v/>
      </c>
      <c r="K115" s="12">
        <f>INDEX({"Problem Solving";"Critical Thinking";"Decision Making";"Mental Math";"Cognitive Academia";"Listening";"Leadership";"Communication";"Emotional &amp; Social"},MATCH(MAX(B115:J115),B115:J115,0))</f>
        <v/>
      </c>
    </row>
  </sheetData>
  <mergeCells count="1">
    <mergeCell ref="A104:K104"/>
  </mergeCells>
  <dataValidations count="1">
    <dataValidation sqref="O2 O3 O4 O5 O6 O11 O12 O13 O14 O15 O16 O21 O22 O23 O24 O25 O26 O31 O32 O33 O34 O35 O36 O41 O42 O43 O44 O45 O46 O51 O52 O53 O54 O55 O56 O61 O62 O63 O64 O65 O66 O71 O72 O73 O74 O75 O76 O81 O82 O83 O84 O85 O86 O91 O92 O93 O94 O95 O96 O101 P7 P8 P9 P17 P18 P19 P27 P28 P29 P37 P38 P39 P47 P48 P49 P57 P58 P59 P67 P68 P69 P77 P78 P79 P87 P88 P89 P97 P98 P99 Q7 Q8 Q9 Q17 Q18 Q19 Q27 Q28 Q29 Q37 Q38 Q39 Q47 Q48 Q49 Q57 Q58 Q59 Q67 Q68 Q69 Q77 Q78 Q79 Q87 Q88 Q89 Q97 Q98 Q99" showDropDown="0" showInputMessage="0" showErrorMessage="0" allowBlank="1" type="list">
      <formula1>"A,B,C,D"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5"/>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4" customWidth="1" min="2" max="2"/>
    <col width="16" customWidth="1" min="3" max="3"/>
    <col width="20" customWidth="1" min="4" max="4"/>
    <col width="44" customWidth="1" min="5" max="5"/>
    <col width="26" customWidth="1" min="6" max="6"/>
    <col width="26" customWidth="1" min="7" max="7"/>
    <col width="26" customWidth="1" min="8" max="8"/>
    <col width="26" customWidth="1" min="9" max="9"/>
    <col width="9" customWidth="1" min="10" max="10"/>
    <col width="9" customWidth="1" min="11" max="11"/>
    <col width="9" customWidth="1" min="12" max="12"/>
    <col width="9" customWidth="1" min="13" max="13"/>
    <col width="9" customWidth="1" min="14" max="14"/>
    <col width="11" customWidth="1" min="15" max="15"/>
    <col width="9" customWidth="1" min="16" max="16"/>
    <col width="9" customWidth="1" min="17" max="17"/>
    <col width="11" customWidth="1" min="18" max="18"/>
    <col width="11" customWidth="1" min="19" max="19"/>
    <col width="9" customWidth="1" min="20" max="20"/>
    <col width="34" customWidth="1" min="21" max="21"/>
  </cols>
  <sheetData>
    <row r="1">
      <c r="A1" s="4" t="inlineStr">
        <is>
          <t>Set</t>
        </is>
      </c>
      <c r="B1" s="4" t="inlineStr">
        <is>
          <t>Q</t>
        </is>
      </c>
      <c r="C1" s="4" t="inlineStr">
        <is>
          <t>Domain</t>
        </is>
      </c>
      <c r="D1" s="4" t="inlineStr">
        <is>
          <t>Type</t>
        </is>
      </c>
      <c r="E1" s="4" t="inlineStr">
        <is>
          <t>Prompt / Situation</t>
        </is>
      </c>
      <c r="F1" s="4" t="inlineStr">
        <is>
          <t>Option A</t>
        </is>
      </c>
      <c r="G1" s="4" t="inlineStr">
        <is>
          <t>Option B</t>
        </is>
      </c>
      <c r="H1" s="4" t="inlineStr">
        <is>
          <t>Option C</t>
        </is>
      </c>
      <c r="I1" s="4" t="inlineStr">
        <is>
          <t>Option D</t>
        </is>
      </c>
      <c r="J1" s="4" t="inlineStr">
        <is>
          <t>Domain A</t>
        </is>
      </c>
      <c r="K1" s="4" t="inlineStr">
        <is>
          <t>Domain B</t>
        </is>
      </c>
      <c r="L1" s="4" t="inlineStr">
        <is>
          <t>Domain C</t>
        </is>
      </c>
      <c r="M1" s="4" t="inlineStr">
        <is>
          <t>Domain D</t>
        </is>
      </c>
      <c r="N1" s="4" t="inlineStr">
        <is>
          <t>Correct answer</t>
        </is>
      </c>
      <c r="O1" s="4" t="inlineStr">
        <is>
          <t>Your answer (scored items)</t>
        </is>
      </c>
      <c r="P1" s="4" t="inlineStr">
        <is>
          <t>Most (self-report)</t>
        </is>
      </c>
      <c r="Q1" s="4" t="inlineStr">
        <is>
          <t>Least (self-report)</t>
        </is>
      </c>
      <c r="R1" s="4" t="inlineStr">
        <is>
          <t>Most domain</t>
        </is>
      </c>
      <c r="S1" s="4" t="inlineStr">
        <is>
          <t>Least domain</t>
        </is>
      </c>
      <c r="T1" s="4" t="inlineStr">
        <is>
          <t>Correct? (0/1)</t>
        </is>
      </c>
      <c r="U1" s="4" t="inlineStr">
        <is>
          <t>Open response (creative — not auto-scored)</t>
        </is>
      </c>
    </row>
    <row r="2">
      <c r="A2" s="5" t="n">
        <v>1</v>
      </c>
      <c r="B2" s="5" t="n">
        <v>1</v>
      </c>
      <c r="C2" s="5" t="inlineStr">
        <is>
          <t>Problem Solving</t>
        </is>
      </c>
      <c r="D2" s="5" t="inlineStr">
        <is>
          <t>Scored</t>
        </is>
      </c>
      <c r="E2" s="6" t="inlineStr">
        <is>
          <t>Three students — Wei, Priya, Tariq — are seated for the debate in a row. Priya is not in the middle. Wei is not first. Priya is not last. Tariq is not last. Who is last?</t>
        </is>
      </c>
      <c r="F2" s="6" t="inlineStr">
        <is>
          <t>Wei</t>
        </is>
      </c>
      <c r="G2" s="6" t="inlineStr">
        <is>
          <t>Cannot be determined</t>
        </is>
      </c>
      <c r="H2" s="6" t="inlineStr">
        <is>
          <t>Priya</t>
        </is>
      </c>
      <c r="I2" s="6" t="inlineStr">
        <is>
          <t>Tariq</t>
        </is>
      </c>
      <c r="J2" s="5" t="n"/>
      <c r="K2" s="5" t="n"/>
      <c r="L2" s="5" t="n"/>
      <c r="M2" s="5" t="n"/>
      <c r="N2" s="5" t="inlineStr">
        <is>
          <t>A</t>
        </is>
      </c>
      <c r="O2" s="5" t="n"/>
      <c r="P2" s="5" t="n"/>
      <c r="Q2" s="5" t="n"/>
      <c r="R2" s="5" t="n"/>
      <c r="S2" s="5" t="n"/>
      <c r="T2" s="5">
        <f>IF(O2="","",IF(O2=N2,1,0))</f>
        <v/>
      </c>
      <c r="U2" s="6" t="n"/>
    </row>
    <row r="3">
      <c r="A3" s="5" t="n">
        <v>1</v>
      </c>
      <c r="B3" s="5" t="n">
        <v>2</v>
      </c>
      <c r="C3" s="5" t="inlineStr">
        <is>
          <t>Critical Thinking</t>
        </is>
      </c>
      <c r="D3" s="5" t="inlineStr">
        <is>
          <t>Scored</t>
        </is>
      </c>
      <c r="E3" s="6" t="inlineStr">
        <is>
          <t>An article notes that countries with more libraries have higher literacy, and claims libraries alone cause literacy. What's the actual flaw in this reasoning?</t>
        </is>
      </c>
      <c r="F3" s="6" t="inlineStr">
        <is>
          <t>It ignores other factors like income and school access that could explain both</t>
        </is>
      </c>
      <c r="G3" s="6" t="inlineStr">
        <is>
          <t>Countries with libraries have no schools</t>
        </is>
      </c>
      <c r="H3" s="6" t="inlineStr">
        <is>
          <t>Libraries are proven useless</t>
        </is>
      </c>
      <c r="I3" s="6" t="inlineStr">
        <is>
          <t>Literacy cannot be measured</t>
        </is>
      </c>
      <c r="J3" s="5" t="n"/>
      <c r="K3" s="5" t="n"/>
      <c r="L3" s="5" t="n"/>
      <c r="M3" s="5" t="n"/>
      <c r="N3" s="5" t="inlineStr">
        <is>
          <t>A</t>
        </is>
      </c>
      <c r="O3" s="5" t="n"/>
      <c r="P3" s="5" t="n"/>
      <c r="Q3" s="5" t="n"/>
      <c r="R3" s="5" t="n"/>
      <c r="S3" s="5" t="n"/>
      <c r="T3" s="5">
        <f>IF(O3="","",IF(O3=N3,1,0))</f>
        <v/>
      </c>
      <c r="U3" s="6" t="n"/>
    </row>
    <row r="4">
      <c r="A4" s="5" t="n">
        <v>1</v>
      </c>
      <c r="B4" s="5" t="n">
        <v>3</v>
      </c>
      <c r="C4" s="5" t="inlineStr">
        <is>
          <t>Decision Making</t>
        </is>
      </c>
      <c r="D4" s="5" t="inlineStr">
        <is>
          <t>Scored</t>
        </is>
      </c>
      <c r="E4" s="6" t="inlineStr">
        <is>
          <t>You only have time for ONE of these right now. Which gives the best value for the effort it takes?</t>
        </is>
      </c>
      <c r="F4" s="6" t="inlineStr">
        <is>
          <t>submit your college application form (effort 3, value 6)</t>
        </is>
      </c>
      <c r="G4" s="6" t="inlineStr">
        <is>
          <t>register for the entrance exam (effort 6, value 19)</t>
        </is>
      </c>
      <c r="H4" s="6" t="inlineStr">
        <is>
          <t>prepare your board exam project (effort 8, value 8)</t>
        </is>
      </c>
      <c r="I4" s="6" t="inlineStr">
        <is>
          <t>They are all equally good choices</t>
        </is>
      </c>
      <c r="J4" s="5" t="n"/>
      <c r="K4" s="5" t="n"/>
      <c r="L4" s="5" t="n"/>
      <c r="M4" s="5" t="n"/>
      <c r="N4" s="5" t="inlineStr">
        <is>
          <t>B</t>
        </is>
      </c>
      <c r="O4" s="5" t="n"/>
      <c r="P4" s="5" t="n"/>
      <c r="Q4" s="5" t="n"/>
      <c r="R4" s="5" t="n"/>
      <c r="S4" s="5" t="n"/>
      <c r="T4" s="5">
        <f>IF(O4="","",IF(O4=N4,1,0))</f>
        <v/>
      </c>
      <c r="U4" s="6" t="n"/>
    </row>
    <row r="5">
      <c r="A5" s="5" t="n">
        <v>1</v>
      </c>
      <c r="B5" s="5" t="n">
        <v>4</v>
      </c>
      <c r="C5" s="5" t="inlineStr">
        <is>
          <t>Mental Math</t>
        </is>
      </c>
      <c r="D5" s="5" t="inlineStr">
        <is>
          <t>Scored</t>
        </is>
      </c>
      <c r="E5" s="6" t="inlineStr">
        <is>
          <t>I'm thinking of a number. If you double it, then add 24, then subtract 28, you get 8. What's my number?</t>
        </is>
      </c>
      <c r="F5" s="6" t="inlineStr">
        <is>
          <t>7</t>
        </is>
      </c>
      <c r="G5" s="6" t="inlineStr">
        <is>
          <t>8</t>
        </is>
      </c>
      <c r="H5" s="6" t="inlineStr">
        <is>
          <t>6</t>
        </is>
      </c>
      <c r="I5" s="6" t="inlineStr">
        <is>
          <t>5</t>
        </is>
      </c>
      <c r="J5" s="5" t="n"/>
      <c r="K5" s="5" t="n"/>
      <c r="L5" s="5" t="n"/>
      <c r="M5" s="5" t="n"/>
      <c r="N5" s="5" t="inlineStr">
        <is>
          <t>C</t>
        </is>
      </c>
      <c r="O5" s="5" t="n"/>
      <c r="P5" s="5" t="n"/>
      <c r="Q5" s="5" t="n"/>
      <c r="R5" s="5" t="n"/>
      <c r="S5" s="5" t="n"/>
      <c r="T5" s="5">
        <f>IF(O5="","",IF(O5=N5,1,0))</f>
        <v/>
      </c>
      <c r="U5" s="6" t="n"/>
    </row>
    <row r="6">
      <c r="A6" s="5" t="n">
        <v>1</v>
      </c>
      <c r="B6" s="5" t="n">
        <v>5</v>
      </c>
      <c r="C6" s="5" t="inlineStr">
        <is>
          <t>Cognitive Academia</t>
        </is>
      </c>
      <c r="D6" s="5" t="inlineStr">
        <is>
          <t>Scored</t>
        </is>
      </c>
      <c r="E6" s="6" t="inlineStr">
        <is>
          <t>What comes next in this pattern: 3, 7, 14, 18, 36, ?</t>
        </is>
      </c>
      <c r="F6" s="6" t="inlineStr">
        <is>
          <t>32</t>
        </is>
      </c>
      <c r="G6" s="6" t="inlineStr">
        <is>
          <t>38</t>
        </is>
      </c>
      <c r="H6" s="6" t="inlineStr">
        <is>
          <t>40</t>
        </is>
      </c>
      <c r="I6" s="6" t="inlineStr">
        <is>
          <t>43</t>
        </is>
      </c>
      <c r="J6" s="5" t="n"/>
      <c r="K6" s="5" t="n"/>
      <c r="L6" s="5" t="n"/>
      <c r="M6" s="5" t="n"/>
      <c r="N6" s="5" t="inlineStr">
        <is>
          <t>C</t>
        </is>
      </c>
      <c r="O6" s="5" t="n"/>
      <c r="P6" s="5" t="n"/>
      <c r="Q6" s="5" t="n"/>
      <c r="R6" s="5" t="n"/>
      <c r="S6" s="5" t="n"/>
      <c r="T6" s="5">
        <f>IF(O6="","",IF(O6=N6,1,0))</f>
        <v/>
      </c>
      <c r="U6" s="6" t="n"/>
    </row>
    <row r="7">
      <c r="A7" s="5" t="n">
        <v>1</v>
      </c>
      <c r="B7" s="5" t="n">
        <v>6</v>
      </c>
      <c r="C7" s="5" t="inlineStr">
        <is>
          <t>Leadership / Communication / Emotional &amp; Social</t>
        </is>
      </c>
      <c r="D7" s="5" t="inlineStr">
        <is>
          <t>Self-report (most/least)</t>
        </is>
      </c>
      <c r="E7" s="6" t="inlineStr">
        <is>
          <t>Your debate partner freezes mid-argument in the final round, and it's your turn to jump in.</t>
        </is>
      </c>
      <c r="F7" s="6" t="inlineStr">
        <is>
          <t>None of these feel like you in this moment</t>
        </is>
      </c>
      <c r="G7" s="6" t="inlineStr">
        <is>
          <t>You enjoy being chosen to head a club or committee</t>
        </is>
      </c>
      <c r="H7" s="6" t="inlineStr">
        <is>
          <t>You make sure your argument comes across persuasively</t>
        </is>
      </c>
      <c r="I7" s="6" t="inlineStr">
        <is>
          <t>You can sense how someone feels without them saying it</t>
        </is>
      </c>
      <c r="J7" s="5" t="inlineStr"/>
      <c r="K7" s="5" t="inlineStr">
        <is>
          <t>LD</t>
        </is>
      </c>
      <c r="L7" s="5" t="inlineStr">
        <is>
          <t>CM</t>
        </is>
      </c>
      <c r="M7" s="5" t="inlineStr">
        <is>
          <t>ES</t>
        </is>
      </c>
      <c r="N7" s="5" t="n"/>
      <c r="O7" s="5" t="n"/>
      <c r="P7" s="5" t="n"/>
      <c r="Q7" s="5" t="n"/>
      <c r="R7" s="5">
        <f>IFERROR(INDEX(J7:M7,MATCH(P7,{"A","B","C","D"},0)),"")</f>
        <v/>
      </c>
      <c r="S7" s="5">
        <f>IFERROR(INDEX(J7:M7,MATCH(Q7,{"A","B","C","D"},0)),"")</f>
        <v/>
      </c>
      <c r="T7" s="5" t="n"/>
      <c r="U7" s="6" t="n"/>
    </row>
    <row r="8">
      <c r="A8" s="5" t="n">
        <v>1</v>
      </c>
      <c r="B8" s="5" t="n">
        <v>7</v>
      </c>
      <c r="C8" s="5" t="inlineStr">
        <is>
          <t>Leadership / Communication / Emotional &amp; Social</t>
        </is>
      </c>
      <c r="D8" s="5" t="inlineStr">
        <is>
          <t>Self-report (most/least)</t>
        </is>
      </c>
      <c r="E8" s="6" t="inlineStr">
        <is>
          <t>You discover a factual error in your group's board exam project the night before submission.</t>
        </is>
      </c>
      <c r="F8" s="6" t="inlineStr">
        <is>
          <t>You're comfortable meeting people outside your usual circle</t>
        </is>
      </c>
      <c r="G8" s="6" t="inlineStr">
        <is>
          <t>You find the right words to explain something nuanced</t>
        </is>
      </c>
      <c r="H8" s="6" t="inlineStr">
        <is>
          <t>You like setting clear goals for a team</t>
        </is>
      </c>
      <c r="I8" s="6" t="inlineStr">
        <is>
          <t>You'd need more time before reacting at all</t>
        </is>
      </c>
      <c r="J8" s="5" t="inlineStr">
        <is>
          <t>ES</t>
        </is>
      </c>
      <c r="K8" s="5" t="inlineStr">
        <is>
          <t>CM</t>
        </is>
      </c>
      <c r="L8" s="5" t="inlineStr">
        <is>
          <t>LD</t>
        </is>
      </c>
      <c r="M8" s="5" t="inlineStr"/>
      <c r="N8" s="5" t="n"/>
      <c r="O8" s="5" t="n"/>
      <c r="P8" s="5" t="n"/>
      <c r="Q8" s="5" t="n"/>
      <c r="R8" s="5">
        <f>IFERROR(INDEX(J8:M8,MATCH(P8,{"A","B","C","D"},0)),"")</f>
        <v/>
      </c>
      <c r="S8" s="5">
        <f>IFERROR(INDEX(J8:M8,MATCH(Q8,{"A","B","C","D"},0)),"")</f>
        <v/>
      </c>
      <c r="T8" s="5" t="n"/>
      <c r="U8" s="6" t="n"/>
    </row>
    <row r="9">
      <c r="A9" s="5" t="n">
        <v>1</v>
      </c>
      <c r="B9" s="5" t="n">
        <v>8</v>
      </c>
      <c r="C9" s="5" t="inlineStr">
        <is>
          <t>Leadership / Communication / Emotional &amp; Social</t>
        </is>
      </c>
      <c r="D9" s="5" t="inlineStr">
        <is>
          <t>Self-report (most/least)</t>
        </is>
      </c>
      <c r="E9" s="6" t="inlineStr">
        <is>
          <t>A junior student asks you for help right when you're buried in your own exam prep.</t>
        </is>
      </c>
      <c r="F9" s="6" t="inlineStr">
        <is>
          <t>You enjoy leading during group projects or events</t>
        </is>
      </c>
      <c r="G9" s="6" t="inlineStr">
        <is>
          <t>You'd rather wait and see what others do first</t>
        </is>
      </c>
      <c r="H9" s="6" t="inlineStr">
        <is>
          <t>You stay patient even under pressure</t>
        </is>
      </c>
      <c r="I9" s="6" t="inlineStr">
        <is>
          <t>You check that your audience understood your point</t>
        </is>
      </c>
      <c r="J9" s="5" t="inlineStr">
        <is>
          <t>LD</t>
        </is>
      </c>
      <c r="K9" s="5" t="inlineStr"/>
      <c r="L9" s="5" t="inlineStr">
        <is>
          <t>ES</t>
        </is>
      </c>
      <c r="M9" s="5" t="inlineStr">
        <is>
          <t>CM</t>
        </is>
      </c>
      <c r="N9" s="5" t="n"/>
      <c r="O9" s="5" t="n"/>
      <c r="P9" s="5" t="n"/>
      <c r="Q9" s="5" t="n"/>
      <c r="R9" s="5">
        <f>IFERROR(INDEX(J9:M9,MATCH(P9,{"A","B","C","D"},0)),"")</f>
        <v/>
      </c>
      <c r="S9" s="5">
        <f>IFERROR(INDEX(J9:M9,MATCH(Q9,{"A","B","C","D"},0)),"")</f>
        <v/>
      </c>
      <c r="T9" s="5" t="n"/>
      <c r="U9" s="6" t="n"/>
    </row>
    <row r="10">
      <c r="A10" s="5" t="n">
        <v>1</v>
      </c>
      <c r="B10" s="5" t="n">
        <v>9</v>
      </c>
      <c r="C10" s="5" t="inlineStr">
        <is>
          <t>Creative Skills</t>
        </is>
      </c>
      <c r="D10" s="5" t="inlineStr">
        <is>
          <t>Open-ended (not auto-scored)</t>
        </is>
      </c>
      <c r="E10" s="6" t="inlineStr">
        <is>
          <t>Propose one unusual but workable idea to make your school library more useful for students. Describe it briefly.</t>
        </is>
      </c>
      <c r="F10" s="6" t="n"/>
      <c r="G10" s="6" t="n"/>
      <c r="H10" s="6" t="n"/>
      <c r="I10" s="6" t="n"/>
      <c r="J10" s="5" t="n"/>
      <c r="K10" s="5" t="n"/>
      <c r="L10" s="5" t="n"/>
      <c r="M10" s="5" t="n"/>
      <c r="N10" s="5" t="n"/>
      <c r="O10" s="5" t="n"/>
      <c r="P10" s="5" t="n"/>
      <c r="Q10" s="5" t="n"/>
      <c r="R10" s="5" t="n"/>
      <c r="S10" s="5" t="n"/>
      <c r="T10" s="5" t="n"/>
      <c r="U10" s="6" t="n"/>
    </row>
    <row r="11">
      <c r="A11" s="5" t="n">
        <v>1</v>
      </c>
      <c r="B11" s="5" t="n">
        <v>10</v>
      </c>
      <c r="C11" s="5" t="inlineStr">
        <is>
          <t>Listening Skills</t>
        </is>
      </c>
      <c r="D11" s="5" t="inlineStr">
        <is>
          <t>Scored</t>
        </is>
      </c>
      <c r="E11" s="6" t="inlineStr">
        <is>
          <t>[Read once, then answer without re-reading] “Before the Model UN session, the delegate researched the country's position, drafted an opening statement, and then joined the committee floor.”  ||  What happened right after the first thing mentioned?</t>
        </is>
      </c>
      <c r="F11" s="6" t="inlineStr">
        <is>
          <t>researched the country's position</t>
        </is>
      </c>
      <c r="G11" s="6" t="inlineStr">
        <is>
          <t>joined the committee floor</t>
        </is>
      </c>
      <c r="H11" s="6" t="inlineStr">
        <is>
          <t>drafted an opening statement</t>
        </is>
      </c>
      <c r="I11" s="6" t="inlineStr">
        <is>
          <t>counted the votes</t>
        </is>
      </c>
      <c r="J11" s="5" t="n"/>
      <c r="K11" s="5" t="n"/>
      <c r="L11" s="5" t="n"/>
      <c r="M11" s="5" t="n"/>
      <c r="N11" s="5" t="inlineStr">
        <is>
          <t>C</t>
        </is>
      </c>
      <c r="O11" s="5" t="n"/>
      <c r="P11" s="5" t="n"/>
      <c r="Q11" s="5" t="n"/>
      <c r="R11" s="5" t="n"/>
      <c r="S11" s="5" t="n"/>
      <c r="T11" s="5">
        <f>IF(O11="","",IF(O11=N11,1,0))</f>
        <v/>
      </c>
      <c r="U11" s="6" t="n"/>
    </row>
    <row r="12">
      <c r="A12" s="7" t="n">
        <v>2</v>
      </c>
      <c r="B12" s="7" t="n">
        <v>1</v>
      </c>
      <c r="C12" s="7" t="inlineStr">
        <is>
          <t>Problem Solving</t>
        </is>
      </c>
      <c r="D12" s="7" t="inlineStr">
        <is>
          <t>Scored</t>
        </is>
      </c>
      <c r="E12" s="8" t="inlineStr">
        <is>
          <t>Three students — Rhea, Leo, Omar — are seated for the debate in a row. Omar is not in the middle. Leo is not first. Omar is not last. Rhea is not last. Who is first?</t>
        </is>
      </c>
      <c r="F12" s="8" t="inlineStr">
        <is>
          <t>Leo</t>
        </is>
      </c>
      <c r="G12" s="8" t="inlineStr">
        <is>
          <t>Cannot be determined</t>
        </is>
      </c>
      <c r="H12" s="8" t="inlineStr">
        <is>
          <t>Rhea</t>
        </is>
      </c>
      <c r="I12" s="8" t="inlineStr">
        <is>
          <t>Omar</t>
        </is>
      </c>
      <c r="J12" s="7" t="n"/>
      <c r="K12" s="7" t="n"/>
      <c r="L12" s="7" t="n"/>
      <c r="M12" s="7" t="n"/>
      <c r="N12" s="7" t="inlineStr">
        <is>
          <t>D</t>
        </is>
      </c>
      <c r="O12" s="7" t="n"/>
      <c r="P12" s="7" t="n"/>
      <c r="Q12" s="7" t="n"/>
      <c r="R12" s="7" t="n"/>
      <c r="S12" s="7" t="n"/>
      <c r="T12" s="7">
        <f>IF(O12="","",IF(O12=N12,1,0))</f>
        <v/>
      </c>
      <c r="U12" s="8" t="n"/>
    </row>
    <row r="13">
      <c r="A13" s="7" t="n">
        <v>2</v>
      </c>
      <c r="B13" s="7" t="n">
        <v>2</v>
      </c>
      <c r="C13" s="7" t="inlineStr">
        <is>
          <t>Critical Thinking</t>
        </is>
      </c>
      <c r="D13" s="7" t="inlineStr">
        <is>
          <t>Scored</t>
        </is>
      </c>
      <c r="E13" s="8" t="inlineStr">
        <is>
          <t>After two failed startups from one city both used a certain business model, a blogger declares the model 'always fails.' What's the actual flaw in this reasoning?</t>
        </is>
      </c>
      <c r="F13" s="8" t="inlineStr">
        <is>
          <t>Startups never fail</t>
        </is>
      </c>
      <c r="G13" s="8" t="inlineStr">
        <is>
          <t>Business models don't affect outcomes</t>
        </is>
      </c>
      <c r="H13" s="8" t="inlineStr">
        <is>
          <t>The claim is based on too small a sample to generalize confidently</t>
        </is>
      </c>
      <c r="I13" s="8" t="inlineStr">
        <is>
          <t>The model has succeeded everywhere else too</t>
        </is>
      </c>
      <c r="J13" s="7" t="n"/>
      <c r="K13" s="7" t="n"/>
      <c r="L13" s="7" t="n"/>
      <c r="M13" s="7" t="n"/>
      <c r="N13" s="7" t="inlineStr">
        <is>
          <t>C</t>
        </is>
      </c>
      <c r="O13" s="7" t="n"/>
      <c r="P13" s="7" t="n"/>
      <c r="Q13" s="7" t="n"/>
      <c r="R13" s="7" t="n"/>
      <c r="S13" s="7" t="n"/>
      <c r="T13" s="7">
        <f>IF(O13="","",IF(O13=N13,1,0))</f>
        <v/>
      </c>
      <c r="U13" s="8" t="n"/>
    </row>
    <row r="14">
      <c r="A14" s="7" t="n">
        <v>2</v>
      </c>
      <c r="B14" s="7" t="n">
        <v>3</v>
      </c>
      <c r="C14" s="7" t="inlineStr">
        <is>
          <t>Decision Making</t>
        </is>
      </c>
      <c r="D14" s="7" t="inlineStr">
        <is>
          <t>Scored</t>
        </is>
      </c>
      <c r="E14" s="8" t="inlineStr">
        <is>
          <t>You have 44 minutes. submit your college application form takes 19 minutes, register for the entrance exam takes 25 minutes, and prepare your board exam project takes 32 minutes. You must skip exactly one of them to fit the other two into your 44 minutes. Which should you skip?</t>
        </is>
      </c>
      <c r="F14" s="8" t="inlineStr">
        <is>
          <t>prepare your board exam project</t>
        </is>
      </c>
      <c r="G14" s="8" t="inlineStr">
        <is>
          <t>register for the entrance exam</t>
        </is>
      </c>
      <c r="H14" s="8" t="inlineStr">
        <is>
          <t>It's impossible to fit any two</t>
        </is>
      </c>
      <c r="I14" s="8" t="inlineStr">
        <is>
          <t>submit your college application form</t>
        </is>
      </c>
      <c r="J14" s="7" t="n"/>
      <c r="K14" s="7" t="n"/>
      <c r="L14" s="7" t="n"/>
      <c r="M14" s="7" t="n"/>
      <c r="N14" s="7" t="inlineStr">
        <is>
          <t>A</t>
        </is>
      </c>
      <c r="O14" s="7" t="n"/>
      <c r="P14" s="7" t="n"/>
      <c r="Q14" s="7" t="n"/>
      <c r="R14" s="7" t="n"/>
      <c r="S14" s="7" t="n"/>
      <c r="T14" s="7">
        <f>IF(O14="","",IF(O14=N14,1,0))</f>
        <v/>
      </c>
      <c r="U14" s="8" t="n"/>
    </row>
    <row r="15">
      <c r="A15" s="7" t="n">
        <v>2</v>
      </c>
      <c r="B15" s="7" t="n">
        <v>4</v>
      </c>
      <c r="C15" s="7" t="inlineStr">
        <is>
          <t>Mental Math</t>
        </is>
      </c>
      <c r="D15" s="7" t="inlineStr">
        <is>
          <t>Scored</t>
        </is>
      </c>
      <c r="E15" s="8" t="inlineStr">
        <is>
          <t>After spending 14 and later receiving 8 as a gift, Ravi has 31. How much did Ravi start with?</t>
        </is>
      </c>
      <c r="F15" s="8" t="inlineStr">
        <is>
          <t>37</t>
        </is>
      </c>
      <c r="G15" s="8" t="inlineStr">
        <is>
          <t>31</t>
        </is>
      </c>
      <c r="H15" s="8" t="inlineStr">
        <is>
          <t>29</t>
        </is>
      </c>
      <c r="I15" s="8" t="inlineStr">
        <is>
          <t>51</t>
        </is>
      </c>
      <c r="J15" s="7" t="n"/>
      <c r="K15" s="7" t="n"/>
      <c r="L15" s="7" t="n"/>
      <c r="M15" s="7" t="n"/>
      <c r="N15" s="7" t="inlineStr">
        <is>
          <t>A</t>
        </is>
      </c>
      <c r="O15" s="7" t="n"/>
      <c r="P15" s="7" t="n"/>
      <c r="Q15" s="7" t="n"/>
      <c r="R15" s="7" t="n"/>
      <c r="S15" s="7" t="n"/>
      <c r="T15" s="7">
        <f>IF(O15="","",IF(O15=N15,1,0))</f>
        <v/>
      </c>
      <c r="U15" s="8" t="n"/>
    </row>
    <row r="16">
      <c r="A16" s="7" t="n">
        <v>2</v>
      </c>
      <c r="B16" s="7" t="n">
        <v>5</v>
      </c>
      <c r="C16" s="7" t="inlineStr">
        <is>
          <t>Cognitive Academia</t>
        </is>
      </c>
      <c r="D16" s="7" t="inlineStr">
        <is>
          <t>Scored</t>
        </is>
      </c>
      <c r="E16" s="8" t="inlineStr">
        <is>
          <t>What comes next in this pattern: 2, 6, 18, 54, ?</t>
        </is>
      </c>
      <c r="F16" s="8" t="inlineStr">
        <is>
          <t>57</t>
        </is>
      </c>
      <c r="G16" s="8" t="inlineStr">
        <is>
          <t>165</t>
        </is>
      </c>
      <c r="H16" s="8" t="inlineStr">
        <is>
          <t>90</t>
        </is>
      </c>
      <c r="I16" s="8" t="inlineStr">
        <is>
          <t>162</t>
        </is>
      </c>
      <c r="J16" s="7" t="n"/>
      <c r="K16" s="7" t="n"/>
      <c r="L16" s="7" t="n"/>
      <c r="M16" s="7" t="n"/>
      <c r="N16" s="7" t="inlineStr">
        <is>
          <t>D</t>
        </is>
      </c>
      <c r="O16" s="7" t="n"/>
      <c r="P16" s="7" t="n"/>
      <c r="Q16" s="7" t="n"/>
      <c r="R16" s="7" t="n"/>
      <c r="S16" s="7" t="n"/>
      <c r="T16" s="7">
        <f>IF(O16="","",IF(O16=N16,1,0))</f>
        <v/>
      </c>
      <c r="U16" s="8" t="n"/>
    </row>
    <row r="17">
      <c r="A17" s="7" t="n">
        <v>2</v>
      </c>
      <c r="B17" s="7" t="n">
        <v>6</v>
      </c>
      <c r="C17" s="7" t="inlineStr">
        <is>
          <t>Leadership / Communication / Emotional &amp; Social</t>
        </is>
      </c>
      <c r="D17" s="7" t="inlineStr">
        <is>
          <t>Self-report (most/least)</t>
        </is>
      </c>
      <c r="E17" s="8" t="inlineStr">
        <is>
          <t>Your MUN committee is deadlocked and the session is about to run out of time.</t>
        </is>
      </c>
      <c r="F17" s="8" t="inlineStr">
        <is>
          <t>You explain your reasoning clearly so others follow it</t>
        </is>
      </c>
      <c r="G17" s="8" t="inlineStr">
        <is>
          <t>You naturally take charge when a team lacks direction</t>
        </is>
      </c>
      <c r="H17" s="8" t="inlineStr">
        <is>
          <t>You'd need more time before reacting at all</t>
        </is>
      </c>
      <c r="I17" s="8" t="inlineStr">
        <is>
          <t>You notice when a friend is under pressure</t>
        </is>
      </c>
      <c r="J17" s="7" t="inlineStr">
        <is>
          <t>CM</t>
        </is>
      </c>
      <c r="K17" s="7" t="inlineStr">
        <is>
          <t>LD</t>
        </is>
      </c>
      <c r="L17" s="7" t="inlineStr"/>
      <c r="M17" s="7" t="inlineStr">
        <is>
          <t>ES</t>
        </is>
      </c>
      <c r="N17" s="7" t="n"/>
      <c r="O17" s="7" t="n"/>
      <c r="P17" s="7" t="n"/>
      <c r="Q17" s="7" t="n"/>
      <c r="R17" s="7">
        <f>IFERROR(INDEX(J17:M17,MATCH(P17,{"A","B","C","D"},0)),"")</f>
        <v/>
      </c>
      <c r="S17" s="7">
        <f>IFERROR(INDEX(J17:M17,MATCH(Q17,{"A","B","C","D"},0)),"")</f>
        <v/>
      </c>
      <c r="T17" s="7" t="n"/>
      <c r="U17" s="8" t="n"/>
    </row>
    <row r="18">
      <c r="A18" s="7" t="n">
        <v>2</v>
      </c>
      <c r="B18" s="7" t="n">
        <v>7</v>
      </c>
      <c r="C18" s="7" t="inlineStr">
        <is>
          <t>Leadership / Communication / Emotional &amp; Social</t>
        </is>
      </c>
      <c r="D18" s="7" t="inlineStr">
        <is>
          <t>Self-report (most/least)</t>
        </is>
      </c>
      <c r="E18" s="8" t="inlineStr">
        <is>
          <t>You realize your college application essay draft doesn't actually say anything meaningful about you.</t>
        </is>
      </c>
      <c r="F18" s="8" t="inlineStr">
        <is>
          <t>You step up to lead when no one else volunteers</t>
        </is>
      </c>
      <c r="G18" s="8" t="inlineStr">
        <is>
          <t>You enjoy writing essays or giving structured presentations</t>
        </is>
      </c>
      <c r="H18" s="8" t="inlineStr">
        <is>
          <t>You're good at helping a stressed friend feel better</t>
        </is>
      </c>
      <c r="I18" s="8" t="inlineStr">
        <is>
          <t>You'd rather wait and see what others do first</t>
        </is>
      </c>
      <c r="J18" s="7" t="inlineStr">
        <is>
          <t>LD</t>
        </is>
      </c>
      <c r="K18" s="7" t="inlineStr">
        <is>
          <t>CM</t>
        </is>
      </c>
      <c r="L18" s="7" t="inlineStr">
        <is>
          <t>ES</t>
        </is>
      </c>
      <c r="M18" s="7" t="inlineStr"/>
      <c r="N18" s="7" t="n"/>
      <c r="O18" s="7" t="n"/>
      <c r="P18" s="7" t="n"/>
      <c r="Q18" s="7" t="n"/>
      <c r="R18" s="7">
        <f>IFERROR(INDEX(J18:M18,MATCH(P18,{"A","B","C","D"},0)),"")</f>
        <v/>
      </c>
      <c r="S18" s="7">
        <f>IFERROR(INDEX(J18:M18,MATCH(Q18,{"A","B","C","D"},0)),"")</f>
        <v/>
      </c>
      <c r="T18" s="7" t="n"/>
      <c r="U18" s="8" t="n"/>
    </row>
    <row r="19">
      <c r="A19" s="7" t="n">
        <v>2</v>
      </c>
      <c r="B19" s="7" t="n">
        <v>8</v>
      </c>
      <c r="C19" s="7" t="inlineStr">
        <is>
          <t>Leadership / Communication / Emotional &amp; Social</t>
        </is>
      </c>
      <c r="D19" s="7" t="inlineStr">
        <is>
          <t>Self-report (most/least)</t>
        </is>
      </c>
      <c r="E19" s="8" t="inlineStr">
        <is>
          <t>A close friend is spiralling about their exam results and texting you at 1am.</t>
        </is>
      </c>
      <c r="F19" s="8" t="inlineStr">
        <is>
          <t>You'd step back and observe before choosing any of these</t>
        </is>
      </c>
      <c r="G19" s="8" t="inlineStr">
        <is>
          <t>You take ownership when something goes wrong</t>
        </is>
      </c>
      <c r="H19" s="8" t="inlineStr">
        <is>
          <t>You handle disagreements without letting them escalate</t>
        </is>
      </c>
      <c r="I19" s="8" t="inlineStr">
        <is>
          <t>You like presenting your ideas confidently to a group</t>
        </is>
      </c>
      <c r="J19" s="7" t="inlineStr"/>
      <c r="K19" s="7" t="inlineStr">
        <is>
          <t>LD</t>
        </is>
      </c>
      <c r="L19" s="7" t="inlineStr">
        <is>
          <t>ES</t>
        </is>
      </c>
      <c r="M19" s="7" t="inlineStr">
        <is>
          <t>CM</t>
        </is>
      </c>
      <c r="N19" s="7" t="n"/>
      <c r="O19" s="7" t="n"/>
      <c r="P19" s="7" t="n"/>
      <c r="Q19" s="7" t="n"/>
      <c r="R19" s="7">
        <f>IFERROR(INDEX(J19:M19,MATCH(P19,{"A","B","C","D"},0)),"")</f>
        <v/>
      </c>
      <c r="S19" s="7">
        <f>IFERROR(INDEX(J19:M19,MATCH(Q19,{"A","B","C","D"},0)),"")</f>
        <v/>
      </c>
      <c r="T19" s="7" t="n"/>
      <c r="U19" s="8" t="n"/>
    </row>
    <row r="20">
      <c r="A20" s="7" t="n">
        <v>2</v>
      </c>
      <c r="B20" s="7" t="n">
        <v>9</v>
      </c>
      <c r="C20" s="7" t="inlineStr">
        <is>
          <t>Creative Skills</t>
        </is>
      </c>
      <c r="D20" s="7" t="inlineStr">
        <is>
          <t>Open-ended (not auto-scored)</t>
        </is>
      </c>
      <c r="E20" s="8" t="inlineStr">
        <is>
          <t>Design a college application essay prompt that would actually reveal something interesting about a student.</t>
        </is>
      </c>
      <c r="F20" s="8" t="n"/>
      <c r="G20" s="8" t="n"/>
      <c r="H20" s="8" t="n"/>
      <c r="I20" s="8" t="n"/>
      <c r="J20" s="7" t="n"/>
      <c r="K20" s="7" t="n"/>
      <c r="L20" s="7" t="n"/>
      <c r="M20" s="7" t="n"/>
      <c r="N20" s="7" t="n"/>
      <c r="O20" s="7" t="n"/>
      <c r="P20" s="7" t="n"/>
      <c r="Q20" s="7" t="n"/>
      <c r="R20" s="7" t="n"/>
      <c r="S20" s="7" t="n"/>
      <c r="T20" s="7" t="n"/>
      <c r="U20" s="8" t="n"/>
    </row>
    <row r="21">
      <c r="A21" s="7" t="n">
        <v>2</v>
      </c>
      <c r="B21" s="7" t="n">
        <v>10</v>
      </c>
      <c r="C21" s="7" t="inlineStr">
        <is>
          <t>Listening Skills</t>
        </is>
      </c>
      <c r="D21" s="7" t="inlineStr">
        <is>
          <t>Scored</t>
        </is>
      </c>
      <c r="E21" s="8" t="inlineStr">
        <is>
          <t>[Read once, then answer without re-reading] “Ahead of the college counselling session, Ishan shortlisted three colleges, drafted his essay, and finally booked a mock interview.”  ||  What happened last?</t>
        </is>
      </c>
      <c r="F21" s="8" t="inlineStr">
        <is>
          <t>paid an application fee</t>
        </is>
      </c>
      <c r="G21" s="8" t="inlineStr">
        <is>
          <t>shortlisted three colleges</t>
        </is>
      </c>
      <c r="H21" s="8" t="inlineStr">
        <is>
          <t>drafted his essay</t>
        </is>
      </c>
      <c r="I21" s="8" t="inlineStr">
        <is>
          <t>booked a mock interview</t>
        </is>
      </c>
      <c r="J21" s="7" t="n"/>
      <c r="K21" s="7" t="n"/>
      <c r="L21" s="7" t="n"/>
      <c r="M21" s="7" t="n"/>
      <c r="N21" s="7" t="inlineStr">
        <is>
          <t>D</t>
        </is>
      </c>
      <c r="O21" s="7" t="n"/>
      <c r="P21" s="7" t="n"/>
      <c r="Q21" s="7" t="n"/>
      <c r="R21" s="7" t="n"/>
      <c r="S21" s="7" t="n"/>
      <c r="T21" s="7">
        <f>IF(O21="","",IF(O21=N21,1,0))</f>
        <v/>
      </c>
      <c r="U21" s="8" t="n"/>
    </row>
    <row r="22">
      <c r="A22" s="5" t="n">
        <v>3</v>
      </c>
      <c r="B22" s="5" t="n">
        <v>1</v>
      </c>
      <c r="C22" s="5" t="inlineStr">
        <is>
          <t>Problem Solving</t>
        </is>
      </c>
      <c r="D22" s="5" t="inlineStr">
        <is>
          <t>Scored</t>
        </is>
      </c>
      <c r="E22" s="6" t="inlineStr">
        <is>
          <t>Three students — Ishaan, Tariq, Rhea — are seated for the debate in a row. Ishaan is not first. Ishaan is not last. Tariq is not last. Who is first?</t>
        </is>
      </c>
      <c r="F22" s="6" t="inlineStr">
        <is>
          <t>Ishaan</t>
        </is>
      </c>
      <c r="G22" s="6" t="inlineStr">
        <is>
          <t>Tariq</t>
        </is>
      </c>
      <c r="H22" s="6" t="inlineStr">
        <is>
          <t>Rhea</t>
        </is>
      </c>
      <c r="I22" s="6" t="inlineStr">
        <is>
          <t>Cannot be determined</t>
        </is>
      </c>
      <c r="J22" s="5" t="n"/>
      <c r="K22" s="5" t="n"/>
      <c r="L22" s="5" t="n"/>
      <c r="M22" s="5" t="n"/>
      <c r="N22" s="5" t="inlineStr">
        <is>
          <t>B</t>
        </is>
      </c>
      <c r="O22" s="5" t="n"/>
      <c r="P22" s="5" t="n"/>
      <c r="Q22" s="5" t="n"/>
      <c r="R22" s="5" t="n"/>
      <c r="S22" s="5" t="n"/>
      <c r="T22" s="5">
        <f>IF(O22="","",IF(O22=N22,1,0))</f>
        <v/>
      </c>
      <c r="U22" s="6" t="n"/>
    </row>
    <row r="23">
      <c r="A23" s="5" t="n">
        <v>3</v>
      </c>
      <c r="B23" s="5" t="n">
        <v>2</v>
      </c>
      <c r="C23" s="5" t="inlineStr">
        <is>
          <t>Critical Thinking</t>
        </is>
      </c>
      <c r="D23" s="5" t="inlineStr">
        <is>
          <t>Scored</t>
        </is>
      </c>
      <c r="E23" s="6" t="inlineStr">
        <is>
          <t>A politician says: 'We either cut this program completely, or the whole budget collapses.' What's the actual flaw in this reasoning?</t>
        </is>
      </c>
      <c r="F23" s="6" t="inlineStr">
        <is>
          <t>The program is already cancelled</t>
        </is>
      </c>
      <c r="G23" s="6" t="inlineStr">
        <is>
          <t>Budgets cannot be adjusted gradually</t>
        </is>
      </c>
      <c r="H23" s="6" t="inlineStr">
        <is>
          <t>The program has zero cost</t>
        </is>
      </c>
      <c r="I23" s="6" t="inlineStr">
        <is>
          <t>The statement ignores realistic middle-ground options like partial cuts</t>
        </is>
      </c>
      <c r="J23" s="5" t="n"/>
      <c r="K23" s="5" t="n"/>
      <c r="L23" s="5" t="n"/>
      <c r="M23" s="5" t="n"/>
      <c r="N23" s="5" t="inlineStr">
        <is>
          <t>D</t>
        </is>
      </c>
      <c r="O23" s="5" t="n"/>
      <c r="P23" s="5" t="n"/>
      <c r="Q23" s="5" t="n"/>
      <c r="R23" s="5" t="n"/>
      <c r="S23" s="5" t="n"/>
      <c r="T23" s="5">
        <f>IF(O23="","",IF(O23=N23,1,0))</f>
        <v/>
      </c>
      <c r="U23" s="6" t="n"/>
    </row>
    <row r="24">
      <c r="A24" s="5" t="n">
        <v>3</v>
      </c>
      <c r="B24" s="5" t="n">
        <v>3</v>
      </c>
      <c r="C24" s="5" t="inlineStr">
        <is>
          <t>Decision Making</t>
        </is>
      </c>
      <c r="D24" s="5" t="inlineStr">
        <is>
          <t>Scored</t>
        </is>
      </c>
      <c r="E24" s="6" t="inlineStr">
        <is>
          <t>You only have time for ONE of these right now. Which gives the best value for the effort it takes?</t>
        </is>
      </c>
      <c r="F24" s="6" t="inlineStr">
        <is>
          <t>prepare your board exam project (effort 5, value 8)</t>
        </is>
      </c>
      <c r="G24" s="6" t="inlineStr">
        <is>
          <t>They are all equally good choices</t>
        </is>
      </c>
      <c r="H24" s="6" t="inlineStr">
        <is>
          <t>submit your college application form (effort 7, value 8)</t>
        </is>
      </c>
      <c r="I24" s="6" t="inlineStr">
        <is>
          <t>finish the lab report (effort 4, value 9)</t>
        </is>
      </c>
      <c r="J24" s="5" t="n"/>
      <c r="K24" s="5" t="n"/>
      <c r="L24" s="5" t="n"/>
      <c r="M24" s="5" t="n"/>
      <c r="N24" s="5" t="inlineStr">
        <is>
          <t>D</t>
        </is>
      </c>
      <c r="O24" s="5" t="n"/>
      <c r="P24" s="5" t="n"/>
      <c r="Q24" s="5" t="n"/>
      <c r="R24" s="5" t="n"/>
      <c r="S24" s="5" t="n"/>
      <c r="T24" s="5">
        <f>IF(O24="","",IF(O24=N24,1,0))</f>
        <v/>
      </c>
      <c r="U24" s="6" t="n"/>
    </row>
    <row r="25">
      <c r="A25" s="5" t="n">
        <v>3</v>
      </c>
      <c r="B25" s="5" t="n">
        <v>4</v>
      </c>
      <c r="C25" s="5" t="inlineStr">
        <is>
          <t>Mental Math</t>
        </is>
      </c>
      <c r="D25" s="5" t="inlineStr">
        <is>
          <t>Scored</t>
        </is>
      </c>
      <c r="E25" s="6" t="inlineStr">
        <is>
          <t>A recipe mixes flour and sugar in a 5:4 ratio. If you use 30 units of flour, how much sugar do you need?</t>
        </is>
      </c>
      <c r="F25" s="6" t="inlineStr">
        <is>
          <t>30</t>
        </is>
      </c>
      <c r="G25" s="6" t="inlineStr">
        <is>
          <t>20</t>
        </is>
      </c>
      <c r="H25" s="6" t="inlineStr">
        <is>
          <t>28</t>
        </is>
      </c>
      <c r="I25" s="6" t="inlineStr">
        <is>
          <t>24</t>
        </is>
      </c>
      <c r="J25" s="5" t="n"/>
      <c r="K25" s="5" t="n"/>
      <c r="L25" s="5" t="n"/>
      <c r="M25" s="5" t="n"/>
      <c r="N25" s="5" t="inlineStr">
        <is>
          <t>D</t>
        </is>
      </c>
      <c r="O25" s="5" t="n"/>
      <c r="P25" s="5" t="n"/>
      <c r="Q25" s="5" t="n"/>
      <c r="R25" s="5" t="n"/>
      <c r="S25" s="5" t="n"/>
      <c r="T25" s="5">
        <f>IF(O25="","",IF(O25=N25,1,0))</f>
        <v/>
      </c>
      <c r="U25" s="6" t="n"/>
    </row>
    <row r="26">
      <c r="A26" s="5" t="n">
        <v>3</v>
      </c>
      <c r="B26" s="5" t="n">
        <v>5</v>
      </c>
      <c r="C26" s="5" t="inlineStr">
        <is>
          <t>Cognitive Academia</t>
        </is>
      </c>
      <c r="D26" s="5" t="inlineStr">
        <is>
          <t>Scored</t>
        </is>
      </c>
      <c r="E26" s="6" t="inlineStr">
        <is>
          <t>What comes next in this pattern: 3, 6, 12, 24, ?</t>
        </is>
      </c>
      <c r="F26" s="6" t="inlineStr">
        <is>
          <t>36</t>
        </is>
      </c>
      <c r="G26" s="6" t="inlineStr">
        <is>
          <t>48</t>
        </is>
      </c>
      <c r="H26" s="6" t="inlineStr">
        <is>
          <t>27</t>
        </is>
      </c>
      <c r="I26" s="6" t="inlineStr">
        <is>
          <t>50</t>
        </is>
      </c>
      <c r="J26" s="5" t="n"/>
      <c r="K26" s="5" t="n"/>
      <c r="L26" s="5" t="n"/>
      <c r="M26" s="5" t="n"/>
      <c r="N26" s="5" t="inlineStr">
        <is>
          <t>B</t>
        </is>
      </c>
      <c r="O26" s="5" t="n"/>
      <c r="P26" s="5" t="n"/>
      <c r="Q26" s="5" t="n"/>
      <c r="R26" s="5" t="n"/>
      <c r="S26" s="5" t="n"/>
      <c r="T26" s="5">
        <f>IF(O26="","",IF(O26=N26,1,0))</f>
        <v/>
      </c>
      <c r="U26" s="6" t="n"/>
    </row>
    <row r="27">
      <c r="A27" s="5" t="n">
        <v>3</v>
      </c>
      <c r="B27" s="5" t="n">
        <v>6</v>
      </c>
      <c r="C27" s="5" t="inlineStr">
        <is>
          <t>Leadership / Communication / Emotional &amp; Social</t>
        </is>
      </c>
      <c r="D27" s="5" t="inlineStr">
        <is>
          <t>Self-report (most/least)</t>
        </is>
      </c>
      <c r="E27" s="6" t="inlineStr">
        <is>
          <t>Your team's startup pitch for the school competition just got torn apart by the judges' first question.</t>
        </is>
      </c>
      <c r="F27" s="6" t="inlineStr">
        <is>
          <t>You stay patient even under pressure</t>
        </is>
      </c>
      <c r="G27" s="6" t="inlineStr">
        <is>
          <t>You check that your audience understood your point</t>
        </is>
      </c>
      <c r="H27" s="6" t="inlineStr">
        <is>
          <t>You'd rather wait and see what others do first</t>
        </is>
      </c>
      <c r="I27" s="6" t="inlineStr">
        <is>
          <t>You enjoy leading during group projects or events</t>
        </is>
      </c>
      <c r="J27" s="5" t="inlineStr">
        <is>
          <t>ES</t>
        </is>
      </c>
      <c r="K27" s="5" t="inlineStr">
        <is>
          <t>CM</t>
        </is>
      </c>
      <c r="L27" s="5" t="inlineStr"/>
      <c r="M27" s="5" t="inlineStr">
        <is>
          <t>LD</t>
        </is>
      </c>
      <c r="N27" s="5" t="n"/>
      <c r="O27" s="5" t="n"/>
      <c r="P27" s="5" t="n"/>
      <c r="Q27" s="5" t="n"/>
      <c r="R27" s="5">
        <f>IFERROR(INDEX(J27:M27,MATCH(P27,{"A","B","C","D"},0)),"")</f>
        <v/>
      </c>
      <c r="S27" s="5">
        <f>IFERROR(INDEX(J27:M27,MATCH(Q27,{"A","B","C","D"},0)),"")</f>
        <v/>
      </c>
      <c r="T27" s="5" t="n"/>
      <c r="U27" s="6" t="n"/>
    </row>
    <row r="28">
      <c r="A28" s="5" t="n">
        <v>3</v>
      </c>
      <c r="B28" s="5" t="n">
        <v>7</v>
      </c>
      <c r="C28" s="5" t="inlineStr">
        <is>
          <t>Leadership / Communication / Emotional &amp; Social</t>
        </is>
      </c>
      <c r="D28" s="5" t="inlineStr">
        <is>
          <t>Self-report (most/least)</t>
        </is>
      </c>
      <c r="E28" s="6" t="inlineStr">
        <is>
          <t>You're the only one in your friend group who thinks a popular decision the class made is a bad idea.</t>
        </is>
      </c>
      <c r="F28" s="6" t="inlineStr">
        <is>
          <t>You'd step back and observe before choosing any of these</t>
        </is>
      </c>
      <c r="G28" s="6" t="inlineStr">
        <is>
          <t>You notice subtle changes in a friend's mood</t>
        </is>
      </c>
      <c r="H28" s="6" t="inlineStr">
        <is>
          <t>You like guiding a team toward a shared outcome</t>
        </is>
      </c>
      <c r="I28" s="6" t="inlineStr">
        <is>
          <t>You enjoy explaining your reasoning to teachers or peers</t>
        </is>
      </c>
      <c r="J28" s="5" t="inlineStr"/>
      <c r="K28" s="5" t="inlineStr">
        <is>
          <t>ES</t>
        </is>
      </c>
      <c r="L28" s="5" t="inlineStr">
        <is>
          <t>LD</t>
        </is>
      </c>
      <c r="M28" s="5" t="inlineStr">
        <is>
          <t>CM</t>
        </is>
      </c>
      <c r="N28" s="5" t="n"/>
      <c r="O28" s="5" t="n"/>
      <c r="P28" s="5" t="n"/>
      <c r="Q28" s="5" t="n"/>
      <c r="R28" s="5">
        <f>IFERROR(INDEX(J28:M28,MATCH(P28,{"A","B","C","D"},0)),"")</f>
        <v/>
      </c>
      <c r="S28" s="5">
        <f>IFERROR(INDEX(J28:M28,MATCH(Q28,{"A","B","C","D"},0)),"")</f>
        <v/>
      </c>
      <c r="T28" s="5" t="n"/>
      <c r="U28" s="6" t="n"/>
    </row>
    <row r="29">
      <c r="A29" s="5" t="n">
        <v>3</v>
      </c>
      <c r="B29" s="5" t="n">
        <v>8</v>
      </c>
      <c r="C29" s="5" t="inlineStr">
        <is>
          <t>Leadership / Communication / Emotional &amp; Social</t>
        </is>
      </c>
      <c r="D29" s="5" t="inlineStr">
        <is>
          <t>Self-report (most/least)</t>
        </is>
      </c>
      <c r="E29" s="6" t="inlineStr">
        <is>
          <t>Your science project partner wants to falsify a data point to make the results look cleaner.</t>
        </is>
      </c>
      <c r="F29" s="6" t="inlineStr">
        <is>
          <t>None of these feel like you in this moment</t>
        </is>
      </c>
      <c r="G29" s="6" t="inlineStr">
        <is>
          <t>You stay calm even during high-stakes exams</t>
        </is>
      </c>
      <c r="H29" s="6" t="inlineStr">
        <is>
          <t>You like organizing a plan of action for a group</t>
        </is>
      </c>
      <c r="I29" s="6" t="inlineStr">
        <is>
          <t>You like asking clarifying questions on complex topics</t>
        </is>
      </c>
      <c r="J29" s="5" t="inlineStr"/>
      <c r="K29" s="5" t="inlineStr">
        <is>
          <t>ES</t>
        </is>
      </c>
      <c r="L29" s="5" t="inlineStr">
        <is>
          <t>LD</t>
        </is>
      </c>
      <c r="M29" s="5" t="inlineStr">
        <is>
          <t>CM</t>
        </is>
      </c>
      <c r="N29" s="5" t="n"/>
      <c r="O29" s="5" t="n"/>
      <c r="P29" s="5" t="n"/>
      <c r="Q29" s="5" t="n"/>
      <c r="R29" s="5">
        <f>IFERROR(INDEX(J29:M29,MATCH(P29,{"A","B","C","D"},0)),"")</f>
        <v/>
      </c>
      <c r="S29" s="5">
        <f>IFERROR(INDEX(J29:M29,MATCH(Q29,{"A","B","C","D"},0)),"")</f>
        <v/>
      </c>
      <c r="T29" s="5" t="n"/>
      <c r="U29" s="6" t="n"/>
    </row>
    <row r="30">
      <c r="A30" s="5" t="n">
        <v>3</v>
      </c>
      <c r="B30" s="5" t="n">
        <v>9</v>
      </c>
      <c r="C30" s="5" t="inlineStr">
        <is>
          <t>Creative Skills</t>
        </is>
      </c>
      <c r="D30" s="5" t="inlineStr">
        <is>
          <t>Open-ended (not auto-scored)</t>
        </is>
      </c>
      <c r="E30" s="6" t="inlineStr">
        <is>
          <t>Invent a study technique that has never been tried before. How would it work?</t>
        </is>
      </c>
      <c r="F30" s="6" t="n"/>
      <c r="G30" s="6" t="n"/>
      <c r="H30" s="6" t="n"/>
      <c r="I30" s="6" t="n"/>
      <c r="J30" s="5" t="n"/>
      <c r="K30" s="5" t="n"/>
      <c r="L30" s="5" t="n"/>
      <c r="M30" s="5" t="n"/>
      <c r="N30" s="5" t="n"/>
      <c r="O30" s="5" t="n"/>
      <c r="P30" s="5" t="n"/>
      <c r="Q30" s="5" t="n"/>
      <c r="R30" s="5" t="n"/>
      <c r="S30" s="5" t="n"/>
      <c r="T30" s="5" t="n"/>
      <c r="U30" s="6" t="n"/>
    </row>
    <row r="31">
      <c r="A31" s="5" t="n">
        <v>3</v>
      </c>
      <c r="B31" s="5" t="n">
        <v>10</v>
      </c>
      <c r="C31" s="5" t="inlineStr">
        <is>
          <t>Listening Skills</t>
        </is>
      </c>
      <c r="D31" s="5" t="inlineStr">
        <is>
          <t>Scored</t>
        </is>
      </c>
      <c r="E31" s="6" t="inlineStr">
        <is>
          <t>[Read once, then answer without re-reading] “Before the physics practical, the group calibrated the instrument, recorded a baseline reading, and then began the timed trial.”  ||  What happened right after the first thing mentioned?</t>
        </is>
      </c>
      <c r="F31" s="6" t="inlineStr">
        <is>
          <t>calibrated the instrument</t>
        </is>
      </c>
      <c r="G31" s="6" t="inlineStr">
        <is>
          <t>began the timed trial</t>
        </is>
      </c>
      <c r="H31" s="6" t="inlineStr">
        <is>
          <t>wrote the conclusion</t>
        </is>
      </c>
      <c r="I31" s="6" t="inlineStr">
        <is>
          <t>recorded a baseline reading</t>
        </is>
      </c>
      <c r="J31" s="5" t="n"/>
      <c r="K31" s="5" t="n"/>
      <c r="L31" s="5" t="n"/>
      <c r="M31" s="5" t="n"/>
      <c r="N31" s="5" t="inlineStr">
        <is>
          <t>D</t>
        </is>
      </c>
      <c r="O31" s="5" t="n"/>
      <c r="P31" s="5" t="n"/>
      <c r="Q31" s="5" t="n"/>
      <c r="R31" s="5" t="n"/>
      <c r="S31" s="5" t="n"/>
      <c r="T31" s="5">
        <f>IF(O31="","",IF(O31=N31,1,0))</f>
        <v/>
      </c>
      <c r="U31" s="6" t="n"/>
    </row>
    <row r="32">
      <c r="A32" s="7" t="n">
        <v>4</v>
      </c>
      <c r="B32" s="7" t="n">
        <v>1</v>
      </c>
      <c r="C32" s="7" t="inlineStr">
        <is>
          <t>Problem Solving</t>
        </is>
      </c>
      <c r="D32" s="7" t="inlineStr">
        <is>
          <t>Scored</t>
        </is>
      </c>
      <c r="E32" s="8" t="inlineStr">
        <is>
          <t>Three students — Zara, Ishaan, Rhea — are seated for the debate in a row. Rhea is not last. Zara is not first. Rhea is not first. Who is last?</t>
        </is>
      </c>
      <c r="F32" s="8" t="inlineStr">
        <is>
          <t>Zara</t>
        </is>
      </c>
      <c r="G32" s="8" t="inlineStr">
        <is>
          <t>Ishaan</t>
        </is>
      </c>
      <c r="H32" s="8" t="inlineStr">
        <is>
          <t>Rhea</t>
        </is>
      </c>
      <c r="I32" s="8" t="inlineStr">
        <is>
          <t>Cannot be determined</t>
        </is>
      </c>
      <c r="J32" s="7" t="n"/>
      <c r="K32" s="7" t="n"/>
      <c r="L32" s="7" t="n"/>
      <c r="M32" s="7" t="n"/>
      <c r="N32" s="7" t="inlineStr">
        <is>
          <t>A</t>
        </is>
      </c>
      <c r="O32" s="7" t="n"/>
      <c r="P32" s="7" t="n"/>
      <c r="Q32" s="7" t="n"/>
      <c r="R32" s="7" t="n"/>
      <c r="S32" s="7" t="n"/>
      <c r="T32" s="7">
        <f>IF(O32="","",IF(O32=N32,1,0))</f>
        <v/>
      </c>
      <c r="U32" s="8" t="n"/>
    </row>
    <row r="33">
      <c r="A33" s="7" t="n">
        <v>4</v>
      </c>
      <c r="B33" s="7" t="n">
        <v>2</v>
      </c>
      <c r="C33" s="7" t="inlineStr">
        <is>
          <t>Critical Thinking</t>
        </is>
      </c>
      <c r="D33" s="7" t="inlineStr">
        <is>
          <t>Scored</t>
        </is>
      </c>
      <c r="E33" s="8" t="inlineStr">
        <is>
          <t>A debater says: 'This policy is effective because it works well.' What's the actual flaw in this reasoning?</t>
        </is>
      </c>
      <c r="F33" s="8" t="inlineStr">
        <is>
          <t>The policy has never been tried</t>
        </is>
      </c>
      <c r="G33" s="8" t="inlineStr">
        <is>
          <t>The claim just restates itself instead of offering actual evidence</t>
        </is>
      </c>
      <c r="H33" s="8" t="inlineStr">
        <is>
          <t>The policy was banned</t>
        </is>
      </c>
      <c r="I33" s="8" t="inlineStr">
        <is>
          <t>Effective and working well are unrelated</t>
        </is>
      </c>
      <c r="J33" s="7" t="n"/>
      <c r="K33" s="7" t="n"/>
      <c r="L33" s="7" t="n"/>
      <c r="M33" s="7" t="n"/>
      <c r="N33" s="7" t="inlineStr">
        <is>
          <t>B</t>
        </is>
      </c>
      <c r="O33" s="7" t="n"/>
      <c r="P33" s="7" t="n"/>
      <c r="Q33" s="7" t="n"/>
      <c r="R33" s="7" t="n"/>
      <c r="S33" s="7" t="n"/>
      <c r="T33" s="7">
        <f>IF(O33="","",IF(O33=N33,1,0))</f>
        <v/>
      </c>
      <c r="U33" s="8" t="n"/>
    </row>
    <row r="34">
      <c r="A34" s="7" t="n">
        <v>4</v>
      </c>
      <c r="B34" s="7" t="n">
        <v>3</v>
      </c>
      <c r="C34" s="7" t="inlineStr">
        <is>
          <t>Decision Making</t>
        </is>
      </c>
      <c r="D34" s="7" t="inlineStr">
        <is>
          <t>Scored</t>
        </is>
      </c>
      <c r="E34" s="8" t="inlineStr">
        <is>
          <t>You have 32 minutes. finish the lab report takes 19 minutes, submit your college application form takes 13 minutes, and register for the entrance exam takes 27 minutes. You must skip exactly one of them to fit the other two into your 32 minutes. Which should you skip?</t>
        </is>
      </c>
      <c r="F34" s="8" t="inlineStr">
        <is>
          <t>It's impossible to fit any two</t>
        </is>
      </c>
      <c r="G34" s="8" t="inlineStr">
        <is>
          <t>submit your college application form</t>
        </is>
      </c>
      <c r="H34" s="8" t="inlineStr">
        <is>
          <t>register for the entrance exam</t>
        </is>
      </c>
      <c r="I34" s="8" t="inlineStr">
        <is>
          <t>finish the lab report</t>
        </is>
      </c>
      <c r="J34" s="7" t="n"/>
      <c r="K34" s="7" t="n"/>
      <c r="L34" s="7" t="n"/>
      <c r="M34" s="7" t="n"/>
      <c r="N34" s="7" t="inlineStr">
        <is>
          <t>C</t>
        </is>
      </c>
      <c r="O34" s="7" t="n"/>
      <c r="P34" s="7" t="n"/>
      <c r="Q34" s="7" t="n"/>
      <c r="R34" s="7" t="n"/>
      <c r="S34" s="7" t="n"/>
      <c r="T34" s="7">
        <f>IF(O34="","",IF(O34=N34,1,0))</f>
        <v/>
      </c>
      <c r="U34" s="8" t="n"/>
    </row>
    <row r="35">
      <c r="A35" s="7" t="n">
        <v>4</v>
      </c>
      <c r="B35" s="7" t="n">
        <v>4</v>
      </c>
      <c r="C35" s="7" t="inlineStr">
        <is>
          <t>Mental Math</t>
        </is>
      </c>
      <c r="D35" s="7" t="inlineStr">
        <is>
          <t>Scored</t>
        </is>
      </c>
      <c r="E35" s="8" t="inlineStr">
        <is>
          <t>I'm thinking of a number. If you double it, then add 20, then subtract 23, you get 21. What's my number?</t>
        </is>
      </c>
      <c r="F35" s="8" t="inlineStr">
        <is>
          <t>13</t>
        </is>
      </c>
      <c r="G35" s="8" t="inlineStr">
        <is>
          <t>12</t>
        </is>
      </c>
      <c r="H35" s="8" t="inlineStr">
        <is>
          <t>11</t>
        </is>
      </c>
      <c r="I35" s="8" t="inlineStr">
        <is>
          <t>14</t>
        </is>
      </c>
      <c r="J35" s="7" t="n"/>
      <c r="K35" s="7" t="n"/>
      <c r="L35" s="7" t="n"/>
      <c r="M35" s="7" t="n"/>
      <c r="N35" s="7" t="inlineStr">
        <is>
          <t>B</t>
        </is>
      </c>
      <c r="O35" s="7" t="n"/>
      <c r="P35" s="7" t="n"/>
      <c r="Q35" s="7" t="n"/>
      <c r="R35" s="7" t="n"/>
      <c r="S35" s="7" t="n"/>
      <c r="T35" s="7">
        <f>IF(O35="","",IF(O35=N35,1,0))</f>
        <v/>
      </c>
      <c r="U35" s="8" t="n"/>
    </row>
    <row r="36">
      <c r="A36" s="7" t="n">
        <v>4</v>
      </c>
      <c r="B36" s="7" t="n">
        <v>5</v>
      </c>
      <c r="C36" s="7" t="inlineStr">
        <is>
          <t>Cognitive Academia</t>
        </is>
      </c>
      <c r="D36" s="7" t="inlineStr">
        <is>
          <t>Scored</t>
        </is>
      </c>
      <c r="E36" s="8" t="inlineStr">
        <is>
          <t>What comes next in this pattern: 2, 3, 5, 8, 13, ?</t>
        </is>
      </c>
      <c r="F36" s="8" t="inlineStr">
        <is>
          <t>25</t>
        </is>
      </c>
      <c r="G36" s="8" t="inlineStr">
        <is>
          <t>19</t>
        </is>
      </c>
      <c r="H36" s="8" t="inlineStr">
        <is>
          <t>21</t>
        </is>
      </c>
      <c r="I36" s="8" t="inlineStr">
        <is>
          <t>26</t>
        </is>
      </c>
      <c r="J36" s="7" t="n"/>
      <c r="K36" s="7" t="n"/>
      <c r="L36" s="7" t="n"/>
      <c r="M36" s="7" t="n"/>
      <c r="N36" s="7" t="inlineStr">
        <is>
          <t>C</t>
        </is>
      </c>
      <c r="O36" s="7" t="n"/>
      <c r="P36" s="7" t="n"/>
      <c r="Q36" s="7" t="n"/>
      <c r="R36" s="7" t="n"/>
      <c r="S36" s="7" t="n"/>
      <c r="T36" s="7">
        <f>IF(O36="","",IF(O36=N36,1,0))</f>
        <v/>
      </c>
      <c r="U36" s="8" t="n"/>
    </row>
    <row r="37">
      <c r="A37" s="7" t="n">
        <v>4</v>
      </c>
      <c r="B37" s="7" t="n">
        <v>6</v>
      </c>
      <c r="C37" s="7" t="inlineStr">
        <is>
          <t>Leadership / Communication / Emotional &amp; Social</t>
        </is>
      </c>
      <c r="D37" s="7" t="inlineStr">
        <is>
          <t>Self-report (most/least)</t>
        </is>
      </c>
      <c r="E37" s="8" t="inlineStr">
        <is>
          <t>You're asked to lead a study group the week before finals, right when you need to study yourself.</t>
        </is>
      </c>
      <c r="F37" s="8" t="inlineStr">
        <is>
          <t>You take ownership when something goes wrong</t>
        </is>
      </c>
      <c r="G37" s="8" t="inlineStr">
        <is>
          <t>You handle disagreements without letting them escalate</t>
        </is>
      </c>
      <c r="H37" s="8" t="inlineStr">
        <is>
          <t>You like presenting your ideas confidently to a group</t>
        </is>
      </c>
      <c r="I37" s="8" t="inlineStr">
        <is>
          <t>You'd step back and observe before choosing any of these</t>
        </is>
      </c>
      <c r="J37" s="7" t="inlineStr">
        <is>
          <t>LD</t>
        </is>
      </c>
      <c r="K37" s="7" t="inlineStr">
        <is>
          <t>ES</t>
        </is>
      </c>
      <c r="L37" s="7" t="inlineStr">
        <is>
          <t>CM</t>
        </is>
      </c>
      <c r="M37" s="7" t="inlineStr"/>
      <c r="N37" s="7" t="n"/>
      <c r="O37" s="7" t="n"/>
      <c r="P37" s="7" t="n"/>
      <c r="Q37" s="7" t="n"/>
      <c r="R37" s="7">
        <f>IFERROR(INDEX(J37:M37,MATCH(P37,{"A","B","C","D"},0)),"")</f>
        <v/>
      </c>
      <c r="S37" s="7">
        <f>IFERROR(INDEX(J37:M37,MATCH(Q37,{"A","B","C","D"},0)),"")</f>
        <v/>
      </c>
      <c r="T37" s="7" t="n"/>
      <c r="U37" s="8" t="n"/>
    </row>
    <row r="38">
      <c r="A38" s="7" t="n">
        <v>4</v>
      </c>
      <c r="B38" s="7" t="n">
        <v>7</v>
      </c>
      <c r="C38" s="7" t="inlineStr">
        <is>
          <t>Leadership / Communication / Emotional &amp; Social</t>
        </is>
      </c>
      <c r="D38" s="7" t="inlineStr">
        <is>
          <t>Self-report (most/least)</t>
        </is>
      </c>
      <c r="E38" s="8" t="inlineStr">
        <is>
          <t>Your debate partner freezes mid-argument in the final round, and it's your turn to jump in.</t>
        </is>
      </c>
      <c r="F38" s="8" t="inlineStr">
        <is>
          <t>You feel confident making decisions under pressure</t>
        </is>
      </c>
      <c r="G38" s="8" t="inlineStr">
        <is>
          <t>You enjoy debating or discussing ideas with others</t>
        </is>
      </c>
      <c r="H38" s="8" t="inlineStr">
        <is>
          <t>You think about how a decision might affect others</t>
        </is>
      </c>
      <c r="I38" s="8" t="inlineStr">
        <is>
          <t>None of these feel like you in this moment</t>
        </is>
      </c>
      <c r="J38" s="7" t="inlineStr">
        <is>
          <t>LD</t>
        </is>
      </c>
      <c r="K38" s="7" t="inlineStr">
        <is>
          <t>CM</t>
        </is>
      </c>
      <c r="L38" s="7" t="inlineStr">
        <is>
          <t>ES</t>
        </is>
      </c>
      <c r="M38" s="7" t="inlineStr"/>
      <c r="N38" s="7" t="n"/>
      <c r="O38" s="7" t="n"/>
      <c r="P38" s="7" t="n"/>
      <c r="Q38" s="7" t="n"/>
      <c r="R38" s="7">
        <f>IFERROR(INDEX(J38:M38,MATCH(P38,{"A","B","C","D"},0)),"")</f>
        <v/>
      </c>
      <c r="S38" s="7">
        <f>IFERROR(INDEX(J38:M38,MATCH(Q38,{"A","B","C","D"},0)),"")</f>
        <v/>
      </c>
      <c r="T38" s="7" t="n"/>
      <c r="U38" s="8" t="n"/>
    </row>
    <row r="39">
      <c r="A39" s="7" t="n">
        <v>4</v>
      </c>
      <c r="B39" s="7" t="n">
        <v>8</v>
      </c>
      <c r="C39" s="7" t="inlineStr">
        <is>
          <t>Leadership / Communication / Emotional &amp; Social</t>
        </is>
      </c>
      <c r="D39" s="7" t="inlineStr">
        <is>
          <t>Self-report (most/least)</t>
        </is>
      </c>
      <c r="E39" s="8" t="inlineStr">
        <is>
          <t>You discover a factual error in your group's board exam project the night before submission.</t>
        </is>
      </c>
      <c r="F39" s="8" t="inlineStr">
        <is>
          <t>You naturally end up being the one who decides</t>
        </is>
      </c>
      <c r="G39" s="8" t="inlineStr">
        <is>
          <t>You enjoy helping a friend work through a tough problem</t>
        </is>
      </c>
      <c r="H39" s="8" t="inlineStr">
        <is>
          <t>You like structuring your thoughts before speaking</t>
        </is>
      </c>
      <c r="I39" s="8" t="inlineStr">
        <is>
          <t>You'd need more time before reacting at all</t>
        </is>
      </c>
      <c r="J39" s="7" t="inlineStr">
        <is>
          <t>LD</t>
        </is>
      </c>
      <c r="K39" s="7" t="inlineStr">
        <is>
          <t>ES</t>
        </is>
      </c>
      <c r="L39" s="7" t="inlineStr">
        <is>
          <t>CM</t>
        </is>
      </c>
      <c r="M39" s="7" t="inlineStr"/>
      <c r="N39" s="7" t="n"/>
      <c r="O39" s="7" t="n"/>
      <c r="P39" s="7" t="n"/>
      <c r="Q39" s="7" t="n"/>
      <c r="R39" s="7">
        <f>IFERROR(INDEX(J39:M39,MATCH(P39,{"A","B","C","D"},0)),"")</f>
        <v/>
      </c>
      <c r="S39" s="7">
        <f>IFERROR(INDEX(J39:M39,MATCH(Q39,{"A","B","C","D"},0)),"")</f>
        <v/>
      </c>
      <c r="T39" s="7" t="n"/>
      <c r="U39" s="8" t="n"/>
    </row>
    <row r="40">
      <c r="A40" s="7" t="n">
        <v>4</v>
      </c>
      <c r="B40" s="7" t="n">
        <v>9</v>
      </c>
      <c r="C40" s="7" t="inlineStr">
        <is>
          <t>Creative Skills</t>
        </is>
      </c>
      <c r="D40" s="7" t="inlineStr">
        <is>
          <t>Open-ended (not auto-scored)</t>
        </is>
      </c>
      <c r="E40" s="8" t="inlineStr">
        <is>
          <t>If your city added one new public space just for teenagers, what would it be?</t>
        </is>
      </c>
      <c r="F40" s="8" t="n"/>
      <c r="G40" s="8" t="n"/>
      <c r="H40" s="8" t="n"/>
      <c r="I40" s="8" t="n"/>
      <c r="J40" s="7" t="n"/>
      <c r="K40" s="7" t="n"/>
      <c r="L40" s="7" t="n"/>
      <c r="M40" s="7" t="n"/>
      <c r="N40" s="7" t="n"/>
      <c r="O40" s="7" t="n"/>
      <c r="P40" s="7" t="n"/>
      <c r="Q40" s="7" t="n"/>
      <c r="R40" s="7" t="n"/>
      <c r="S40" s="7" t="n"/>
      <c r="T40" s="7" t="n"/>
      <c r="U40" s="8" t="n"/>
    </row>
    <row r="41">
      <c r="A41" s="7" t="n">
        <v>4</v>
      </c>
      <c r="B41" s="7" t="n">
        <v>10</v>
      </c>
      <c r="C41" s="7" t="inlineStr">
        <is>
          <t>Listening Skills</t>
        </is>
      </c>
      <c r="D41" s="7" t="inlineStr">
        <is>
          <t>Scored</t>
        </is>
      </c>
      <c r="E41" s="8" t="inlineStr">
        <is>
          <t>[Read once, then answer without re-reading] “Ahead of the board exam project, Priya finalised the topic, gathered her sources, and finally drafted the first section.”  ||  What happened right after the first thing mentioned?</t>
        </is>
      </c>
      <c r="F41" s="8" t="inlineStr">
        <is>
          <t>finalised the topic</t>
        </is>
      </c>
      <c r="G41" s="8" t="inlineStr">
        <is>
          <t>submitted the final copy</t>
        </is>
      </c>
      <c r="H41" s="8" t="inlineStr">
        <is>
          <t>drafted the first section</t>
        </is>
      </c>
      <c r="I41" s="8" t="inlineStr">
        <is>
          <t>gathered her sources</t>
        </is>
      </c>
      <c r="J41" s="7" t="n"/>
      <c r="K41" s="7" t="n"/>
      <c r="L41" s="7" t="n"/>
      <c r="M41" s="7" t="n"/>
      <c r="N41" s="7" t="inlineStr">
        <is>
          <t>D</t>
        </is>
      </c>
      <c r="O41" s="7" t="n"/>
      <c r="P41" s="7" t="n"/>
      <c r="Q41" s="7" t="n"/>
      <c r="R41" s="7" t="n"/>
      <c r="S41" s="7" t="n"/>
      <c r="T41" s="7">
        <f>IF(O41="","",IF(O41=N41,1,0))</f>
        <v/>
      </c>
      <c r="U41" s="8" t="n"/>
    </row>
    <row r="42">
      <c r="A42" s="5" t="n">
        <v>5</v>
      </c>
      <c r="B42" s="5" t="n">
        <v>1</v>
      </c>
      <c r="C42" s="5" t="inlineStr">
        <is>
          <t>Problem Solving</t>
        </is>
      </c>
      <c r="D42" s="5" t="inlineStr">
        <is>
          <t>Scored</t>
        </is>
      </c>
      <c r="E42" s="6" t="inlineStr">
        <is>
          <t>Three students — Aisha, Wei, Zara — are seated for the debate in a row. Wei is not first. Zara is not in the middle. Wei is not last. Zara is not first. Who is first?</t>
        </is>
      </c>
      <c r="F42" s="6" t="inlineStr">
        <is>
          <t>Wei</t>
        </is>
      </c>
      <c r="G42" s="6" t="inlineStr">
        <is>
          <t>Cannot be determined</t>
        </is>
      </c>
      <c r="H42" s="6" t="inlineStr">
        <is>
          <t>Aisha</t>
        </is>
      </c>
      <c r="I42" s="6" t="inlineStr">
        <is>
          <t>Zara</t>
        </is>
      </c>
      <c r="J42" s="5" t="n"/>
      <c r="K42" s="5" t="n"/>
      <c r="L42" s="5" t="n"/>
      <c r="M42" s="5" t="n"/>
      <c r="N42" s="5" t="inlineStr">
        <is>
          <t>C</t>
        </is>
      </c>
      <c r="O42" s="5" t="n"/>
      <c r="P42" s="5" t="n"/>
      <c r="Q42" s="5" t="n"/>
      <c r="R42" s="5" t="n"/>
      <c r="S42" s="5" t="n"/>
      <c r="T42" s="5">
        <f>IF(O42="","",IF(O42=N42,1,0))</f>
        <v/>
      </c>
      <c r="U42" s="6" t="n"/>
    </row>
    <row r="43">
      <c r="A43" s="5" t="n">
        <v>5</v>
      </c>
      <c r="B43" s="5" t="n">
        <v>2</v>
      </c>
      <c r="C43" s="5" t="inlineStr">
        <is>
          <t>Critical Thinking</t>
        </is>
      </c>
      <c r="D43" s="5" t="inlineStr">
        <is>
          <t>Scored</t>
        </is>
      </c>
      <c r="E43" s="6" t="inlineStr">
        <is>
          <t>A student says: 'Most of my classmates think this historical interpretation is correct, so it must be right.' What's the actual flaw in this reasoning?</t>
        </is>
      </c>
      <c r="F43" s="6" t="inlineStr">
        <is>
          <t>Historical facts change based on opinion</t>
        </is>
      </c>
      <c r="G43" s="6" t="inlineStr">
        <is>
          <t>The interpretation was disproven in class</t>
        </is>
      </c>
      <c r="H43" s="6" t="inlineStr">
        <is>
          <t>Popularity among classmates isn't actual historical evidence</t>
        </is>
      </c>
      <c r="I43" s="6" t="inlineStr">
        <is>
          <t>No classmates hold this view</t>
        </is>
      </c>
      <c r="J43" s="5" t="n"/>
      <c r="K43" s="5" t="n"/>
      <c r="L43" s="5" t="n"/>
      <c r="M43" s="5" t="n"/>
      <c r="N43" s="5" t="inlineStr">
        <is>
          <t>C</t>
        </is>
      </c>
      <c r="O43" s="5" t="n"/>
      <c r="P43" s="5" t="n"/>
      <c r="Q43" s="5" t="n"/>
      <c r="R43" s="5" t="n"/>
      <c r="S43" s="5" t="n"/>
      <c r="T43" s="5">
        <f>IF(O43="","",IF(O43=N43,1,0))</f>
        <v/>
      </c>
      <c r="U43" s="6" t="n"/>
    </row>
    <row r="44">
      <c r="A44" s="5" t="n">
        <v>5</v>
      </c>
      <c r="B44" s="5" t="n">
        <v>3</v>
      </c>
      <c r="C44" s="5" t="inlineStr">
        <is>
          <t>Decision Making</t>
        </is>
      </c>
      <c r="D44" s="5" t="inlineStr">
        <is>
          <t>Scored</t>
        </is>
      </c>
      <c r="E44" s="6" t="inlineStr">
        <is>
          <t>You only have time for ONE of these right now. Which gives the best value for the effort it takes?</t>
        </is>
      </c>
      <c r="F44" s="6" t="inlineStr">
        <is>
          <t>register for the entrance exam (effort 7, value 24)</t>
        </is>
      </c>
      <c r="G44" s="6" t="inlineStr">
        <is>
          <t>submit your college application form (effort 6, value 9)</t>
        </is>
      </c>
      <c r="H44" s="6" t="inlineStr">
        <is>
          <t>They are all equally good choices</t>
        </is>
      </c>
      <c r="I44" s="6" t="inlineStr">
        <is>
          <t>prepare your board exam project (effort 2, value 4)</t>
        </is>
      </c>
      <c r="J44" s="5" t="n"/>
      <c r="K44" s="5" t="n"/>
      <c r="L44" s="5" t="n"/>
      <c r="M44" s="5" t="n"/>
      <c r="N44" s="5" t="inlineStr">
        <is>
          <t>A</t>
        </is>
      </c>
      <c r="O44" s="5" t="n"/>
      <c r="P44" s="5" t="n"/>
      <c r="Q44" s="5" t="n"/>
      <c r="R44" s="5" t="n"/>
      <c r="S44" s="5" t="n"/>
      <c r="T44" s="5">
        <f>IF(O44="","",IF(O44=N44,1,0))</f>
        <v/>
      </c>
      <c r="U44" s="6" t="n"/>
    </row>
    <row r="45">
      <c r="A45" s="5" t="n">
        <v>5</v>
      </c>
      <c r="B45" s="5" t="n">
        <v>4</v>
      </c>
      <c r="C45" s="5" t="inlineStr">
        <is>
          <t>Mental Math</t>
        </is>
      </c>
      <c r="D45" s="5" t="inlineStr">
        <is>
          <t>Scored</t>
        </is>
      </c>
      <c r="E45" s="6" t="inlineStr">
        <is>
          <t>After spending 6 and later receiving 14 as a gift, Iris has 42. How much did Iris start with?</t>
        </is>
      </c>
      <c r="F45" s="6" t="inlineStr">
        <is>
          <t>40</t>
        </is>
      </c>
      <c r="G45" s="6" t="inlineStr">
        <is>
          <t>20</t>
        </is>
      </c>
      <c r="H45" s="6" t="inlineStr">
        <is>
          <t>42</t>
        </is>
      </c>
      <c r="I45" s="6" t="inlineStr">
        <is>
          <t>34</t>
        </is>
      </c>
      <c r="J45" s="5" t="n"/>
      <c r="K45" s="5" t="n"/>
      <c r="L45" s="5" t="n"/>
      <c r="M45" s="5" t="n"/>
      <c r="N45" s="5" t="inlineStr">
        <is>
          <t>D</t>
        </is>
      </c>
      <c r="O45" s="5" t="n"/>
      <c r="P45" s="5" t="n"/>
      <c r="Q45" s="5" t="n"/>
      <c r="R45" s="5" t="n"/>
      <c r="S45" s="5" t="n"/>
      <c r="T45" s="5">
        <f>IF(O45="","",IF(O45=N45,1,0))</f>
        <v/>
      </c>
      <c r="U45" s="6" t="n"/>
    </row>
    <row r="46">
      <c r="A46" s="5" t="n">
        <v>5</v>
      </c>
      <c r="B46" s="5" t="n">
        <v>5</v>
      </c>
      <c r="C46" s="5" t="inlineStr">
        <is>
          <t>Cognitive Academia</t>
        </is>
      </c>
      <c r="D46" s="5" t="inlineStr">
        <is>
          <t>Scored</t>
        </is>
      </c>
      <c r="E46" s="6" t="inlineStr">
        <is>
          <t>What comes next in this pattern: 4, 4, 8, 12, 20, ?</t>
        </is>
      </c>
      <c r="F46" s="6" t="inlineStr">
        <is>
          <t>30</t>
        </is>
      </c>
      <c r="G46" s="6" t="inlineStr">
        <is>
          <t>32</t>
        </is>
      </c>
      <c r="H46" s="6" t="inlineStr">
        <is>
          <t>36</t>
        </is>
      </c>
      <c r="I46" s="6" t="inlineStr">
        <is>
          <t>40</t>
        </is>
      </c>
      <c r="J46" s="5" t="n"/>
      <c r="K46" s="5" t="n"/>
      <c r="L46" s="5" t="n"/>
      <c r="M46" s="5" t="n"/>
      <c r="N46" s="5" t="inlineStr">
        <is>
          <t>B</t>
        </is>
      </c>
      <c r="O46" s="5" t="n"/>
      <c r="P46" s="5" t="n"/>
      <c r="Q46" s="5" t="n"/>
      <c r="R46" s="5" t="n"/>
      <c r="S46" s="5" t="n"/>
      <c r="T46" s="5">
        <f>IF(O46="","",IF(O46=N46,1,0))</f>
        <v/>
      </c>
      <c r="U46" s="6" t="n"/>
    </row>
    <row r="47">
      <c r="A47" s="5" t="n">
        <v>5</v>
      </c>
      <c r="B47" s="5" t="n">
        <v>6</v>
      </c>
      <c r="C47" s="5" t="inlineStr">
        <is>
          <t>Leadership / Communication / Emotional &amp; Social</t>
        </is>
      </c>
      <c r="D47" s="5" t="inlineStr">
        <is>
          <t>Self-report (most/least)</t>
        </is>
      </c>
      <c r="E47" s="6" t="inlineStr">
        <is>
          <t>A junior student asks you for help right when you're buried in your own exam prep.</t>
        </is>
      </c>
      <c r="F47" s="6" t="inlineStr">
        <is>
          <t>You like asking clarifying questions on complex topics</t>
        </is>
      </c>
      <c r="G47" s="6" t="inlineStr">
        <is>
          <t>You like organizing a plan of action for a group</t>
        </is>
      </c>
      <c r="H47" s="6" t="inlineStr">
        <is>
          <t>None of these feel like you in this moment</t>
        </is>
      </c>
      <c r="I47" s="6" t="inlineStr">
        <is>
          <t>You stay calm even during high-stakes exams</t>
        </is>
      </c>
      <c r="J47" s="5" t="inlineStr">
        <is>
          <t>CM</t>
        </is>
      </c>
      <c r="K47" s="5" t="inlineStr">
        <is>
          <t>LD</t>
        </is>
      </c>
      <c r="L47" s="5" t="inlineStr"/>
      <c r="M47" s="5" t="inlineStr">
        <is>
          <t>ES</t>
        </is>
      </c>
      <c r="N47" s="5" t="n"/>
      <c r="O47" s="5" t="n"/>
      <c r="P47" s="5" t="n"/>
      <c r="Q47" s="5" t="n"/>
      <c r="R47" s="5">
        <f>IFERROR(INDEX(J47:M47,MATCH(P47,{"A","B","C","D"},0)),"")</f>
        <v/>
      </c>
      <c r="S47" s="5">
        <f>IFERROR(INDEX(J47:M47,MATCH(Q47,{"A","B","C","D"},0)),"")</f>
        <v/>
      </c>
      <c r="T47" s="5" t="n"/>
      <c r="U47" s="6" t="n"/>
    </row>
    <row r="48">
      <c r="A48" s="5" t="n">
        <v>5</v>
      </c>
      <c r="B48" s="5" t="n">
        <v>7</v>
      </c>
      <c r="C48" s="5" t="inlineStr">
        <is>
          <t>Leadership / Communication / Emotional &amp; Social</t>
        </is>
      </c>
      <c r="D48" s="5" t="inlineStr">
        <is>
          <t>Self-report (most/least)</t>
        </is>
      </c>
      <c r="E48" s="6" t="inlineStr">
        <is>
          <t>Your MUN committee is deadlocked and the session is about to run out of time.</t>
        </is>
      </c>
      <c r="F48" s="6" t="inlineStr">
        <is>
          <t>You enjoy being chosen to head a club or committee</t>
        </is>
      </c>
      <c r="G48" s="6" t="inlineStr">
        <is>
          <t>You'd need more time before reacting at all</t>
        </is>
      </c>
      <c r="H48" s="6" t="inlineStr">
        <is>
          <t>You can sense how someone feels without them saying it</t>
        </is>
      </c>
      <c r="I48" s="6" t="inlineStr">
        <is>
          <t>You make sure your argument comes across persuasively</t>
        </is>
      </c>
      <c r="J48" s="5" t="inlineStr">
        <is>
          <t>LD</t>
        </is>
      </c>
      <c r="K48" s="5" t="inlineStr"/>
      <c r="L48" s="5" t="inlineStr">
        <is>
          <t>ES</t>
        </is>
      </c>
      <c r="M48" s="5" t="inlineStr">
        <is>
          <t>CM</t>
        </is>
      </c>
      <c r="N48" s="5" t="n"/>
      <c r="O48" s="5" t="n"/>
      <c r="P48" s="5" t="n"/>
      <c r="Q48" s="5" t="n"/>
      <c r="R48" s="5">
        <f>IFERROR(INDEX(J48:M48,MATCH(P48,{"A","B","C","D"},0)),"")</f>
        <v/>
      </c>
      <c r="S48" s="5">
        <f>IFERROR(INDEX(J48:M48,MATCH(Q48,{"A","B","C","D"},0)),"")</f>
        <v/>
      </c>
      <c r="T48" s="5" t="n"/>
      <c r="U48" s="6" t="n"/>
    </row>
    <row r="49">
      <c r="A49" s="5" t="n">
        <v>5</v>
      </c>
      <c r="B49" s="5" t="n">
        <v>8</v>
      </c>
      <c r="C49" s="5" t="inlineStr">
        <is>
          <t>Leadership / Communication / Emotional &amp; Social</t>
        </is>
      </c>
      <c r="D49" s="5" t="inlineStr">
        <is>
          <t>Self-report (most/least)</t>
        </is>
      </c>
      <c r="E49" s="6" t="inlineStr">
        <is>
          <t>You realize your college application essay draft doesn't actually say anything meaningful about you.</t>
        </is>
      </c>
      <c r="F49" s="6" t="inlineStr">
        <is>
          <t>You'd rather wait and see what others do first</t>
        </is>
      </c>
      <c r="G49" s="6" t="inlineStr">
        <is>
          <t>You like setting clear goals for a team</t>
        </is>
      </c>
      <c r="H49" s="6" t="inlineStr">
        <is>
          <t>You're comfortable meeting people outside your usual circle</t>
        </is>
      </c>
      <c r="I49" s="6" t="inlineStr">
        <is>
          <t>You find the right words to explain something nuanced</t>
        </is>
      </c>
      <c r="J49" s="5" t="inlineStr"/>
      <c r="K49" s="5" t="inlineStr">
        <is>
          <t>LD</t>
        </is>
      </c>
      <c r="L49" s="5" t="inlineStr">
        <is>
          <t>ES</t>
        </is>
      </c>
      <c r="M49" s="5" t="inlineStr">
        <is>
          <t>CM</t>
        </is>
      </c>
      <c r="N49" s="5" t="n"/>
      <c r="O49" s="5" t="n"/>
      <c r="P49" s="5" t="n"/>
      <c r="Q49" s="5" t="n"/>
      <c r="R49" s="5">
        <f>IFERROR(INDEX(J49:M49,MATCH(P49,{"A","B","C","D"},0)),"")</f>
        <v/>
      </c>
      <c r="S49" s="5">
        <f>IFERROR(INDEX(J49:M49,MATCH(Q49,{"A","B","C","D"},0)),"")</f>
        <v/>
      </c>
      <c r="T49" s="5" t="n"/>
      <c r="U49" s="6" t="n"/>
    </row>
    <row r="50">
      <c r="A50" s="5" t="n">
        <v>5</v>
      </c>
      <c r="B50" s="5" t="n">
        <v>9</v>
      </c>
      <c r="C50" s="5" t="inlineStr">
        <is>
          <t>Creative Skills</t>
        </is>
      </c>
      <c r="D50" s="5" t="inlineStr">
        <is>
          <t>Open-ended (not auto-scored)</t>
        </is>
      </c>
      <c r="E50" s="6" t="inlineStr">
        <is>
          <t>Pitch an idea for a school event that mixes two subjects that normally never meet, like art and physics.</t>
        </is>
      </c>
      <c r="F50" s="6" t="n"/>
      <c r="G50" s="6" t="n"/>
      <c r="H50" s="6" t="n"/>
      <c r="I50" s="6" t="n"/>
      <c r="J50" s="5" t="n"/>
      <c r="K50" s="5" t="n"/>
      <c r="L50" s="5" t="n"/>
      <c r="M50" s="5" t="n"/>
      <c r="N50" s="5" t="n"/>
      <c r="O50" s="5" t="n"/>
      <c r="P50" s="5" t="n"/>
      <c r="Q50" s="5" t="n"/>
      <c r="R50" s="5" t="n"/>
      <c r="S50" s="5" t="n"/>
      <c r="T50" s="5" t="n"/>
      <c r="U50" s="6" t="n"/>
    </row>
    <row r="51">
      <c r="A51" s="5" t="n">
        <v>5</v>
      </c>
      <c r="B51" s="5" t="n">
        <v>10</v>
      </c>
      <c r="C51" s="5" t="inlineStr">
        <is>
          <t>Listening Skills</t>
        </is>
      </c>
      <c r="D51" s="5" t="inlineStr">
        <is>
          <t>Scored</t>
        </is>
      </c>
      <c r="E51" s="6" t="inlineStr">
        <is>
          <t>[Read once, then answer without re-reading] “Before the entrance exam, Leah reviewed her formula sheet, attempted a timed mock test, and then analysed her mistakes.”  ||  What happened first?</t>
        </is>
      </c>
      <c r="F51" s="6" t="inlineStr">
        <is>
          <t>collected her admit card</t>
        </is>
      </c>
      <c r="G51" s="6" t="inlineStr">
        <is>
          <t>attempted a timed mock test</t>
        </is>
      </c>
      <c r="H51" s="6" t="inlineStr">
        <is>
          <t>reviewed her formula sheet</t>
        </is>
      </c>
      <c r="I51" s="6" t="inlineStr">
        <is>
          <t>analysed her mistakes</t>
        </is>
      </c>
      <c r="J51" s="5" t="n"/>
      <c r="K51" s="5" t="n"/>
      <c r="L51" s="5" t="n"/>
      <c r="M51" s="5" t="n"/>
      <c r="N51" s="5" t="inlineStr">
        <is>
          <t>C</t>
        </is>
      </c>
      <c r="O51" s="5" t="n"/>
      <c r="P51" s="5" t="n"/>
      <c r="Q51" s="5" t="n"/>
      <c r="R51" s="5" t="n"/>
      <c r="S51" s="5" t="n"/>
      <c r="T51" s="5">
        <f>IF(O51="","",IF(O51=N51,1,0))</f>
        <v/>
      </c>
      <c r="U51" s="6" t="n"/>
    </row>
    <row r="52">
      <c r="A52" s="7" t="n">
        <v>6</v>
      </c>
      <c r="B52" s="7" t="n">
        <v>1</v>
      </c>
      <c r="C52" s="7" t="inlineStr">
        <is>
          <t>Problem Solving</t>
        </is>
      </c>
      <c r="D52" s="7" t="inlineStr">
        <is>
          <t>Scored</t>
        </is>
      </c>
      <c r="E52" s="8" t="inlineStr">
        <is>
          <t>Three students — Maya, Noah, Priya — are seated for the debate in a row. Priya is not in the middle. Noah is not last. Maya is not in the middle. Maya is not first. Who is last?</t>
        </is>
      </c>
      <c r="F52" s="8" t="inlineStr">
        <is>
          <t>Priya</t>
        </is>
      </c>
      <c r="G52" s="8" t="inlineStr">
        <is>
          <t>Noah</t>
        </is>
      </c>
      <c r="H52" s="8" t="inlineStr">
        <is>
          <t>Maya</t>
        </is>
      </c>
      <c r="I52" s="8" t="inlineStr">
        <is>
          <t>Cannot be determined</t>
        </is>
      </c>
      <c r="J52" s="7" t="n"/>
      <c r="K52" s="7" t="n"/>
      <c r="L52" s="7" t="n"/>
      <c r="M52" s="7" t="n"/>
      <c r="N52" s="7" t="inlineStr">
        <is>
          <t>C</t>
        </is>
      </c>
      <c r="O52" s="7" t="n"/>
      <c r="P52" s="7" t="n"/>
      <c r="Q52" s="7" t="n"/>
      <c r="R52" s="7" t="n"/>
      <c r="S52" s="7" t="n"/>
      <c r="T52" s="7">
        <f>IF(O52="","",IF(O52=N52,1,0))</f>
        <v/>
      </c>
      <c r="U52" s="8" t="n"/>
    </row>
    <row r="53">
      <c r="A53" s="7" t="n">
        <v>6</v>
      </c>
      <c r="B53" s="7" t="n">
        <v>2</v>
      </c>
      <c r="C53" s="7" t="inlineStr">
        <is>
          <t>Critical Thinking</t>
        </is>
      </c>
      <c r="D53" s="7" t="inlineStr">
        <is>
          <t>Scored</t>
        </is>
      </c>
      <c r="E53" s="8" t="inlineStr">
        <is>
          <t>A commentator warns: 'If we allow one exception to this rule, the entire system will fall apart within a year.' What's the actual flaw in this reasoning?</t>
        </is>
      </c>
      <c r="F53" s="8" t="inlineStr">
        <is>
          <t>Systems cannot include any rules</t>
        </is>
      </c>
      <c r="G53" s="8" t="inlineStr">
        <is>
          <t>It assumes an extreme outcome from a small exception without justifying the chain of events</t>
        </is>
      </c>
      <c r="H53" s="8" t="inlineStr">
        <is>
          <t>The rule has no purpose</t>
        </is>
      </c>
      <c r="I53" s="8" t="inlineStr">
        <is>
          <t>Exceptions are already common</t>
        </is>
      </c>
      <c r="J53" s="7" t="n"/>
      <c r="K53" s="7" t="n"/>
      <c r="L53" s="7" t="n"/>
      <c r="M53" s="7" t="n"/>
      <c r="N53" s="7" t="inlineStr">
        <is>
          <t>B</t>
        </is>
      </c>
      <c r="O53" s="7" t="n"/>
      <c r="P53" s="7" t="n"/>
      <c r="Q53" s="7" t="n"/>
      <c r="R53" s="7" t="n"/>
      <c r="S53" s="7" t="n"/>
      <c r="T53" s="7">
        <f>IF(O53="","",IF(O53=N53,1,0))</f>
        <v/>
      </c>
      <c r="U53" s="8" t="n"/>
    </row>
    <row r="54">
      <c r="A54" s="7" t="n">
        <v>6</v>
      </c>
      <c r="B54" s="7" t="n">
        <v>3</v>
      </c>
      <c r="C54" s="7" t="inlineStr">
        <is>
          <t>Decision Making</t>
        </is>
      </c>
      <c r="D54" s="7" t="inlineStr">
        <is>
          <t>Scored</t>
        </is>
      </c>
      <c r="E54" s="8" t="inlineStr">
        <is>
          <t>You have 34 minutes. prepare your board exam project takes 19 minutes, submit your college application form takes 15 minutes, and finish the lab report takes 29 minutes. You must skip exactly one of them to fit the other two into your 34 minutes. Which should you skip?</t>
        </is>
      </c>
      <c r="F54" s="8" t="inlineStr">
        <is>
          <t>prepare your board exam project</t>
        </is>
      </c>
      <c r="G54" s="8" t="inlineStr">
        <is>
          <t>It's impossible to fit any two</t>
        </is>
      </c>
      <c r="H54" s="8" t="inlineStr">
        <is>
          <t>submit your college application form</t>
        </is>
      </c>
      <c r="I54" s="8" t="inlineStr">
        <is>
          <t>finish the lab report</t>
        </is>
      </c>
      <c r="J54" s="7" t="n"/>
      <c r="K54" s="7" t="n"/>
      <c r="L54" s="7" t="n"/>
      <c r="M54" s="7" t="n"/>
      <c r="N54" s="7" t="inlineStr">
        <is>
          <t>D</t>
        </is>
      </c>
      <c r="O54" s="7" t="n"/>
      <c r="P54" s="7" t="n"/>
      <c r="Q54" s="7" t="n"/>
      <c r="R54" s="7" t="n"/>
      <c r="S54" s="7" t="n"/>
      <c r="T54" s="7">
        <f>IF(O54="","",IF(O54=N54,1,0))</f>
        <v/>
      </c>
      <c r="U54" s="8" t="n"/>
    </row>
    <row r="55">
      <c r="A55" s="7" t="n">
        <v>6</v>
      </c>
      <c r="B55" s="7" t="n">
        <v>4</v>
      </c>
      <c r="C55" s="7" t="inlineStr">
        <is>
          <t>Mental Math</t>
        </is>
      </c>
      <c r="D55" s="7" t="inlineStr">
        <is>
          <t>Scored</t>
        </is>
      </c>
      <c r="E55" s="8" t="inlineStr">
        <is>
          <t>A recipe mixes cement and sand in a 2:5 ratio. If you use 10 units of cement, how much sand do you need?</t>
        </is>
      </c>
      <c r="F55" s="8" t="inlineStr">
        <is>
          <t>10</t>
        </is>
      </c>
      <c r="G55" s="8" t="inlineStr">
        <is>
          <t>20</t>
        </is>
      </c>
      <c r="H55" s="8" t="inlineStr">
        <is>
          <t>30</t>
        </is>
      </c>
      <c r="I55" s="8" t="inlineStr">
        <is>
          <t>25</t>
        </is>
      </c>
      <c r="J55" s="7" t="n"/>
      <c r="K55" s="7" t="n"/>
      <c r="L55" s="7" t="n"/>
      <c r="M55" s="7" t="n"/>
      <c r="N55" s="7" t="inlineStr">
        <is>
          <t>D</t>
        </is>
      </c>
      <c r="O55" s="7" t="n"/>
      <c r="P55" s="7" t="n"/>
      <c r="Q55" s="7" t="n"/>
      <c r="R55" s="7" t="n"/>
      <c r="S55" s="7" t="n"/>
      <c r="T55" s="7">
        <f>IF(O55="","",IF(O55=N55,1,0))</f>
        <v/>
      </c>
      <c r="U55" s="8" t="n"/>
    </row>
    <row r="56">
      <c r="A56" s="7" t="n">
        <v>6</v>
      </c>
      <c r="B56" s="7" t="n">
        <v>5</v>
      </c>
      <c r="C56" s="7" t="inlineStr">
        <is>
          <t>Cognitive Academia</t>
        </is>
      </c>
      <c r="D56" s="7" t="inlineStr">
        <is>
          <t>Scored</t>
        </is>
      </c>
      <c r="E56" s="8" t="inlineStr">
        <is>
          <t>What comes next in this pattern: 1, 3, 6, 10, ?</t>
        </is>
      </c>
      <c r="F56" s="8" t="inlineStr">
        <is>
          <t>18</t>
        </is>
      </c>
      <c r="G56" s="8" t="inlineStr">
        <is>
          <t>12</t>
        </is>
      </c>
      <c r="H56" s="8" t="inlineStr">
        <is>
          <t>16</t>
        </is>
      </c>
      <c r="I56" s="8" t="inlineStr">
        <is>
          <t>15</t>
        </is>
      </c>
      <c r="J56" s="7" t="n"/>
      <c r="K56" s="7" t="n"/>
      <c r="L56" s="7" t="n"/>
      <c r="M56" s="7" t="n"/>
      <c r="N56" s="7" t="inlineStr">
        <is>
          <t>D</t>
        </is>
      </c>
      <c r="O56" s="7" t="n"/>
      <c r="P56" s="7" t="n"/>
      <c r="Q56" s="7" t="n"/>
      <c r="R56" s="7" t="n"/>
      <c r="S56" s="7" t="n"/>
      <c r="T56" s="7">
        <f>IF(O56="","",IF(O56=N56,1,0))</f>
        <v/>
      </c>
      <c r="U56" s="8" t="n"/>
    </row>
    <row r="57">
      <c r="A57" s="7" t="n">
        <v>6</v>
      </c>
      <c r="B57" s="7" t="n">
        <v>6</v>
      </c>
      <c r="C57" s="7" t="inlineStr">
        <is>
          <t>Leadership / Communication / Emotional &amp; Social</t>
        </is>
      </c>
      <c r="D57" s="7" t="inlineStr">
        <is>
          <t>Self-report (most/least)</t>
        </is>
      </c>
      <c r="E57" s="8" t="inlineStr">
        <is>
          <t>A close friend is spiralling about their exam results and texting you at 1am.</t>
        </is>
      </c>
      <c r="F57" s="8" t="inlineStr">
        <is>
          <t>You'd need more time before reacting at all</t>
        </is>
      </c>
      <c r="G57" s="8" t="inlineStr">
        <is>
          <t>You naturally end up being the one who decides</t>
        </is>
      </c>
      <c r="H57" s="8" t="inlineStr">
        <is>
          <t>You like structuring your thoughts before speaking</t>
        </is>
      </c>
      <c r="I57" s="8" t="inlineStr">
        <is>
          <t>You enjoy helping a friend work through a tough problem</t>
        </is>
      </c>
      <c r="J57" s="7" t="inlineStr"/>
      <c r="K57" s="7" t="inlineStr">
        <is>
          <t>LD</t>
        </is>
      </c>
      <c r="L57" s="7" t="inlineStr">
        <is>
          <t>CM</t>
        </is>
      </c>
      <c r="M57" s="7" t="inlineStr">
        <is>
          <t>ES</t>
        </is>
      </c>
      <c r="N57" s="7" t="n"/>
      <c r="O57" s="7" t="n"/>
      <c r="P57" s="7" t="n"/>
      <c r="Q57" s="7" t="n"/>
      <c r="R57" s="7">
        <f>IFERROR(INDEX(J57:M57,MATCH(P57,{"A","B","C","D"},0)),"")</f>
        <v/>
      </c>
      <c r="S57" s="7">
        <f>IFERROR(INDEX(J57:M57,MATCH(Q57,{"A","B","C","D"},0)),"")</f>
        <v/>
      </c>
      <c r="T57" s="7" t="n"/>
      <c r="U57" s="8" t="n"/>
    </row>
    <row r="58">
      <c r="A58" s="7" t="n">
        <v>6</v>
      </c>
      <c r="B58" s="7" t="n">
        <v>7</v>
      </c>
      <c r="C58" s="7" t="inlineStr">
        <is>
          <t>Leadership / Communication / Emotional &amp; Social</t>
        </is>
      </c>
      <c r="D58" s="7" t="inlineStr">
        <is>
          <t>Self-report (most/least)</t>
        </is>
      </c>
      <c r="E58" s="8" t="inlineStr">
        <is>
          <t>Your team's startup pitch for the school competition just got torn apart by the judges' first question.</t>
        </is>
      </c>
      <c r="F58" s="8" t="inlineStr">
        <is>
          <t>You naturally take charge when a team lacks direction</t>
        </is>
      </c>
      <c r="G58" s="8" t="inlineStr">
        <is>
          <t>You explain your reasoning clearly so others follow it</t>
        </is>
      </c>
      <c r="H58" s="8" t="inlineStr">
        <is>
          <t>You'd rather wait and see what others do first</t>
        </is>
      </c>
      <c r="I58" s="8" t="inlineStr">
        <is>
          <t>You notice when a friend is under pressure</t>
        </is>
      </c>
      <c r="J58" s="7" t="inlineStr">
        <is>
          <t>LD</t>
        </is>
      </c>
      <c r="K58" s="7" t="inlineStr">
        <is>
          <t>CM</t>
        </is>
      </c>
      <c r="L58" s="7" t="inlineStr"/>
      <c r="M58" s="7" t="inlineStr">
        <is>
          <t>ES</t>
        </is>
      </c>
      <c r="N58" s="7" t="n"/>
      <c r="O58" s="7" t="n"/>
      <c r="P58" s="7" t="n"/>
      <c r="Q58" s="7" t="n"/>
      <c r="R58" s="7">
        <f>IFERROR(INDEX(J58:M58,MATCH(P58,{"A","B","C","D"},0)),"")</f>
        <v/>
      </c>
      <c r="S58" s="7">
        <f>IFERROR(INDEX(J58:M58,MATCH(Q58,{"A","B","C","D"},0)),"")</f>
        <v/>
      </c>
      <c r="T58" s="7" t="n"/>
      <c r="U58" s="8" t="n"/>
    </row>
    <row r="59">
      <c r="A59" s="7" t="n">
        <v>6</v>
      </c>
      <c r="B59" s="7" t="n">
        <v>8</v>
      </c>
      <c r="C59" s="7" t="inlineStr">
        <is>
          <t>Leadership / Communication / Emotional &amp; Social</t>
        </is>
      </c>
      <c r="D59" s="7" t="inlineStr">
        <is>
          <t>Self-report (most/least)</t>
        </is>
      </c>
      <c r="E59" s="8" t="inlineStr">
        <is>
          <t>You're the only one in your friend group who thinks a popular decision the class made is a bad idea.</t>
        </is>
      </c>
      <c r="F59" s="8" t="inlineStr">
        <is>
          <t>You'd step back and observe before choosing any of these</t>
        </is>
      </c>
      <c r="G59" s="8" t="inlineStr">
        <is>
          <t>You step up to lead when no one else volunteers</t>
        </is>
      </c>
      <c r="H59" s="8" t="inlineStr">
        <is>
          <t>You enjoy writing essays or giving structured presentations</t>
        </is>
      </c>
      <c r="I59" s="8" t="inlineStr">
        <is>
          <t>You're good at helping a stressed friend feel better</t>
        </is>
      </c>
      <c r="J59" s="7" t="inlineStr"/>
      <c r="K59" s="7" t="inlineStr">
        <is>
          <t>LD</t>
        </is>
      </c>
      <c r="L59" s="7" t="inlineStr">
        <is>
          <t>CM</t>
        </is>
      </c>
      <c r="M59" s="7" t="inlineStr">
        <is>
          <t>ES</t>
        </is>
      </c>
      <c r="N59" s="7" t="n"/>
      <c r="O59" s="7" t="n"/>
      <c r="P59" s="7" t="n"/>
      <c r="Q59" s="7" t="n"/>
      <c r="R59" s="7">
        <f>IFERROR(INDEX(J59:M59,MATCH(P59,{"A","B","C","D"},0)),"")</f>
        <v/>
      </c>
      <c r="S59" s="7">
        <f>IFERROR(INDEX(J59:M59,MATCH(Q59,{"A","B","C","D"},0)),"")</f>
        <v/>
      </c>
      <c r="T59" s="7" t="n"/>
      <c r="U59" s="8" t="n"/>
    </row>
    <row r="60">
      <c r="A60" s="7" t="n">
        <v>6</v>
      </c>
      <c r="B60" s="7" t="n">
        <v>9</v>
      </c>
      <c r="C60" s="7" t="inlineStr">
        <is>
          <t>Creative Skills</t>
        </is>
      </c>
      <c r="D60" s="7" t="inlineStr">
        <is>
          <t>Open-ended (not auto-scored)</t>
        </is>
      </c>
      <c r="E60" s="8" t="inlineStr">
        <is>
          <t>Design an app that would help students choose a career path in a genuinely useful way.</t>
        </is>
      </c>
      <c r="F60" s="8" t="n"/>
      <c r="G60" s="8" t="n"/>
      <c r="H60" s="8" t="n"/>
      <c r="I60" s="8" t="n"/>
      <c r="J60" s="7" t="n"/>
      <c r="K60" s="7" t="n"/>
      <c r="L60" s="7" t="n"/>
      <c r="M60" s="7" t="n"/>
      <c r="N60" s="7" t="n"/>
      <c r="O60" s="7" t="n"/>
      <c r="P60" s="7" t="n"/>
      <c r="Q60" s="7" t="n"/>
      <c r="R60" s="7" t="n"/>
      <c r="S60" s="7" t="n"/>
      <c r="T60" s="7" t="n"/>
      <c r="U60" s="8" t="n"/>
    </row>
    <row r="61">
      <c r="A61" s="7" t="n">
        <v>6</v>
      </c>
      <c r="B61" s="7" t="n">
        <v>10</v>
      </c>
      <c r="C61" s="7" t="inlineStr">
        <is>
          <t>Listening Skills</t>
        </is>
      </c>
      <c r="D61" s="7" t="inlineStr">
        <is>
          <t>Scored</t>
        </is>
      </c>
      <c r="E61" s="8" t="inlineStr">
        <is>
          <t>[Read once, then answer without re-reading] “At the inter-school quiz, the team buzzed in first, answered the bonus round, and then checked the scoreboard.”  ||  What happened right after the first thing mentioned?</t>
        </is>
      </c>
      <c r="F61" s="8" t="inlineStr">
        <is>
          <t>checked the scoreboard</t>
        </is>
      </c>
      <c r="G61" s="8" t="inlineStr">
        <is>
          <t>answered the bonus round</t>
        </is>
      </c>
      <c r="H61" s="8" t="inlineStr">
        <is>
          <t>received the trophy</t>
        </is>
      </c>
      <c r="I61" s="8" t="inlineStr">
        <is>
          <t>buzzed in first</t>
        </is>
      </c>
      <c r="J61" s="7" t="n"/>
      <c r="K61" s="7" t="n"/>
      <c r="L61" s="7" t="n"/>
      <c r="M61" s="7" t="n"/>
      <c r="N61" s="7" t="inlineStr">
        <is>
          <t>B</t>
        </is>
      </c>
      <c r="O61" s="7" t="n"/>
      <c r="P61" s="7" t="n"/>
      <c r="Q61" s="7" t="n"/>
      <c r="R61" s="7" t="n"/>
      <c r="S61" s="7" t="n"/>
      <c r="T61" s="7">
        <f>IF(O61="","",IF(O61=N61,1,0))</f>
        <v/>
      </c>
      <c r="U61" s="8" t="n"/>
    </row>
    <row r="62">
      <c r="A62" s="5" t="n">
        <v>7</v>
      </c>
      <c r="B62" s="5" t="n">
        <v>1</v>
      </c>
      <c r="C62" s="5" t="inlineStr">
        <is>
          <t>Problem Solving</t>
        </is>
      </c>
      <c r="D62" s="5" t="inlineStr">
        <is>
          <t>Scored</t>
        </is>
      </c>
      <c r="E62" s="6" t="inlineStr">
        <is>
          <t>Three students — Noah, Chen, Ishaan — are seated for the debate in a row. Noah is not in the middle. Ishaan is not first. Chen is not first. Ishaan is not last. Who is last?</t>
        </is>
      </c>
      <c r="F62" s="6" t="inlineStr">
        <is>
          <t>Ishaan</t>
        </is>
      </c>
      <c r="G62" s="6" t="inlineStr">
        <is>
          <t>Noah</t>
        </is>
      </c>
      <c r="H62" s="6" t="inlineStr">
        <is>
          <t>Cannot be determined</t>
        </is>
      </c>
      <c r="I62" s="6" t="inlineStr">
        <is>
          <t>Chen</t>
        </is>
      </c>
      <c r="J62" s="5" t="n"/>
      <c r="K62" s="5" t="n"/>
      <c r="L62" s="5" t="n"/>
      <c r="M62" s="5" t="n"/>
      <c r="N62" s="5" t="inlineStr">
        <is>
          <t>D</t>
        </is>
      </c>
      <c r="O62" s="5" t="n"/>
      <c r="P62" s="5" t="n"/>
      <c r="Q62" s="5" t="n"/>
      <c r="R62" s="5" t="n"/>
      <c r="S62" s="5" t="n"/>
      <c r="T62" s="5">
        <f>IF(O62="","",IF(O62=N62,1,0))</f>
        <v/>
      </c>
      <c r="U62" s="6" t="n"/>
    </row>
    <row r="63">
      <c r="A63" s="5" t="n">
        <v>7</v>
      </c>
      <c r="B63" s="5" t="n">
        <v>2</v>
      </c>
      <c r="C63" s="5" t="inlineStr">
        <is>
          <t>Critical Thinking</t>
        </is>
      </c>
      <c r="D63" s="5" t="inlineStr">
        <is>
          <t>Scored</t>
        </is>
      </c>
      <c r="E63" s="6" t="inlineStr">
        <is>
          <t>Person A argues for stricter recycling laws. Person B replies: 'So you want to ban all packaging entirely?' What's the actual flaw in this reasoning?</t>
        </is>
      </c>
      <c r="F63" s="6" t="inlineStr">
        <is>
          <t>Packaging bans already exist</t>
        </is>
      </c>
      <c r="G63" s="6" t="inlineStr">
        <is>
          <t>Person A never mentioned recycling</t>
        </is>
      </c>
      <c r="H63" s="6" t="inlineStr">
        <is>
          <t>Person B supports stricter recycling</t>
        </is>
      </c>
      <c r="I63" s="6" t="inlineStr">
        <is>
          <t>Person B is exaggerating A's actual, more moderate position</t>
        </is>
      </c>
      <c r="J63" s="5" t="n"/>
      <c r="K63" s="5" t="n"/>
      <c r="L63" s="5" t="n"/>
      <c r="M63" s="5" t="n"/>
      <c r="N63" s="5" t="inlineStr">
        <is>
          <t>D</t>
        </is>
      </c>
      <c r="O63" s="5" t="n"/>
      <c r="P63" s="5" t="n"/>
      <c r="Q63" s="5" t="n"/>
      <c r="R63" s="5" t="n"/>
      <c r="S63" s="5" t="n"/>
      <c r="T63" s="5">
        <f>IF(O63="","",IF(O63=N63,1,0))</f>
        <v/>
      </c>
      <c r="U63" s="6" t="n"/>
    </row>
    <row r="64">
      <c r="A64" s="5" t="n">
        <v>7</v>
      </c>
      <c r="B64" s="5" t="n">
        <v>3</v>
      </c>
      <c r="C64" s="5" t="inlineStr">
        <is>
          <t>Decision Making</t>
        </is>
      </c>
      <c r="D64" s="5" t="inlineStr">
        <is>
          <t>Scored</t>
        </is>
      </c>
      <c r="E64" s="6" t="inlineStr">
        <is>
          <t>You only have time for ONE of these right now. Which gives the best value for the effort it takes?</t>
        </is>
      </c>
      <c r="F64" s="6" t="inlineStr">
        <is>
          <t>They are all equally good choices</t>
        </is>
      </c>
      <c r="G64" s="6" t="inlineStr">
        <is>
          <t>submit your college application form (effort 4, value 15)</t>
        </is>
      </c>
      <c r="H64" s="6" t="inlineStr">
        <is>
          <t>register for the entrance exam (effort 2, value 6)</t>
        </is>
      </c>
      <c r="I64" s="6" t="inlineStr">
        <is>
          <t>prepare your board exam project (effort 8, value 17)</t>
        </is>
      </c>
      <c r="J64" s="5" t="n"/>
      <c r="K64" s="5" t="n"/>
      <c r="L64" s="5" t="n"/>
      <c r="M64" s="5" t="n"/>
      <c r="N64" s="5" t="inlineStr">
        <is>
          <t>B</t>
        </is>
      </c>
      <c r="O64" s="5" t="n"/>
      <c r="P64" s="5" t="n"/>
      <c r="Q64" s="5" t="n"/>
      <c r="R64" s="5" t="n"/>
      <c r="S64" s="5" t="n"/>
      <c r="T64" s="5">
        <f>IF(O64="","",IF(O64=N64,1,0))</f>
        <v/>
      </c>
      <c r="U64" s="6" t="n"/>
    </row>
    <row r="65">
      <c r="A65" s="5" t="n">
        <v>7</v>
      </c>
      <c r="B65" s="5" t="n">
        <v>4</v>
      </c>
      <c r="C65" s="5" t="inlineStr">
        <is>
          <t>Mental Math</t>
        </is>
      </c>
      <c r="D65" s="5" t="inlineStr">
        <is>
          <t>Scored</t>
        </is>
      </c>
      <c r="E65" s="6" t="inlineStr">
        <is>
          <t>I'm thinking of a number. If you add 22, then double it, then add 27, you get 131. What's my number?</t>
        </is>
      </c>
      <c r="F65" s="6" t="inlineStr">
        <is>
          <t>32</t>
        </is>
      </c>
      <c r="G65" s="6" t="inlineStr">
        <is>
          <t>30</t>
        </is>
      </c>
      <c r="H65" s="6" t="inlineStr">
        <is>
          <t>31</t>
        </is>
      </c>
      <c r="I65" s="6" t="inlineStr">
        <is>
          <t>29</t>
        </is>
      </c>
      <c r="J65" s="5" t="n"/>
      <c r="K65" s="5" t="n"/>
      <c r="L65" s="5" t="n"/>
      <c r="M65" s="5" t="n"/>
      <c r="N65" s="5" t="inlineStr">
        <is>
          <t>B</t>
        </is>
      </c>
      <c r="O65" s="5" t="n"/>
      <c r="P65" s="5" t="n"/>
      <c r="Q65" s="5" t="n"/>
      <c r="R65" s="5" t="n"/>
      <c r="S65" s="5" t="n"/>
      <c r="T65" s="5">
        <f>IF(O65="","",IF(O65=N65,1,0))</f>
        <v/>
      </c>
      <c r="U65" s="6" t="n"/>
    </row>
    <row r="66">
      <c r="A66" s="5" t="n">
        <v>7</v>
      </c>
      <c r="B66" s="5" t="n">
        <v>5</v>
      </c>
      <c r="C66" s="5" t="inlineStr">
        <is>
          <t>Cognitive Academia</t>
        </is>
      </c>
      <c r="D66" s="5" t="inlineStr">
        <is>
          <t>Scored</t>
        </is>
      </c>
      <c r="E66" s="6" t="inlineStr">
        <is>
          <t>What comes next in this pattern: 1, 4, 9, 16, ?</t>
        </is>
      </c>
      <c r="F66" s="6" t="inlineStr">
        <is>
          <t>22</t>
        </is>
      </c>
      <c r="G66" s="6" t="inlineStr">
        <is>
          <t>27</t>
        </is>
      </c>
      <c r="H66" s="6" t="inlineStr">
        <is>
          <t>28</t>
        </is>
      </c>
      <c r="I66" s="6" t="inlineStr">
        <is>
          <t>25</t>
        </is>
      </c>
      <c r="J66" s="5" t="n"/>
      <c r="K66" s="5" t="n"/>
      <c r="L66" s="5" t="n"/>
      <c r="M66" s="5" t="n"/>
      <c r="N66" s="5" t="inlineStr">
        <is>
          <t>D</t>
        </is>
      </c>
      <c r="O66" s="5" t="n"/>
      <c r="P66" s="5" t="n"/>
      <c r="Q66" s="5" t="n"/>
      <c r="R66" s="5" t="n"/>
      <c r="S66" s="5" t="n"/>
      <c r="T66" s="5">
        <f>IF(O66="","",IF(O66=N66,1,0))</f>
        <v/>
      </c>
      <c r="U66" s="6" t="n"/>
    </row>
    <row r="67">
      <c r="A67" s="5" t="n">
        <v>7</v>
      </c>
      <c r="B67" s="5" t="n">
        <v>6</v>
      </c>
      <c r="C67" s="5" t="inlineStr">
        <is>
          <t>Leadership / Communication / Emotional &amp; Social</t>
        </is>
      </c>
      <c r="D67" s="5" t="inlineStr">
        <is>
          <t>Self-report (most/least)</t>
        </is>
      </c>
      <c r="E67" s="6" t="inlineStr">
        <is>
          <t>Your science project partner wants to falsify a data point to make the results look cleaner.</t>
        </is>
      </c>
      <c r="F67" s="6" t="inlineStr">
        <is>
          <t>You find the right words to explain something nuanced</t>
        </is>
      </c>
      <c r="G67" s="6" t="inlineStr">
        <is>
          <t>You like setting clear goals for a team</t>
        </is>
      </c>
      <c r="H67" s="6" t="inlineStr">
        <is>
          <t>You're comfortable meeting people outside your usual circle</t>
        </is>
      </c>
      <c r="I67" s="6" t="inlineStr">
        <is>
          <t>You'd rather wait and see what others do first</t>
        </is>
      </c>
      <c r="J67" s="5" t="inlineStr">
        <is>
          <t>CM</t>
        </is>
      </c>
      <c r="K67" s="5" t="inlineStr">
        <is>
          <t>LD</t>
        </is>
      </c>
      <c r="L67" s="5" t="inlineStr">
        <is>
          <t>ES</t>
        </is>
      </c>
      <c r="M67" s="5" t="inlineStr"/>
      <c r="N67" s="5" t="n"/>
      <c r="O67" s="5" t="n"/>
      <c r="P67" s="5" t="n"/>
      <c r="Q67" s="5" t="n"/>
      <c r="R67" s="5">
        <f>IFERROR(INDEX(J67:M67,MATCH(P67,{"A","B","C","D"},0)),"")</f>
        <v/>
      </c>
      <c r="S67" s="5">
        <f>IFERROR(INDEX(J67:M67,MATCH(Q67,{"A","B","C","D"},0)),"")</f>
        <v/>
      </c>
      <c r="T67" s="5" t="n"/>
      <c r="U67" s="6" t="n"/>
    </row>
    <row r="68">
      <c r="A68" s="5" t="n">
        <v>7</v>
      </c>
      <c r="B68" s="5" t="n">
        <v>7</v>
      </c>
      <c r="C68" s="5" t="inlineStr">
        <is>
          <t>Leadership / Communication / Emotional &amp; Social</t>
        </is>
      </c>
      <c r="D68" s="5" t="inlineStr">
        <is>
          <t>Self-report (most/least)</t>
        </is>
      </c>
      <c r="E68" s="6" t="inlineStr">
        <is>
          <t>You're asked to lead a study group the week before finals, right when you need to study yourself.</t>
        </is>
      </c>
      <c r="F68" s="6" t="inlineStr">
        <is>
          <t>You check that your audience understood your point</t>
        </is>
      </c>
      <c r="G68" s="6" t="inlineStr">
        <is>
          <t>You stay patient even under pressure</t>
        </is>
      </c>
      <c r="H68" s="6" t="inlineStr">
        <is>
          <t>You enjoy leading during group projects or events</t>
        </is>
      </c>
      <c r="I68" s="6" t="inlineStr">
        <is>
          <t>You'd step back and observe before choosing any of these</t>
        </is>
      </c>
      <c r="J68" s="5" t="inlineStr">
        <is>
          <t>CM</t>
        </is>
      </c>
      <c r="K68" s="5" t="inlineStr">
        <is>
          <t>ES</t>
        </is>
      </c>
      <c r="L68" s="5" t="inlineStr">
        <is>
          <t>LD</t>
        </is>
      </c>
      <c r="M68" s="5" t="inlineStr"/>
      <c r="N68" s="5" t="n"/>
      <c r="O68" s="5" t="n"/>
      <c r="P68" s="5" t="n"/>
      <c r="Q68" s="5" t="n"/>
      <c r="R68" s="5">
        <f>IFERROR(INDEX(J68:M68,MATCH(P68,{"A","B","C","D"},0)),"")</f>
        <v/>
      </c>
      <c r="S68" s="5">
        <f>IFERROR(INDEX(J68:M68,MATCH(Q68,{"A","B","C","D"},0)),"")</f>
        <v/>
      </c>
      <c r="T68" s="5" t="n"/>
      <c r="U68" s="6" t="n"/>
    </row>
    <row r="69">
      <c r="A69" s="5" t="n">
        <v>7</v>
      </c>
      <c r="B69" s="5" t="n">
        <v>8</v>
      </c>
      <c r="C69" s="5" t="inlineStr">
        <is>
          <t>Leadership / Communication / Emotional &amp; Social</t>
        </is>
      </c>
      <c r="D69" s="5" t="inlineStr">
        <is>
          <t>Self-report (most/least)</t>
        </is>
      </c>
      <c r="E69" s="6" t="inlineStr">
        <is>
          <t>Your debate partner freezes mid-argument in the final round, and it's your turn to jump in.</t>
        </is>
      </c>
      <c r="F69" s="6" t="inlineStr">
        <is>
          <t>You notice subtle changes in a friend's mood</t>
        </is>
      </c>
      <c r="G69" s="6" t="inlineStr">
        <is>
          <t>You enjoy explaining your reasoning to teachers or peers</t>
        </is>
      </c>
      <c r="H69" s="6" t="inlineStr">
        <is>
          <t>None of these feel like you in this moment</t>
        </is>
      </c>
      <c r="I69" s="6" t="inlineStr">
        <is>
          <t>You like guiding a team toward a shared outcome</t>
        </is>
      </c>
      <c r="J69" s="5" t="inlineStr">
        <is>
          <t>ES</t>
        </is>
      </c>
      <c r="K69" s="5" t="inlineStr">
        <is>
          <t>CM</t>
        </is>
      </c>
      <c r="L69" s="5" t="inlineStr"/>
      <c r="M69" s="5" t="inlineStr">
        <is>
          <t>LD</t>
        </is>
      </c>
      <c r="N69" s="5" t="n"/>
      <c r="O69" s="5" t="n"/>
      <c r="P69" s="5" t="n"/>
      <c r="Q69" s="5" t="n"/>
      <c r="R69" s="5">
        <f>IFERROR(INDEX(J69:M69,MATCH(P69,{"A","B","C","D"},0)),"")</f>
        <v/>
      </c>
      <c r="S69" s="5">
        <f>IFERROR(INDEX(J69:M69,MATCH(Q69,{"A","B","C","D"},0)),"")</f>
        <v/>
      </c>
      <c r="T69" s="5" t="n"/>
      <c r="U69" s="6" t="n"/>
    </row>
    <row r="70">
      <c r="A70" s="5" t="n">
        <v>7</v>
      </c>
      <c r="B70" s="5" t="n">
        <v>9</v>
      </c>
      <c r="C70" s="5" t="inlineStr">
        <is>
          <t>Creative Skills</t>
        </is>
      </c>
      <c r="D70" s="5" t="inlineStr">
        <is>
          <t>Open-ended (not auto-scored)</t>
        </is>
      </c>
      <c r="E70" s="6" t="inlineStr">
        <is>
          <t>Invent a new format for school assemblies that students would actually look forward to.</t>
        </is>
      </c>
      <c r="F70" s="6" t="n"/>
      <c r="G70" s="6" t="n"/>
      <c r="H70" s="6" t="n"/>
      <c r="I70" s="6" t="n"/>
      <c r="J70" s="5" t="n"/>
      <c r="K70" s="5" t="n"/>
      <c r="L70" s="5" t="n"/>
      <c r="M70" s="5" t="n"/>
      <c r="N70" s="5" t="n"/>
      <c r="O70" s="5" t="n"/>
      <c r="P70" s="5" t="n"/>
      <c r="Q70" s="5" t="n"/>
      <c r="R70" s="5" t="n"/>
      <c r="S70" s="5" t="n"/>
      <c r="T70" s="5" t="n"/>
      <c r="U70" s="6" t="n"/>
    </row>
    <row r="71">
      <c r="A71" s="5" t="n">
        <v>7</v>
      </c>
      <c r="B71" s="5" t="n">
        <v>10</v>
      </c>
      <c r="C71" s="5" t="inlineStr">
        <is>
          <t>Listening Skills</t>
        </is>
      </c>
      <c r="D71" s="5" t="inlineStr">
        <is>
          <t>Scored</t>
        </is>
      </c>
      <c r="E71" s="6" t="inlineStr">
        <is>
          <t>[Read once, then answer without re-reading] “Before the internship interview, Omar researched the company, prepared three questions, and finally rehearsed his introduction.”  ||  What happened last?</t>
        </is>
      </c>
      <c r="F71" s="6" t="inlineStr">
        <is>
          <t>rehearsed his introduction</t>
        </is>
      </c>
      <c r="G71" s="6" t="inlineStr">
        <is>
          <t>researched the company</t>
        </is>
      </c>
      <c r="H71" s="6" t="inlineStr">
        <is>
          <t>prepared three questions</t>
        </is>
      </c>
      <c r="I71" s="6" t="inlineStr">
        <is>
          <t>signed an offer letter</t>
        </is>
      </c>
      <c r="J71" s="5" t="n"/>
      <c r="K71" s="5" t="n"/>
      <c r="L71" s="5" t="n"/>
      <c r="M71" s="5" t="n"/>
      <c r="N71" s="5" t="inlineStr">
        <is>
          <t>A</t>
        </is>
      </c>
      <c r="O71" s="5" t="n"/>
      <c r="P71" s="5" t="n"/>
      <c r="Q71" s="5" t="n"/>
      <c r="R71" s="5" t="n"/>
      <c r="S71" s="5" t="n"/>
      <c r="T71" s="5">
        <f>IF(O71="","",IF(O71=N71,1,0))</f>
        <v/>
      </c>
      <c r="U71" s="6" t="n"/>
    </row>
    <row r="72">
      <c r="A72" s="7" t="n">
        <v>8</v>
      </c>
      <c r="B72" s="7" t="n">
        <v>1</v>
      </c>
      <c r="C72" s="7" t="inlineStr">
        <is>
          <t>Problem Solving</t>
        </is>
      </c>
      <c r="D72" s="7" t="inlineStr">
        <is>
          <t>Scored</t>
        </is>
      </c>
      <c r="E72" s="8" t="inlineStr">
        <is>
          <t>Three students — Ben, Hana, Tariq — are seated for the debate in a row. Tariq is not in the middle. Hana is not in the middle. Hana is not first. Who is last?</t>
        </is>
      </c>
      <c r="F72" s="8" t="inlineStr">
        <is>
          <t>Hana</t>
        </is>
      </c>
      <c r="G72" s="8" t="inlineStr">
        <is>
          <t>Cannot be determined</t>
        </is>
      </c>
      <c r="H72" s="8" t="inlineStr">
        <is>
          <t>Tariq</t>
        </is>
      </c>
      <c r="I72" s="8" t="inlineStr">
        <is>
          <t>Ben</t>
        </is>
      </c>
      <c r="J72" s="7" t="n"/>
      <c r="K72" s="7" t="n"/>
      <c r="L72" s="7" t="n"/>
      <c r="M72" s="7" t="n"/>
      <c r="N72" s="7" t="inlineStr">
        <is>
          <t>A</t>
        </is>
      </c>
      <c r="O72" s="7" t="n"/>
      <c r="P72" s="7" t="n"/>
      <c r="Q72" s="7" t="n"/>
      <c r="R72" s="7" t="n"/>
      <c r="S72" s="7" t="n"/>
      <c r="T72" s="7">
        <f>IF(O72="","",IF(O72=N72,1,0))</f>
        <v/>
      </c>
      <c r="U72" s="8" t="n"/>
    </row>
    <row r="73">
      <c r="A73" s="7" t="n">
        <v>8</v>
      </c>
      <c r="B73" s="7" t="n">
        <v>2</v>
      </c>
      <c r="C73" s="7" t="inlineStr">
        <is>
          <t>Critical Thinking</t>
        </is>
      </c>
      <c r="D73" s="7" t="inlineStr">
        <is>
          <t>Scored</t>
        </is>
      </c>
      <c r="E73" s="8" t="inlineStr">
        <is>
          <t>An ad claims a supplement works because a well-known actor recommends it. What's the actual flaw in this reasoning?</t>
        </is>
      </c>
      <c r="F73" s="8" t="inlineStr">
        <is>
          <t>Supplements cannot be advertised</t>
        </is>
      </c>
      <c r="G73" s="8" t="inlineStr">
        <is>
          <t>The actor has no relevant expertise on the supplement's actual effects</t>
        </is>
      </c>
      <c r="H73" s="8" t="inlineStr">
        <is>
          <t>The actor invented the supplement</t>
        </is>
      </c>
      <c r="I73" s="8" t="inlineStr">
        <is>
          <t>The actor is a licensed nutritionist</t>
        </is>
      </c>
      <c r="J73" s="7" t="n"/>
      <c r="K73" s="7" t="n"/>
      <c r="L73" s="7" t="n"/>
      <c r="M73" s="7" t="n"/>
      <c r="N73" s="7" t="inlineStr">
        <is>
          <t>B</t>
        </is>
      </c>
      <c r="O73" s="7" t="n"/>
      <c r="P73" s="7" t="n"/>
      <c r="Q73" s="7" t="n"/>
      <c r="R73" s="7" t="n"/>
      <c r="S73" s="7" t="n"/>
      <c r="T73" s="7">
        <f>IF(O73="","",IF(O73=N73,1,0))</f>
        <v/>
      </c>
      <c r="U73" s="8" t="n"/>
    </row>
    <row r="74">
      <c r="A74" s="7" t="n">
        <v>8</v>
      </c>
      <c r="B74" s="7" t="n">
        <v>3</v>
      </c>
      <c r="C74" s="7" t="inlineStr">
        <is>
          <t>Decision Making</t>
        </is>
      </c>
      <c r="D74" s="7" t="inlineStr">
        <is>
          <t>Scored</t>
        </is>
      </c>
      <c r="E74" s="8" t="inlineStr">
        <is>
          <t>You have 40 minutes. register for the entrance exam takes 24 minutes, finish the lab report takes 16 minutes, and prepare your board exam project takes 33 minutes. You must skip exactly one of them to fit the other two into your 40 minutes. Which should you skip?</t>
        </is>
      </c>
      <c r="F74" s="8" t="inlineStr">
        <is>
          <t>It's impossible to fit any two</t>
        </is>
      </c>
      <c r="G74" s="8" t="inlineStr">
        <is>
          <t>prepare your board exam project</t>
        </is>
      </c>
      <c r="H74" s="8" t="inlineStr">
        <is>
          <t>finish the lab report</t>
        </is>
      </c>
      <c r="I74" s="8" t="inlineStr">
        <is>
          <t>register for the entrance exam</t>
        </is>
      </c>
      <c r="J74" s="7" t="n"/>
      <c r="K74" s="7" t="n"/>
      <c r="L74" s="7" t="n"/>
      <c r="M74" s="7" t="n"/>
      <c r="N74" s="7" t="inlineStr">
        <is>
          <t>B</t>
        </is>
      </c>
      <c r="O74" s="7" t="n"/>
      <c r="P74" s="7" t="n"/>
      <c r="Q74" s="7" t="n"/>
      <c r="R74" s="7" t="n"/>
      <c r="S74" s="7" t="n"/>
      <c r="T74" s="7">
        <f>IF(O74="","",IF(O74=N74,1,0))</f>
        <v/>
      </c>
      <c r="U74" s="8" t="n"/>
    </row>
    <row r="75">
      <c r="A75" s="7" t="n">
        <v>8</v>
      </c>
      <c r="B75" s="7" t="n">
        <v>4</v>
      </c>
      <c r="C75" s="7" t="inlineStr">
        <is>
          <t>Mental Math</t>
        </is>
      </c>
      <c r="D75" s="7" t="inlineStr">
        <is>
          <t>Scored</t>
        </is>
      </c>
      <c r="E75" s="8" t="inlineStr">
        <is>
          <t>After spending 29 and later receiving 12 as a gift, Tara has 25. How much did Tara start with?</t>
        </is>
      </c>
      <c r="F75" s="8" t="inlineStr">
        <is>
          <t>30</t>
        </is>
      </c>
      <c r="G75" s="8" t="inlineStr">
        <is>
          <t>25</t>
        </is>
      </c>
      <c r="H75" s="8" t="inlineStr">
        <is>
          <t>71</t>
        </is>
      </c>
      <c r="I75" s="8" t="inlineStr">
        <is>
          <t>42</t>
        </is>
      </c>
      <c r="J75" s="7" t="n"/>
      <c r="K75" s="7" t="n"/>
      <c r="L75" s="7" t="n"/>
      <c r="M75" s="7" t="n"/>
      <c r="N75" s="7" t="inlineStr">
        <is>
          <t>D</t>
        </is>
      </c>
      <c r="O75" s="7" t="n"/>
      <c r="P75" s="7" t="n"/>
      <c r="Q75" s="7" t="n"/>
      <c r="R75" s="7" t="n"/>
      <c r="S75" s="7" t="n"/>
      <c r="T75" s="7">
        <f>IF(O75="","",IF(O75=N75,1,0))</f>
        <v/>
      </c>
      <c r="U75" s="8" t="n"/>
    </row>
    <row r="76">
      <c r="A76" s="7" t="n">
        <v>8</v>
      </c>
      <c r="B76" s="7" t="n">
        <v>5</v>
      </c>
      <c r="C76" s="7" t="inlineStr">
        <is>
          <t>Cognitive Academia</t>
        </is>
      </c>
      <c r="D76" s="7" t="inlineStr">
        <is>
          <t>Scored</t>
        </is>
      </c>
      <c r="E76" s="8" t="inlineStr">
        <is>
          <t>What comes next in this pattern: 2, 4, 8, 10, 20, ?</t>
        </is>
      </c>
      <c r="F76" s="8" t="inlineStr">
        <is>
          <t>30</t>
        </is>
      </c>
      <c r="G76" s="8" t="inlineStr">
        <is>
          <t>18</t>
        </is>
      </c>
      <c r="H76" s="8" t="inlineStr">
        <is>
          <t>22</t>
        </is>
      </c>
      <c r="I76" s="8" t="inlineStr">
        <is>
          <t>25</t>
        </is>
      </c>
      <c r="J76" s="7" t="n"/>
      <c r="K76" s="7" t="n"/>
      <c r="L76" s="7" t="n"/>
      <c r="M76" s="7" t="n"/>
      <c r="N76" s="7" t="inlineStr">
        <is>
          <t>C</t>
        </is>
      </c>
      <c r="O76" s="7" t="n"/>
      <c r="P76" s="7" t="n"/>
      <c r="Q76" s="7" t="n"/>
      <c r="R76" s="7" t="n"/>
      <c r="S76" s="7" t="n"/>
      <c r="T76" s="7">
        <f>IF(O76="","",IF(O76=N76,1,0))</f>
        <v/>
      </c>
      <c r="U76" s="8" t="n"/>
    </row>
    <row r="77">
      <c r="A77" s="7" t="n">
        <v>8</v>
      </c>
      <c r="B77" s="7" t="n">
        <v>6</v>
      </c>
      <c r="C77" s="7" t="inlineStr">
        <is>
          <t>Leadership / Communication / Emotional &amp; Social</t>
        </is>
      </c>
      <c r="D77" s="7" t="inlineStr">
        <is>
          <t>Self-report (most/least)</t>
        </is>
      </c>
      <c r="E77" s="8" t="inlineStr">
        <is>
          <t>You discover a factual error in your group's board exam project the night before submission.</t>
        </is>
      </c>
      <c r="F77" s="8" t="inlineStr">
        <is>
          <t>You'd step back and observe before choosing any of these</t>
        </is>
      </c>
      <c r="G77" s="8" t="inlineStr">
        <is>
          <t>You enjoy writing essays or giving structured presentations</t>
        </is>
      </c>
      <c r="H77" s="8" t="inlineStr">
        <is>
          <t>You step up to lead when no one else volunteers</t>
        </is>
      </c>
      <c r="I77" s="8" t="inlineStr">
        <is>
          <t>You're good at helping a stressed friend feel better</t>
        </is>
      </c>
      <c r="J77" s="7" t="inlineStr"/>
      <c r="K77" s="7" t="inlineStr">
        <is>
          <t>CM</t>
        </is>
      </c>
      <c r="L77" s="7" t="inlineStr">
        <is>
          <t>LD</t>
        </is>
      </c>
      <c r="M77" s="7" t="inlineStr">
        <is>
          <t>ES</t>
        </is>
      </c>
      <c r="N77" s="7" t="n"/>
      <c r="O77" s="7" t="n"/>
      <c r="P77" s="7" t="n"/>
      <c r="Q77" s="7" t="n"/>
      <c r="R77" s="7">
        <f>IFERROR(INDEX(J77:M77,MATCH(P77,{"A","B","C","D"},0)),"")</f>
        <v/>
      </c>
      <c r="S77" s="7">
        <f>IFERROR(INDEX(J77:M77,MATCH(Q77,{"A","B","C","D"},0)),"")</f>
        <v/>
      </c>
      <c r="T77" s="7" t="n"/>
      <c r="U77" s="8" t="n"/>
    </row>
    <row r="78">
      <c r="A78" s="7" t="n">
        <v>8</v>
      </c>
      <c r="B78" s="7" t="n">
        <v>7</v>
      </c>
      <c r="C78" s="7" t="inlineStr">
        <is>
          <t>Leadership / Communication / Emotional &amp; Social</t>
        </is>
      </c>
      <c r="D78" s="7" t="inlineStr">
        <is>
          <t>Self-report (most/least)</t>
        </is>
      </c>
      <c r="E78" s="8" t="inlineStr">
        <is>
          <t>A junior student asks you for help right when you're buried in your own exam prep.</t>
        </is>
      </c>
      <c r="F78" s="8" t="inlineStr">
        <is>
          <t>You like presenting your ideas confidently to a group</t>
        </is>
      </c>
      <c r="G78" s="8" t="inlineStr">
        <is>
          <t>You handle disagreements without letting them escalate</t>
        </is>
      </c>
      <c r="H78" s="8" t="inlineStr">
        <is>
          <t>You take ownership when something goes wrong</t>
        </is>
      </c>
      <c r="I78" s="8" t="inlineStr">
        <is>
          <t>None of these feel like you in this moment</t>
        </is>
      </c>
      <c r="J78" s="7" t="inlineStr">
        <is>
          <t>CM</t>
        </is>
      </c>
      <c r="K78" s="7" t="inlineStr">
        <is>
          <t>ES</t>
        </is>
      </c>
      <c r="L78" s="7" t="inlineStr">
        <is>
          <t>LD</t>
        </is>
      </c>
      <c r="M78" s="7" t="inlineStr"/>
      <c r="N78" s="7" t="n"/>
      <c r="O78" s="7" t="n"/>
      <c r="P78" s="7" t="n"/>
      <c r="Q78" s="7" t="n"/>
      <c r="R78" s="7">
        <f>IFERROR(INDEX(J78:M78,MATCH(P78,{"A","B","C","D"},0)),"")</f>
        <v/>
      </c>
      <c r="S78" s="7">
        <f>IFERROR(INDEX(J78:M78,MATCH(Q78,{"A","B","C","D"},0)),"")</f>
        <v/>
      </c>
      <c r="T78" s="7" t="n"/>
      <c r="U78" s="8" t="n"/>
    </row>
    <row r="79">
      <c r="A79" s="7" t="n">
        <v>8</v>
      </c>
      <c r="B79" s="7" t="n">
        <v>8</v>
      </c>
      <c r="C79" s="7" t="inlineStr">
        <is>
          <t>Leadership / Communication / Emotional &amp; Social</t>
        </is>
      </c>
      <c r="D79" s="7" t="inlineStr">
        <is>
          <t>Self-report (most/least)</t>
        </is>
      </c>
      <c r="E79" s="8" t="inlineStr">
        <is>
          <t>Your MUN committee is deadlocked and the session is about to run out of time.</t>
        </is>
      </c>
      <c r="F79" s="8" t="inlineStr">
        <is>
          <t>You'd need more time before reacting at all</t>
        </is>
      </c>
      <c r="G79" s="8" t="inlineStr">
        <is>
          <t>You think about how a decision might affect others</t>
        </is>
      </c>
      <c r="H79" s="8" t="inlineStr">
        <is>
          <t>You enjoy debating or discussing ideas with others</t>
        </is>
      </c>
      <c r="I79" s="8" t="inlineStr">
        <is>
          <t>You feel confident making decisions under pressure</t>
        </is>
      </c>
      <c r="J79" s="7" t="inlineStr"/>
      <c r="K79" s="7" t="inlineStr">
        <is>
          <t>ES</t>
        </is>
      </c>
      <c r="L79" s="7" t="inlineStr">
        <is>
          <t>CM</t>
        </is>
      </c>
      <c r="M79" s="7" t="inlineStr">
        <is>
          <t>LD</t>
        </is>
      </c>
      <c r="N79" s="7" t="n"/>
      <c r="O79" s="7" t="n"/>
      <c r="P79" s="7" t="n"/>
      <c r="Q79" s="7" t="n"/>
      <c r="R79" s="7">
        <f>IFERROR(INDEX(J79:M79,MATCH(P79,{"A","B","C","D"},0)),"")</f>
        <v/>
      </c>
      <c r="S79" s="7">
        <f>IFERROR(INDEX(J79:M79,MATCH(Q79,{"A","B","C","D"},0)),"")</f>
        <v/>
      </c>
      <c r="T79" s="7" t="n"/>
      <c r="U79" s="8" t="n"/>
    </row>
    <row r="80">
      <c r="A80" s="7" t="n">
        <v>8</v>
      </c>
      <c r="B80" s="7" t="n">
        <v>9</v>
      </c>
      <c r="C80" s="7" t="inlineStr">
        <is>
          <t>Creative Skills</t>
        </is>
      </c>
      <c r="D80" s="7" t="inlineStr">
        <is>
          <t>Open-ended (not auto-scored)</t>
        </is>
      </c>
      <c r="E80" s="8" t="inlineStr">
        <is>
          <t>If you could redesign the school exam system in one specific way, what would you change?</t>
        </is>
      </c>
      <c r="F80" s="8" t="n"/>
      <c r="G80" s="8" t="n"/>
      <c r="H80" s="8" t="n"/>
      <c r="I80" s="8" t="n"/>
      <c r="J80" s="7" t="n"/>
      <c r="K80" s="7" t="n"/>
      <c r="L80" s="7" t="n"/>
      <c r="M80" s="7" t="n"/>
      <c r="N80" s="7" t="n"/>
      <c r="O80" s="7" t="n"/>
      <c r="P80" s="7" t="n"/>
      <c r="Q80" s="7" t="n"/>
      <c r="R80" s="7" t="n"/>
      <c r="S80" s="7" t="n"/>
      <c r="T80" s="7" t="n"/>
      <c r="U80" s="8" t="n"/>
    </row>
    <row r="81">
      <c r="A81" s="7" t="n">
        <v>8</v>
      </c>
      <c r="B81" s="7" t="n">
        <v>10</v>
      </c>
      <c r="C81" s="7" t="inlineStr">
        <is>
          <t>Listening Skills</t>
        </is>
      </c>
      <c r="D81" s="7" t="inlineStr">
        <is>
          <t>Scored</t>
        </is>
      </c>
      <c r="E81" s="8" t="inlineStr">
        <is>
          <t>[Read once, then answer without re-reading] “During the case study competition, the team analysed the data, built a recommendation, and then rehearsed the pitch once.”  ||  What happened last?</t>
        </is>
      </c>
      <c r="F81" s="8" t="inlineStr">
        <is>
          <t>collected the prize money</t>
        </is>
      </c>
      <c r="G81" s="8" t="inlineStr">
        <is>
          <t>analysed the data</t>
        </is>
      </c>
      <c r="H81" s="8" t="inlineStr">
        <is>
          <t>rehearsed the pitch</t>
        </is>
      </c>
      <c r="I81" s="8" t="inlineStr">
        <is>
          <t>built a recommendation</t>
        </is>
      </c>
      <c r="J81" s="7" t="n"/>
      <c r="K81" s="7" t="n"/>
      <c r="L81" s="7" t="n"/>
      <c r="M81" s="7" t="n"/>
      <c r="N81" s="7" t="inlineStr">
        <is>
          <t>C</t>
        </is>
      </c>
      <c r="O81" s="7" t="n"/>
      <c r="P81" s="7" t="n"/>
      <c r="Q81" s="7" t="n"/>
      <c r="R81" s="7" t="n"/>
      <c r="S81" s="7" t="n"/>
      <c r="T81" s="7">
        <f>IF(O81="","",IF(O81=N81,1,0))</f>
        <v/>
      </c>
      <c r="U81" s="8" t="n"/>
    </row>
    <row r="82">
      <c r="A82" s="5" t="n">
        <v>9</v>
      </c>
      <c r="B82" s="5" t="n">
        <v>1</v>
      </c>
      <c r="C82" s="5" t="inlineStr">
        <is>
          <t>Problem Solving</t>
        </is>
      </c>
      <c r="D82" s="5" t="inlineStr">
        <is>
          <t>Scored</t>
        </is>
      </c>
      <c r="E82" s="6" t="inlineStr">
        <is>
          <t>Three students — Noah, Aisha, Wei — are seated for the debate in a row. Aisha is not in the middle. Wei is not first. Noah is not first. Wei is not last. Who is first?</t>
        </is>
      </c>
      <c r="F82" s="6" t="inlineStr">
        <is>
          <t>Wei</t>
        </is>
      </c>
      <c r="G82" s="6" t="inlineStr">
        <is>
          <t>Aisha</t>
        </is>
      </c>
      <c r="H82" s="6" t="inlineStr">
        <is>
          <t>Cannot be determined</t>
        </is>
      </c>
      <c r="I82" s="6" t="inlineStr">
        <is>
          <t>Noah</t>
        </is>
      </c>
      <c r="J82" s="5" t="n"/>
      <c r="K82" s="5" t="n"/>
      <c r="L82" s="5" t="n"/>
      <c r="M82" s="5" t="n"/>
      <c r="N82" s="5" t="inlineStr">
        <is>
          <t>B</t>
        </is>
      </c>
      <c r="O82" s="5" t="n"/>
      <c r="P82" s="5" t="n"/>
      <c r="Q82" s="5" t="n"/>
      <c r="R82" s="5" t="n"/>
      <c r="S82" s="5" t="n"/>
      <c r="T82" s="5">
        <f>IF(O82="","",IF(O82=N82,1,0))</f>
        <v/>
      </c>
      <c r="U82" s="6" t="n"/>
    </row>
    <row r="83">
      <c r="A83" s="5" t="n">
        <v>9</v>
      </c>
      <c r="B83" s="5" t="n">
        <v>2</v>
      </c>
      <c r="C83" s="5" t="inlineStr">
        <is>
          <t>Critical Thinking</t>
        </is>
      </c>
      <c r="D83" s="5" t="inlineStr">
        <is>
          <t>Scored</t>
        </is>
      </c>
      <c r="E83" s="6" t="inlineStr">
        <is>
          <t>A news story features one person who succeeded without a college degree, concluding 'degrees don't matter.' What's the actual flaw in this reasoning?</t>
        </is>
      </c>
      <c r="F83" s="6" t="inlineStr">
        <is>
          <t>Success is impossible without a degree</t>
        </is>
      </c>
      <c r="G83" s="6" t="inlineStr">
        <is>
          <t>The person actually has a degree</t>
        </is>
      </c>
      <c r="H83" s="6" t="inlineStr">
        <is>
          <t>The story is about a fictional person</t>
        </is>
      </c>
      <c r="I83" s="6" t="inlineStr">
        <is>
          <t>A single success story is used in place of broader evidence</t>
        </is>
      </c>
      <c r="J83" s="5" t="n"/>
      <c r="K83" s="5" t="n"/>
      <c r="L83" s="5" t="n"/>
      <c r="M83" s="5" t="n"/>
      <c r="N83" s="5" t="inlineStr">
        <is>
          <t>D</t>
        </is>
      </c>
      <c r="O83" s="5" t="n"/>
      <c r="P83" s="5" t="n"/>
      <c r="Q83" s="5" t="n"/>
      <c r="R83" s="5" t="n"/>
      <c r="S83" s="5" t="n"/>
      <c r="T83" s="5">
        <f>IF(O83="","",IF(O83=N83,1,0))</f>
        <v/>
      </c>
      <c r="U83" s="6" t="n"/>
    </row>
    <row r="84">
      <c r="A84" s="5" t="n">
        <v>9</v>
      </c>
      <c r="B84" s="5" t="n">
        <v>3</v>
      </c>
      <c r="C84" s="5" t="inlineStr">
        <is>
          <t>Decision Making</t>
        </is>
      </c>
      <c r="D84" s="5" t="inlineStr">
        <is>
          <t>Scored</t>
        </is>
      </c>
      <c r="E84" s="6" t="inlineStr">
        <is>
          <t>You only have time for ONE of these right now. Which gives the best value for the effort it takes?</t>
        </is>
      </c>
      <c r="F84" s="6" t="inlineStr">
        <is>
          <t>prepare your board exam project (effort 5, value 18)</t>
        </is>
      </c>
      <c r="G84" s="6" t="inlineStr">
        <is>
          <t>They are all equally good choices</t>
        </is>
      </c>
      <c r="H84" s="6" t="inlineStr">
        <is>
          <t>register for the entrance exam (effort 6, value 18)</t>
        </is>
      </c>
      <c r="I84" s="6" t="inlineStr">
        <is>
          <t>submit your college application form (effort 4, value 15)</t>
        </is>
      </c>
      <c r="J84" s="5" t="n"/>
      <c r="K84" s="5" t="n"/>
      <c r="L84" s="5" t="n"/>
      <c r="M84" s="5" t="n"/>
      <c r="N84" s="5" t="inlineStr">
        <is>
          <t>D</t>
        </is>
      </c>
      <c r="O84" s="5" t="n"/>
      <c r="P84" s="5" t="n"/>
      <c r="Q84" s="5" t="n"/>
      <c r="R84" s="5" t="n"/>
      <c r="S84" s="5" t="n"/>
      <c r="T84" s="5">
        <f>IF(O84="","",IF(O84=N84,1,0))</f>
        <v/>
      </c>
      <c r="U84" s="6" t="n"/>
    </row>
    <row r="85">
      <c r="A85" s="5" t="n">
        <v>9</v>
      </c>
      <c r="B85" s="5" t="n">
        <v>4</v>
      </c>
      <c r="C85" s="5" t="inlineStr">
        <is>
          <t>Mental Math</t>
        </is>
      </c>
      <c r="D85" s="5" t="inlineStr">
        <is>
          <t>Scored</t>
        </is>
      </c>
      <c r="E85" s="6" t="inlineStr">
        <is>
          <t>A recipe mixes water and juice concentrate in a 3:2 ratio. If you use 9 units of water, how much juice concentrate do you need?</t>
        </is>
      </c>
      <c r="F85" s="6" t="inlineStr">
        <is>
          <t>8</t>
        </is>
      </c>
      <c r="G85" s="6" t="inlineStr">
        <is>
          <t>4</t>
        </is>
      </c>
      <c r="H85" s="6" t="inlineStr">
        <is>
          <t>9</t>
        </is>
      </c>
      <c r="I85" s="6" t="inlineStr">
        <is>
          <t>6</t>
        </is>
      </c>
      <c r="J85" s="5" t="n"/>
      <c r="K85" s="5" t="n"/>
      <c r="L85" s="5" t="n"/>
      <c r="M85" s="5" t="n"/>
      <c r="N85" s="5" t="inlineStr">
        <is>
          <t>D</t>
        </is>
      </c>
      <c r="O85" s="5" t="n"/>
      <c r="P85" s="5" t="n"/>
      <c r="Q85" s="5" t="n"/>
      <c r="R85" s="5" t="n"/>
      <c r="S85" s="5" t="n"/>
      <c r="T85" s="5">
        <f>IF(O85="","",IF(O85=N85,1,0))</f>
        <v/>
      </c>
      <c r="U85" s="6" t="n"/>
    </row>
    <row r="86">
      <c r="A86" s="5" t="n">
        <v>9</v>
      </c>
      <c r="B86" s="5" t="n">
        <v>5</v>
      </c>
      <c r="C86" s="5" t="inlineStr">
        <is>
          <t>Cognitive Academia</t>
        </is>
      </c>
      <c r="D86" s="5" t="inlineStr">
        <is>
          <t>Scored</t>
        </is>
      </c>
      <c r="E86" s="6" t="inlineStr">
        <is>
          <t>What comes next in this pattern: 3, 8, 16, 21, 42, ?</t>
        </is>
      </c>
      <c r="F86" s="6" t="inlineStr">
        <is>
          <t>50</t>
        </is>
      </c>
      <c r="G86" s="6" t="inlineStr">
        <is>
          <t>37</t>
        </is>
      </c>
      <c r="H86" s="6" t="inlineStr">
        <is>
          <t>44</t>
        </is>
      </c>
      <c r="I86" s="6" t="inlineStr">
        <is>
          <t>47</t>
        </is>
      </c>
      <c r="J86" s="5" t="n"/>
      <c r="K86" s="5" t="n"/>
      <c r="L86" s="5" t="n"/>
      <c r="M86" s="5" t="n"/>
      <c r="N86" s="5" t="inlineStr">
        <is>
          <t>D</t>
        </is>
      </c>
      <c r="O86" s="5" t="n"/>
      <c r="P86" s="5" t="n"/>
      <c r="Q86" s="5" t="n"/>
      <c r="R86" s="5" t="n"/>
      <c r="S86" s="5" t="n"/>
      <c r="T86" s="5">
        <f>IF(O86="","",IF(O86=N86,1,0))</f>
        <v/>
      </c>
      <c r="U86" s="6" t="n"/>
    </row>
    <row r="87">
      <c r="A87" s="5" t="n">
        <v>9</v>
      </c>
      <c r="B87" s="5" t="n">
        <v>6</v>
      </c>
      <c r="C87" s="5" t="inlineStr">
        <is>
          <t>Leadership / Communication / Emotional &amp; Social</t>
        </is>
      </c>
      <c r="D87" s="5" t="inlineStr">
        <is>
          <t>Self-report (most/least)</t>
        </is>
      </c>
      <c r="E87" s="6" t="inlineStr">
        <is>
          <t>You realize your college application essay draft doesn't actually say anything meaningful about you.</t>
        </is>
      </c>
      <c r="F87" s="6" t="inlineStr">
        <is>
          <t>You like guiding a team toward a shared outcome</t>
        </is>
      </c>
      <c r="G87" s="6" t="inlineStr">
        <is>
          <t>You notice subtle changes in a friend's mood</t>
        </is>
      </c>
      <c r="H87" s="6" t="inlineStr">
        <is>
          <t>You enjoy explaining your reasoning to teachers or peers</t>
        </is>
      </c>
      <c r="I87" s="6" t="inlineStr">
        <is>
          <t>None of these feel like you in this moment</t>
        </is>
      </c>
      <c r="J87" s="5" t="inlineStr">
        <is>
          <t>LD</t>
        </is>
      </c>
      <c r="K87" s="5" t="inlineStr">
        <is>
          <t>ES</t>
        </is>
      </c>
      <c r="L87" s="5" t="inlineStr">
        <is>
          <t>CM</t>
        </is>
      </c>
      <c r="M87" s="5" t="inlineStr"/>
      <c r="N87" s="5" t="n"/>
      <c r="O87" s="5" t="n"/>
      <c r="P87" s="5" t="n"/>
      <c r="Q87" s="5" t="n"/>
      <c r="R87" s="5">
        <f>IFERROR(INDEX(J87:M87,MATCH(P87,{"A","B","C","D"},0)),"")</f>
        <v/>
      </c>
      <c r="S87" s="5">
        <f>IFERROR(INDEX(J87:M87,MATCH(Q87,{"A","B","C","D"},0)),"")</f>
        <v/>
      </c>
      <c r="T87" s="5" t="n"/>
      <c r="U87" s="6" t="n"/>
    </row>
    <row r="88">
      <c r="A88" s="5" t="n">
        <v>9</v>
      </c>
      <c r="B88" s="5" t="n">
        <v>7</v>
      </c>
      <c r="C88" s="5" t="inlineStr">
        <is>
          <t>Leadership / Communication / Emotional &amp; Social</t>
        </is>
      </c>
      <c r="D88" s="5" t="inlineStr">
        <is>
          <t>Self-report (most/least)</t>
        </is>
      </c>
      <c r="E88" s="6" t="inlineStr">
        <is>
          <t>A close friend is spiralling about their exam results and texting you at 1am.</t>
        </is>
      </c>
      <c r="F88" s="6" t="inlineStr">
        <is>
          <t>You'd need more time before reacting at all</t>
        </is>
      </c>
      <c r="G88" s="6" t="inlineStr">
        <is>
          <t>You stay calm even during high-stakes exams</t>
        </is>
      </c>
      <c r="H88" s="6" t="inlineStr">
        <is>
          <t>You like organizing a plan of action for a group</t>
        </is>
      </c>
      <c r="I88" s="6" t="inlineStr">
        <is>
          <t>You like asking clarifying questions on complex topics</t>
        </is>
      </c>
      <c r="J88" s="5" t="inlineStr"/>
      <c r="K88" s="5" t="inlineStr">
        <is>
          <t>ES</t>
        </is>
      </c>
      <c r="L88" s="5" t="inlineStr">
        <is>
          <t>LD</t>
        </is>
      </c>
      <c r="M88" s="5" t="inlineStr">
        <is>
          <t>CM</t>
        </is>
      </c>
      <c r="N88" s="5" t="n"/>
      <c r="O88" s="5" t="n"/>
      <c r="P88" s="5" t="n"/>
      <c r="Q88" s="5" t="n"/>
      <c r="R88" s="5">
        <f>IFERROR(INDEX(J88:M88,MATCH(P88,{"A","B","C","D"},0)),"")</f>
        <v/>
      </c>
      <c r="S88" s="5">
        <f>IFERROR(INDEX(J88:M88,MATCH(Q88,{"A","B","C","D"},0)),"")</f>
        <v/>
      </c>
      <c r="T88" s="5" t="n"/>
      <c r="U88" s="6" t="n"/>
    </row>
    <row r="89">
      <c r="A89" s="5" t="n">
        <v>9</v>
      </c>
      <c r="B89" s="5" t="n">
        <v>8</v>
      </c>
      <c r="C89" s="5" t="inlineStr">
        <is>
          <t>Leadership / Communication / Emotional &amp; Social</t>
        </is>
      </c>
      <c r="D89" s="5" t="inlineStr">
        <is>
          <t>Self-report (most/least)</t>
        </is>
      </c>
      <c r="E89" s="6" t="inlineStr">
        <is>
          <t>Your team's startup pitch for the school competition just got torn apart by the judges' first question.</t>
        </is>
      </c>
      <c r="F89" s="6" t="inlineStr">
        <is>
          <t>You'd rather wait and see what others do first</t>
        </is>
      </c>
      <c r="G89" s="6" t="inlineStr">
        <is>
          <t>You enjoy being chosen to head a club or committee</t>
        </is>
      </c>
      <c r="H89" s="6" t="inlineStr">
        <is>
          <t>You can sense how someone feels without them saying it</t>
        </is>
      </c>
      <c r="I89" s="6" t="inlineStr">
        <is>
          <t>You make sure your argument comes across persuasively</t>
        </is>
      </c>
      <c r="J89" s="5" t="inlineStr"/>
      <c r="K89" s="5" t="inlineStr">
        <is>
          <t>LD</t>
        </is>
      </c>
      <c r="L89" s="5" t="inlineStr">
        <is>
          <t>ES</t>
        </is>
      </c>
      <c r="M89" s="5" t="inlineStr">
        <is>
          <t>CM</t>
        </is>
      </c>
      <c r="N89" s="5" t="n"/>
      <c r="O89" s="5" t="n"/>
      <c r="P89" s="5" t="n"/>
      <c r="Q89" s="5" t="n"/>
      <c r="R89" s="5">
        <f>IFERROR(INDEX(J89:M89,MATCH(P89,{"A","B","C","D"},0)),"")</f>
        <v/>
      </c>
      <c r="S89" s="5">
        <f>IFERROR(INDEX(J89:M89,MATCH(Q89,{"A","B","C","D"},0)),"")</f>
        <v/>
      </c>
      <c r="T89" s="5" t="n"/>
      <c r="U89" s="6" t="n"/>
    </row>
    <row r="90">
      <c r="A90" s="5" t="n">
        <v>9</v>
      </c>
      <c r="B90" s="5" t="n">
        <v>9</v>
      </c>
      <c r="C90" s="5" t="inlineStr">
        <is>
          <t>Creative Skills</t>
        </is>
      </c>
      <c r="D90" s="5" t="inlineStr">
        <is>
          <t>Open-ended (not auto-scored)</t>
        </is>
      </c>
      <c r="E90" s="6" t="inlineStr">
        <is>
          <t>Propose an unusual fundraiser idea your school has never tried before.</t>
        </is>
      </c>
      <c r="F90" s="6" t="n"/>
      <c r="G90" s="6" t="n"/>
      <c r="H90" s="6" t="n"/>
      <c r="I90" s="6" t="n"/>
      <c r="J90" s="5" t="n"/>
      <c r="K90" s="5" t="n"/>
      <c r="L90" s="5" t="n"/>
      <c r="M90" s="5" t="n"/>
      <c r="N90" s="5" t="n"/>
      <c r="O90" s="5" t="n"/>
      <c r="P90" s="5" t="n"/>
      <c r="Q90" s="5" t="n"/>
      <c r="R90" s="5" t="n"/>
      <c r="S90" s="5" t="n"/>
      <c r="T90" s="5" t="n"/>
      <c r="U90" s="6" t="n"/>
    </row>
    <row r="91">
      <c r="A91" s="5" t="n">
        <v>9</v>
      </c>
      <c r="B91" s="5" t="n">
        <v>10</v>
      </c>
      <c r="C91" s="5" t="inlineStr">
        <is>
          <t>Listening Skills</t>
        </is>
      </c>
      <c r="D91" s="5" t="inlineStr">
        <is>
          <t>Scored</t>
        </is>
      </c>
      <c r="E91" s="6" t="inlineStr">
        <is>
          <t>[Read once, then answer without re-reading] “Ahead of the college fair, the counsellor organised the booths, briefed the volunteers, and finally opened the doors to students.”  ||  What happened right after the first thing mentioned?</t>
        </is>
      </c>
      <c r="F91" s="6" t="inlineStr">
        <is>
          <t>organised the booths</t>
        </is>
      </c>
      <c r="G91" s="6" t="inlineStr">
        <is>
          <t>briefed the volunteers</t>
        </is>
      </c>
      <c r="H91" s="6" t="inlineStr">
        <is>
          <t>printed certificates</t>
        </is>
      </c>
      <c r="I91" s="6" t="inlineStr">
        <is>
          <t>opened the doors</t>
        </is>
      </c>
      <c r="J91" s="5" t="n"/>
      <c r="K91" s="5" t="n"/>
      <c r="L91" s="5" t="n"/>
      <c r="M91" s="5" t="n"/>
      <c r="N91" s="5" t="inlineStr">
        <is>
          <t>B</t>
        </is>
      </c>
      <c r="O91" s="5" t="n"/>
      <c r="P91" s="5" t="n"/>
      <c r="Q91" s="5" t="n"/>
      <c r="R91" s="5" t="n"/>
      <c r="S91" s="5" t="n"/>
      <c r="T91" s="5">
        <f>IF(O91="","",IF(O91=N91,1,0))</f>
        <v/>
      </c>
      <c r="U91" s="6" t="n"/>
    </row>
    <row r="92">
      <c r="A92" s="7" t="n">
        <v>10</v>
      </c>
      <c r="B92" s="7" t="n">
        <v>1</v>
      </c>
      <c r="C92" s="7" t="inlineStr">
        <is>
          <t>Problem Solving</t>
        </is>
      </c>
      <c r="D92" s="7" t="inlineStr">
        <is>
          <t>Scored</t>
        </is>
      </c>
      <c r="E92" s="8" t="inlineStr">
        <is>
          <t>Three students — Omar, Aisha, Tariq — are seated for the debate in a row. Omar is not last. Aisha is not in the middle. Aisha is not first. Tariq is not in the middle. Who is last?</t>
        </is>
      </c>
      <c r="F92" s="8" t="inlineStr">
        <is>
          <t>Aisha</t>
        </is>
      </c>
      <c r="G92" s="8" t="inlineStr">
        <is>
          <t>Cannot be determined</t>
        </is>
      </c>
      <c r="H92" s="8" t="inlineStr">
        <is>
          <t>Omar</t>
        </is>
      </c>
      <c r="I92" s="8" t="inlineStr">
        <is>
          <t>Tariq</t>
        </is>
      </c>
      <c r="J92" s="7" t="n"/>
      <c r="K92" s="7" t="n"/>
      <c r="L92" s="7" t="n"/>
      <c r="M92" s="7" t="n"/>
      <c r="N92" s="7" t="inlineStr">
        <is>
          <t>A</t>
        </is>
      </c>
      <c r="O92" s="7" t="n"/>
      <c r="P92" s="7" t="n"/>
      <c r="Q92" s="7" t="n"/>
      <c r="R92" s="7" t="n"/>
      <c r="S92" s="7" t="n"/>
      <c r="T92" s="7">
        <f>IF(O92="","",IF(O92=N92,1,0))</f>
        <v/>
      </c>
      <c r="U92" s="8" t="n"/>
    </row>
    <row r="93">
      <c r="A93" s="7" t="n">
        <v>10</v>
      </c>
      <c r="B93" s="7" t="n">
        <v>2</v>
      </c>
      <c r="C93" s="7" t="inlineStr">
        <is>
          <t>Critical Thinking</t>
        </is>
      </c>
      <c r="D93" s="7" t="inlineStr">
        <is>
          <t>Scored</t>
        </is>
      </c>
      <c r="E93" s="8" t="inlineStr">
        <is>
          <t>An essay claims: 'This argument is valid because it is logically sound.' What's the actual flaw in this reasoning?</t>
        </is>
      </c>
      <c r="F93" s="8" t="inlineStr">
        <is>
          <t>Valid and logically sound are unrelated ideas</t>
        </is>
      </c>
      <c r="G93" s="8" t="inlineStr">
        <is>
          <t>It asserts the conclusion again rather than showing why it's actually sound</t>
        </is>
      </c>
      <c r="H93" s="8" t="inlineStr">
        <is>
          <t>No argument was made</t>
        </is>
      </c>
      <c r="I93" s="8" t="inlineStr">
        <is>
          <t>The argument was withdrawn</t>
        </is>
      </c>
      <c r="J93" s="7" t="n"/>
      <c r="K93" s="7" t="n"/>
      <c r="L93" s="7" t="n"/>
      <c r="M93" s="7" t="n"/>
      <c r="N93" s="7" t="inlineStr">
        <is>
          <t>B</t>
        </is>
      </c>
      <c r="O93" s="7" t="n"/>
      <c r="P93" s="7" t="n"/>
      <c r="Q93" s="7" t="n"/>
      <c r="R93" s="7" t="n"/>
      <c r="S93" s="7" t="n"/>
      <c r="T93" s="7">
        <f>IF(O93="","",IF(O93=N93,1,0))</f>
        <v/>
      </c>
      <c r="U93" s="8" t="n"/>
    </row>
    <row r="94">
      <c r="A94" s="7" t="n">
        <v>10</v>
      </c>
      <c r="B94" s="7" t="n">
        <v>3</v>
      </c>
      <c r="C94" s="7" t="inlineStr">
        <is>
          <t>Decision Making</t>
        </is>
      </c>
      <c r="D94" s="7" t="inlineStr">
        <is>
          <t>Scored</t>
        </is>
      </c>
      <c r="E94" s="8" t="inlineStr">
        <is>
          <t>You have 34 minutes. prepare your board exam project takes 24 minutes, finish the lab report takes 10 minutes, and submit your college application form takes 31 minutes. You must skip exactly one of them to fit the other two into your 34 minutes. Which should you skip?</t>
        </is>
      </c>
      <c r="F94" s="8" t="inlineStr">
        <is>
          <t>submit your college application form</t>
        </is>
      </c>
      <c r="G94" s="8" t="inlineStr">
        <is>
          <t>It's impossible to fit any two</t>
        </is>
      </c>
      <c r="H94" s="8" t="inlineStr">
        <is>
          <t>finish the lab report</t>
        </is>
      </c>
      <c r="I94" s="8" t="inlineStr">
        <is>
          <t>prepare your board exam project</t>
        </is>
      </c>
      <c r="J94" s="7" t="n"/>
      <c r="K94" s="7" t="n"/>
      <c r="L94" s="7" t="n"/>
      <c r="M94" s="7" t="n"/>
      <c r="N94" s="7" t="inlineStr">
        <is>
          <t>A</t>
        </is>
      </c>
      <c r="O94" s="7" t="n"/>
      <c r="P94" s="7" t="n"/>
      <c r="Q94" s="7" t="n"/>
      <c r="R94" s="7" t="n"/>
      <c r="S94" s="7" t="n"/>
      <c r="T94" s="7">
        <f>IF(O94="","",IF(O94=N94,1,0))</f>
        <v/>
      </c>
      <c r="U94" s="8" t="n"/>
    </row>
    <row r="95">
      <c r="A95" s="7" t="n">
        <v>10</v>
      </c>
      <c r="B95" s="7" t="n">
        <v>4</v>
      </c>
      <c r="C95" s="7" t="inlineStr">
        <is>
          <t>Mental Math</t>
        </is>
      </c>
      <c r="D95" s="7" t="inlineStr">
        <is>
          <t>Scored</t>
        </is>
      </c>
      <c r="E95" s="8" t="inlineStr">
        <is>
          <t>I'm thinking of a number. If you add 7, then subtract 10, then add 18, you get 28. What's my number?</t>
        </is>
      </c>
      <c r="F95" s="8" t="inlineStr">
        <is>
          <t>14</t>
        </is>
      </c>
      <c r="G95" s="8" t="inlineStr">
        <is>
          <t>15</t>
        </is>
      </c>
      <c r="H95" s="8" t="inlineStr">
        <is>
          <t>12</t>
        </is>
      </c>
      <c r="I95" s="8" t="inlineStr">
        <is>
          <t>13</t>
        </is>
      </c>
      <c r="J95" s="7" t="n"/>
      <c r="K95" s="7" t="n"/>
      <c r="L95" s="7" t="n"/>
      <c r="M95" s="7" t="n"/>
      <c r="N95" s="7" t="inlineStr">
        <is>
          <t>D</t>
        </is>
      </c>
      <c r="O95" s="7" t="n"/>
      <c r="P95" s="7" t="n"/>
      <c r="Q95" s="7" t="n"/>
      <c r="R95" s="7" t="n"/>
      <c r="S95" s="7" t="n"/>
      <c r="T95" s="7">
        <f>IF(O95="","",IF(O95=N95,1,0))</f>
        <v/>
      </c>
      <c r="U95" s="8" t="n"/>
    </row>
    <row r="96">
      <c r="A96" s="7" t="n">
        <v>10</v>
      </c>
      <c r="B96" s="7" t="n">
        <v>5</v>
      </c>
      <c r="C96" s="7" t="inlineStr">
        <is>
          <t>Cognitive Academia</t>
        </is>
      </c>
      <c r="D96" s="7" t="inlineStr">
        <is>
          <t>Scored</t>
        </is>
      </c>
      <c r="E96" s="8" t="inlineStr">
        <is>
          <t>What comes next in this pattern: 3, 8, 15, 24, 35, ?</t>
        </is>
      </c>
      <c r="F96" s="8" t="inlineStr">
        <is>
          <t>48</t>
        </is>
      </c>
      <c r="G96" s="8" t="inlineStr">
        <is>
          <t>46</t>
        </is>
      </c>
      <c r="H96" s="8" t="inlineStr">
        <is>
          <t>50</t>
        </is>
      </c>
      <c r="I96" s="8" t="inlineStr">
        <is>
          <t>52</t>
        </is>
      </c>
      <c r="J96" s="7" t="n"/>
      <c r="K96" s="7" t="n"/>
      <c r="L96" s="7" t="n"/>
      <c r="M96" s="7" t="n"/>
      <c r="N96" s="7" t="inlineStr">
        <is>
          <t>A</t>
        </is>
      </c>
      <c r="O96" s="7" t="n"/>
      <c r="P96" s="7" t="n"/>
      <c r="Q96" s="7" t="n"/>
      <c r="R96" s="7" t="n"/>
      <c r="S96" s="7" t="n"/>
      <c r="T96" s="7">
        <f>IF(O96="","",IF(O96=N96,1,0))</f>
        <v/>
      </c>
      <c r="U96" s="8" t="n"/>
    </row>
    <row r="97">
      <c r="A97" s="7" t="n">
        <v>10</v>
      </c>
      <c r="B97" s="7" t="n">
        <v>6</v>
      </c>
      <c r="C97" s="7" t="inlineStr">
        <is>
          <t>Leadership / Communication / Emotional &amp; Social</t>
        </is>
      </c>
      <c r="D97" s="7" t="inlineStr">
        <is>
          <t>Self-report (most/least)</t>
        </is>
      </c>
      <c r="E97" s="8" t="inlineStr">
        <is>
          <t>You're the only one in your friend group who thinks a popular decision the class made is a bad idea.</t>
        </is>
      </c>
      <c r="F97" s="8" t="inlineStr">
        <is>
          <t>You feel confident making decisions under pressure</t>
        </is>
      </c>
      <c r="G97" s="8" t="inlineStr">
        <is>
          <t>You enjoy debating or discussing ideas with others</t>
        </is>
      </c>
      <c r="H97" s="8" t="inlineStr">
        <is>
          <t>You'd need more time before reacting at all</t>
        </is>
      </c>
      <c r="I97" s="8" t="inlineStr">
        <is>
          <t>You think about how a decision might affect others</t>
        </is>
      </c>
      <c r="J97" s="7" t="inlineStr">
        <is>
          <t>LD</t>
        </is>
      </c>
      <c r="K97" s="7" t="inlineStr">
        <is>
          <t>CM</t>
        </is>
      </c>
      <c r="L97" s="7" t="inlineStr"/>
      <c r="M97" s="7" t="inlineStr">
        <is>
          <t>ES</t>
        </is>
      </c>
      <c r="N97" s="7" t="n"/>
      <c r="O97" s="7" t="n"/>
      <c r="P97" s="7" t="n"/>
      <c r="Q97" s="7" t="n"/>
      <c r="R97" s="7">
        <f>IFERROR(INDEX(J97:M97,MATCH(P97,{"A","B","C","D"},0)),"")</f>
        <v/>
      </c>
      <c r="S97" s="7">
        <f>IFERROR(INDEX(J97:M97,MATCH(Q97,{"A","B","C","D"},0)),"")</f>
        <v/>
      </c>
      <c r="T97" s="7" t="n"/>
      <c r="U97" s="8" t="n"/>
    </row>
    <row r="98">
      <c r="A98" s="7" t="n">
        <v>10</v>
      </c>
      <c r="B98" s="7" t="n">
        <v>7</v>
      </c>
      <c r="C98" s="7" t="inlineStr">
        <is>
          <t>Leadership / Communication / Emotional &amp; Social</t>
        </is>
      </c>
      <c r="D98" s="7" t="inlineStr">
        <is>
          <t>Self-report (most/least)</t>
        </is>
      </c>
      <c r="E98" s="8" t="inlineStr">
        <is>
          <t>Your science project partner wants to falsify a data point to make the results look cleaner.</t>
        </is>
      </c>
      <c r="F98" s="8" t="inlineStr">
        <is>
          <t>You'd rather wait and see what others do first</t>
        </is>
      </c>
      <c r="G98" s="8" t="inlineStr">
        <is>
          <t>You enjoy helping a friend work through a tough problem</t>
        </is>
      </c>
      <c r="H98" s="8" t="inlineStr">
        <is>
          <t>You naturally end up being the one who decides</t>
        </is>
      </c>
      <c r="I98" s="8" t="inlineStr">
        <is>
          <t>You like structuring your thoughts before speaking</t>
        </is>
      </c>
      <c r="J98" s="7" t="inlineStr"/>
      <c r="K98" s="7" t="inlineStr">
        <is>
          <t>ES</t>
        </is>
      </c>
      <c r="L98" s="7" t="inlineStr">
        <is>
          <t>LD</t>
        </is>
      </c>
      <c r="M98" s="7" t="inlineStr">
        <is>
          <t>CM</t>
        </is>
      </c>
      <c r="N98" s="7" t="n"/>
      <c r="O98" s="7" t="n"/>
      <c r="P98" s="7" t="n"/>
      <c r="Q98" s="7" t="n"/>
      <c r="R98" s="7">
        <f>IFERROR(INDEX(J98:M98,MATCH(P98,{"A","B","C","D"},0)),"")</f>
        <v/>
      </c>
      <c r="S98" s="7">
        <f>IFERROR(INDEX(J98:M98,MATCH(Q98,{"A","B","C","D"},0)),"")</f>
        <v/>
      </c>
      <c r="T98" s="7" t="n"/>
      <c r="U98" s="8" t="n"/>
    </row>
    <row r="99">
      <c r="A99" s="7" t="n">
        <v>10</v>
      </c>
      <c r="B99" s="7" t="n">
        <v>8</v>
      </c>
      <c r="C99" s="7" t="inlineStr">
        <is>
          <t>Leadership / Communication / Emotional &amp; Social</t>
        </is>
      </c>
      <c r="D99" s="7" t="inlineStr">
        <is>
          <t>Self-report (most/least)</t>
        </is>
      </c>
      <c r="E99" s="8" t="inlineStr">
        <is>
          <t>You're asked to lead a study group the week before finals, right when you need to study yourself.</t>
        </is>
      </c>
      <c r="F99" s="8" t="inlineStr">
        <is>
          <t>You'd step back and observe before choosing any of these</t>
        </is>
      </c>
      <c r="G99" s="8" t="inlineStr">
        <is>
          <t>You explain your reasoning clearly so others follow it</t>
        </is>
      </c>
      <c r="H99" s="8" t="inlineStr">
        <is>
          <t>You notice when a friend is under pressure</t>
        </is>
      </c>
      <c r="I99" s="8" t="inlineStr">
        <is>
          <t>You naturally take charge when a team lacks direction</t>
        </is>
      </c>
      <c r="J99" s="7" t="inlineStr"/>
      <c r="K99" s="7" t="inlineStr">
        <is>
          <t>CM</t>
        </is>
      </c>
      <c r="L99" s="7" t="inlineStr">
        <is>
          <t>ES</t>
        </is>
      </c>
      <c r="M99" s="7" t="inlineStr">
        <is>
          <t>LD</t>
        </is>
      </c>
      <c r="N99" s="7" t="n"/>
      <c r="O99" s="7" t="n"/>
      <c r="P99" s="7" t="n"/>
      <c r="Q99" s="7" t="n"/>
      <c r="R99" s="7">
        <f>IFERROR(INDEX(J99:M99,MATCH(P99,{"A","B","C","D"},0)),"")</f>
        <v/>
      </c>
      <c r="S99" s="7">
        <f>IFERROR(INDEX(J99:M99,MATCH(Q99,{"A","B","C","D"},0)),"")</f>
        <v/>
      </c>
      <c r="T99" s="7" t="n"/>
      <c r="U99" s="8" t="n"/>
    </row>
    <row r="100">
      <c r="A100" s="7" t="n">
        <v>10</v>
      </c>
      <c r="B100" s="7" t="n">
        <v>9</v>
      </c>
      <c r="C100" s="7" t="inlineStr">
        <is>
          <t>Creative Skills</t>
        </is>
      </c>
      <c r="D100" s="7" t="inlineStr">
        <is>
          <t>Open-ended (not auto-scored)</t>
        </is>
      </c>
      <c r="E100" s="8" t="inlineStr">
        <is>
          <t>Design a mentorship pairing system between senior and junior students that feels genuinely useful.</t>
        </is>
      </c>
      <c r="F100" s="8" t="n"/>
      <c r="G100" s="8" t="n"/>
      <c r="H100" s="8" t="n"/>
      <c r="I100" s="8" t="n"/>
      <c r="J100" s="7" t="n"/>
      <c r="K100" s="7" t="n"/>
      <c r="L100" s="7" t="n"/>
      <c r="M100" s="7" t="n"/>
      <c r="N100" s="7" t="n"/>
      <c r="O100" s="7" t="n"/>
      <c r="P100" s="7" t="n"/>
      <c r="Q100" s="7" t="n"/>
      <c r="R100" s="7" t="n"/>
      <c r="S100" s="7" t="n"/>
      <c r="T100" s="7" t="n"/>
      <c r="U100" s="8" t="n"/>
    </row>
    <row r="101">
      <c r="A101" s="7" t="n">
        <v>10</v>
      </c>
      <c r="B101" s="7" t="n">
        <v>10</v>
      </c>
      <c r="C101" s="7" t="inlineStr">
        <is>
          <t>Listening Skills</t>
        </is>
      </c>
      <c r="D101" s="7" t="inlineStr">
        <is>
          <t>Scored</t>
        </is>
      </c>
      <c r="E101" s="8" t="inlineStr">
        <is>
          <t>[Read once, then answer without re-reading] “Before the scholarship interview, Noor updated her portfolio, printed her recommendation letters, and then reviewed her answers one last time.”  ||  What happened last?</t>
        </is>
      </c>
      <c r="F101" s="8" t="inlineStr">
        <is>
          <t>reviewed her answers</t>
        </is>
      </c>
      <c r="G101" s="8" t="inlineStr">
        <is>
          <t>printed her recommendation letters</t>
        </is>
      </c>
      <c r="H101" s="8" t="inlineStr">
        <is>
          <t>updated her portfolio</t>
        </is>
      </c>
      <c r="I101" s="8" t="inlineStr">
        <is>
          <t>signed a contract</t>
        </is>
      </c>
      <c r="J101" s="7" t="n"/>
      <c r="K101" s="7" t="n"/>
      <c r="L101" s="7" t="n"/>
      <c r="M101" s="7" t="n"/>
      <c r="N101" s="7" t="inlineStr">
        <is>
          <t>A</t>
        </is>
      </c>
      <c r="O101" s="7" t="n"/>
      <c r="P101" s="7" t="n"/>
      <c r="Q101" s="7" t="n"/>
      <c r="R101" s="7" t="n"/>
      <c r="S101" s="7" t="n"/>
      <c r="T101" s="7">
        <f>IF(O101="","",IF(O101=N101,1,0))</f>
        <v/>
      </c>
      <c r="U101" s="8" t="n"/>
    </row>
    <row r="104">
      <c r="A104" s="9" t="inlineStr">
        <is>
          <t>Scoring summary — fill answers above, then read results below. Creative (last column) is for manual review.</t>
        </is>
      </c>
    </row>
    <row r="105">
      <c r="A105" s="10" t="inlineStr">
        <is>
          <t>Set</t>
        </is>
      </c>
      <c r="B105" s="10" t="inlineStr">
        <is>
          <t>Problem Solving</t>
        </is>
      </c>
      <c r="C105" s="10" t="inlineStr">
        <is>
          <t>Critical Thinking</t>
        </is>
      </c>
      <c r="D105" s="10" t="inlineStr">
        <is>
          <t>Decision Making</t>
        </is>
      </c>
      <c r="E105" s="10" t="inlineStr">
        <is>
          <t>Mental Math</t>
        </is>
      </c>
      <c r="F105" s="10" t="inlineStr">
        <is>
          <t>Cognitive Academia</t>
        </is>
      </c>
      <c r="G105" s="10" t="inlineStr">
        <is>
          <t>Listening</t>
        </is>
      </c>
      <c r="H105" s="10" t="inlineStr">
        <is>
          <t>Leadership</t>
        </is>
      </c>
      <c r="I105" s="10" t="inlineStr">
        <is>
          <t>Communication</t>
        </is>
      </c>
      <c r="J105" s="10" t="inlineStr">
        <is>
          <t>Emotional &amp; Social</t>
        </is>
      </c>
      <c r="K105" s="10" t="inlineStr">
        <is>
          <t>Top strength</t>
        </is>
      </c>
    </row>
    <row r="106">
      <c r="A106" s="11" t="n">
        <v>1</v>
      </c>
      <c r="B106" s="12">
        <f>IF(O2="",0,IF(O2=N2,100,0))</f>
        <v/>
      </c>
      <c r="C106" s="12">
        <f>IF(O3="",0,IF(O3=N3,100,0))</f>
        <v/>
      </c>
      <c r="D106" s="12">
        <f>IF(O4="",0,IF(O4=N4,100,0))</f>
        <v/>
      </c>
      <c r="E106" s="12">
        <f>IF(O5="",0,IF(O5=N5,100,0))</f>
        <v/>
      </c>
      <c r="F106" s="12">
        <f>IF(O6="",0,IF(O6=N6,100,0))</f>
        <v/>
      </c>
      <c r="G106" s="12">
        <f>IF(O11="",0,IF(O11=N11,100,0))</f>
        <v/>
      </c>
      <c r="H106" s="12">
        <f>((((--(R7="LD"))-(--(S7="LD")))+((--(R8="LD"))-(--(S8="LD")))+((--(R9="LD"))-(--(S9="LD"))))+3)/6*100</f>
        <v/>
      </c>
      <c r="I106" s="12">
        <f>((((--(R7="CM"))-(--(S7="CM")))+((--(R8="CM"))-(--(S8="CM")))+((--(R9="CM"))-(--(S9="CM"))))+3)/6*100</f>
        <v/>
      </c>
      <c r="J106" s="12">
        <f>((((--(R7="ES"))-(--(S7="ES")))+((--(R8="ES"))-(--(S8="ES")))+((--(R9="ES"))-(--(S9="ES"))))+3)/6*100</f>
        <v/>
      </c>
      <c r="K106" s="12">
        <f>INDEX({"Problem Solving";"Critical Thinking";"Decision Making";"Mental Math";"Cognitive Academia";"Listening";"Leadership";"Communication";"Emotional &amp; Social"},MATCH(MAX(B106:J106),B106:J106,0))</f>
        <v/>
      </c>
    </row>
    <row r="107">
      <c r="A107" s="11" t="n">
        <v>2</v>
      </c>
      <c r="B107" s="12">
        <f>IF(O12="",0,IF(O12=N12,100,0))</f>
        <v/>
      </c>
      <c r="C107" s="12">
        <f>IF(O13="",0,IF(O13=N13,100,0))</f>
        <v/>
      </c>
      <c r="D107" s="12">
        <f>IF(O14="",0,IF(O14=N14,100,0))</f>
        <v/>
      </c>
      <c r="E107" s="12">
        <f>IF(O15="",0,IF(O15=N15,100,0))</f>
        <v/>
      </c>
      <c r="F107" s="12">
        <f>IF(O16="",0,IF(O16=N16,100,0))</f>
        <v/>
      </c>
      <c r="G107" s="12">
        <f>IF(O21="",0,IF(O21=N21,100,0))</f>
        <v/>
      </c>
      <c r="H107" s="12">
        <f>((((--(R17="LD"))-(--(S17="LD")))+((--(R18="LD"))-(--(S18="LD")))+((--(R19="LD"))-(--(S19="LD"))))+3)/6*100</f>
        <v/>
      </c>
      <c r="I107" s="12">
        <f>((((--(R17="CM"))-(--(S17="CM")))+((--(R18="CM"))-(--(S18="CM")))+((--(R19="CM"))-(--(S19="CM"))))+3)/6*100</f>
        <v/>
      </c>
      <c r="J107" s="12">
        <f>((((--(R17="ES"))-(--(S17="ES")))+((--(R18="ES"))-(--(S18="ES")))+((--(R19="ES"))-(--(S19="ES"))))+3)/6*100</f>
        <v/>
      </c>
      <c r="K107" s="12">
        <f>INDEX({"Problem Solving";"Critical Thinking";"Decision Making";"Mental Math";"Cognitive Academia";"Listening";"Leadership";"Communication";"Emotional &amp; Social"},MATCH(MAX(B107:J107),B107:J107,0))</f>
        <v/>
      </c>
    </row>
    <row r="108">
      <c r="A108" s="11" t="n">
        <v>3</v>
      </c>
      <c r="B108" s="12">
        <f>IF(O22="",0,IF(O22=N22,100,0))</f>
        <v/>
      </c>
      <c r="C108" s="12">
        <f>IF(O23="",0,IF(O23=N23,100,0))</f>
        <v/>
      </c>
      <c r="D108" s="12">
        <f>IF(O24="",0,IF(O24=N24,100,0))</f>
        <v/>
      </c>
      <c r="E108" s="12">
        <f>IF(O25="",0,IF(O25=N25,100,0))</f>
        <v/>
      </c>
      <c r="F108" s="12">
        <f>IF(O26="",0,IF(O26=N26,100,0))</f>
        <v/>
      </c>
      <c r="G108" s="12">
        <f>IF(O31="",0,IF(O31=N31,100,0))</f>
        <v/>
      </c>
      <c r="H108" s="12">
        <f>((((--(R27="LD"))-(--(S27="LD")))+((--(R28="LD"))-(--(S28="LD")))+((--(R29="LD"))-(--(S29="LD"))))+3)/6*100</f>
        <v/>
      </c>
      <c r="I108" s="12">
        <f>((((--(R27="CM"))-(--(S27="CM")))+((--(R28="CM"))-(--(S28="CM")))+((--(R29="CM"))-(--(S29="CM"))))+3)/6*100</f>
        <v/>
      </c>
      <c r="J108" s="12">
        <f>((((--(R27="ES"))-(--(S27="ES")))+((--(R28="ES"))-(--(S28="ES")))+((--(R29="ES"))-(--(S29="ES"))))+3)/6*100</f>
        <v/>
      </c>
      <c r="K108" s="12">
        <f>INDEX({"Problem Solving";"Critical Thinking";"Decision Making";"Mental Math";"Cognitive Academia";"Listening";"Leadership";"Communication";"Emotional &amp; Social"},MATCH(MAX(B108:J108),B108:J108,0))</f>
        <v/>
      </c>
    </row>
    <row r="109">
      <c r="A109" s="11" t="n">
        <v>4</v>
      </c>
      <c r="B109" s="12">
        <f>IF(O32="",0,IF(O32=N32,100,0))</f>
        <v/>
      </c>
      <c r="C109" s="12">
        <f>IF(O33="",0,IF(O33=N33,100,0))</f>
        <v/>
      </c>
      <c r="D109" s="12">
        <f>IF(O34="",0,IF(O34=N34,100,0))</f>
        <v/>
      </c>
      <c r="E109" s="12">
        <f>IF(O35="",0,IF(O35=N35,100,0))</f>
        <v/>
      </c>
      <c r="F109" s="12">
        <f>IF(O36="",0,IF(O36=N36,100,0))</f>
        <v/>
      </c>
      <c r="G109" s="12">
        <f>IF(O41="",0,IF(O41=N41,100,0))</f>
        <v/>
      </c>
      <c r="H109" s="12">
        <f>((((--(R37="LD"))-(--(S37="LD")))+((--(R38="LD"))-(--(S38="LD")))+((--(R39="LD"))-(--(S39="LD"))))+3)/6*100</f>
        <v/>
      </c>
      <c r="I109" s="12">
        <f>((((--(R37="CM"))-(--(S37="CM")))+((--(R38="CM"))-(--(S38="CM")))+((--(R39="CM"))-(--(S39="CM"))))+3)/6*100</f>
        <v/>
      </c>
      <c r="J109" s="12">
        <f>((((--(R37="ES"))-(--(S37="ES")))+((--(R38="ES"))-(--(S38="ES")))+((--(R39="ES"))-(--(S39="ES"))))+3)/6*100</f>
        <v/>
      </c>
      <c r="K109" s="12">
        <f>INDEX({"Problem Solving";"Critical Thinking";"Decision Making";"Mental Math";"Cognitive Academia";"Listening";"Leadership";"Communication";"Emotional &amp; Social"},MATCH(MAX(B109:J109),B109:J109,0))</f>
        <v/>
      </c>
    </row>
    <row r="110">
      <c r="A110" s="11" t="n">
        <v>5</v>
      </c>
      <c r="B110" s="12">
        <f>IF(O42="",0,IF(O42=N42,100,0))</f>
        <v/>
      </c>
      <c r="C110" s="12">
        <f>IF(O43="",0,IF(O43=N43,100,0))</f>
        <v/>
      </c>
      <c r="D110" s="12">
        <f>IF(O44="",0,IF(O44=N44,100,0))</f>
        <v/>
      </c>
      <c r="E110" s="12">
        <f>IF(O45="",0,IF(O45=N45,100,0))</f>
        <v/>
      </c>
      <c r="F110" s="12">
        <f>IF(O46="",0,IF(O46=N46,100,0))</f>
        <v/>
      </c>
      <c r="G110" s="12">
        <f>IF(O51="",0,IF(O51=N51,100,0))</f>
        <v/>
      </c>
      <c r="H110" s="12">
        <f>((((--(R47="LD"))-(--(S47="LD")))+((--(R48="LD"))-(--(S48="LD")))+((--(R49="LD"))-(--(S49="LD"))))+3)/6*100</f>
        <v/>
      </c>
      <c r="I110" s="12">
        <f>((((--(R47="CM"))-(--(S47="CM")))+((--(R48="CM"))-(--(S48="CM")))+((--(R49="CM"))-(--(S49="CM"))))+3)/6*100</f>
        <v/>
      </c>
      <c r="J110" s="12">
        <f>((((--(R47="ES"))-(--(S47="ES")))+((--(R48="ES"))-(--(S48="ES")))+((--(R49="ES"))-(--(S49="ES"))))+3)/6*100</f>
        <v/>
      </c>
      <c r="K110" s="12">
        <f>INDEX({"Problem Solving";"Critical Thinking";"Decision Making";"Mental Math";"Cognitive Academia";"Listening";"Leadership";"Communication";"Emotional &amp; Social"},MATCH(MAX(B110:J110),B110:J110,0))</f>
        <v/>
      </c>
    </row>
    <row r="111">
      <c r="A111" s="11" t="n">
        <v>6</v>
      </c>
      <c r="B111" s="12">
        <f>IF(O52="",0,IF(O52=N52,100,0))</f>
        <v/>
      </c>
      <c r="C111" s="12">
        <f>IF(O53="",0,IF(O53=N53,100,0))</f>
        <v/>
      </c>
      <c r="D111" s="12">
        <f>IF(O54="",0,IF(O54=N54,100,0))</f>
        <v/>
      </c>
      <c r="E111" s="12">
        <f>IF(O55="",0,IF(O55=N55,100,0))</f>
        <v/>
      </c>
      <c r="F111" s="12">
        <f>IF(O56="",0,IF(O56=N56,100,0))</f>
        <v/>
      </c>
      <c r="G111" s="12">
        <f>IF(O61="",0,IF(O61=N61,100,0))</f>
        <v/>
      </c>
      <c r="H111" s="12">
        <f>((((--(R57="LD"))-(--(S57="LD")))+((--(R58="LD"))-(--(S58="LD")))+((--(R59="LD"))-(--(S59="LD"))))+3)/6*100</f>
        <v/>
      </c>
      <c r="I111" s="12">
        <f>((((--(R57="CM"))-(--(S57="CM")))+((--(R58="CM"))-(--(S58="CM")))+((--(R59="CM"))-(--(S59="CM"))))+3)/6*100</f>
        <v/>
      </c>
      <c r="J111" s="12">
        <f>((((--(R57="ES"))-(--(S57="ES")))+((--(R58="ES"))-(--(S58="ES")))+((--(R59="ES"))-(--(S59="ES"))))+3)/6*100</f>
        <v/>
      </c>
      <c r="K111" s="12">
        <f>INDEX({"Problem Solving";"Critical Thinking";"Decision Making";"Mental Math";"Cognitive Academia";"Listening";"Leadership";"Communication";"Emotional &amp; Social"},MATCH(MAX(B111:J111),B111:J111,0))</f>
        <v/>
      </c>
    </row>
    <row r="112">
      <c r="A112" s="11" t="n">
        <v>7</v>
      </c>
      <c r="B112" s="12">
        <f>IF(O62="",0,IF(O62=N62,100,0))</f>
        <v/>
      </c>
      <c r="C112" s="12">
        <f>IF(O63="",0,IF(O63=N63,100,0))</f>
        <v/>
      </c>
      <c r="D112" s="12">
        <f>IF(O64="",0,IF(O64=N64,100,0))</f>
        <v/>
      </c>
      <c r="E112" s="12">
        <f>IF(O65="",0,IF(O65=N65,100,0))</f>
        <v/>
      </c>
      <c r="F112" s="12">
        <f>IF(O66="",0,IF(O66=N66,100,0))</f>
        <v/>
      </c>
      <c r="G112" s="12">
        <f>IF(O71="",0,IF(O71=N71,100,0))</f>
        <v/>
      </c>
      <c r="H112" s="12">
        <f>((((--(R67="LD"))-(--(S67="LD")))+((--(R68="LD"))-(--(S68="LD")))+((--(R69="LD"))-(--(S69="LD"))))+3)/6*100</f>
        <v/>
      </c>
      <c r="I112" s="12">
        <f>((((--(R67="CM"))-(--(S67="CM")))+((--(R68="CM"))-(--(S68="CM")))+((--(R69="CM"))-(--(S69="CM"))))+3)/6*100</f>
        <v/>
      </c>
      <c r="J112" s="12">
        <f>((((--(R67="ES"))-(--(S67="ES")))+((--(R68="ES"))-(--(S68="ES")))+((--(R69="ES"))-(--(S69="ES"))))+3)/6*100</f>
        <v/>
      </c>
      <c r="K112" s="12">
        <f>INDEX({"Problem Solving";"Critical Thinking";"Decision Making";"Mental Math";"Cognitive Academia";"Listening";"Leadership";"Communication";"Emotional &amp; Social"},MATCH(MAX(B112:J112),B112:J112,0))</f>
        <v/>
      </c>
    </row>
    <row r="113">
      <c r="A113" s="11" t="n">
        <v>8</v>
      </c>
      <c r="B113" s="12">
        <f>IF(O72="",0,IF(O72=N72,100,0))</f>
        <v/>
      </c>
      <c r="C113" s="12">
        <f>IF(O73="",0,IF(O73=N73,100,0))</f>
        <v/>
      </c>
      <c r="D113" s="12">
        <f>IF(O74="",0,IF(O74=N74,100,0))</f>
        <v/>
      </c>
      <c r="E113" s="12">
        <f>IF(O75="",0,IF(O75=N75,100,0))</f>
        <v/>
      </c>
      <c r="F113" s="12">
        <f>IF(O76="",0,IF(O76=N76,100,0))</f>
        <v/>
      </c>
      <c r="G113" s="12">
        <f>IF(O81="",0,IF(O81=N81,100,0))</f>
        <v/>
      </c>
      <c r="H113" s="12">
        <f>((((--(R77="LD"))-(--(S77="LD")))+((--(R78="LD"))-(--(S78="LD")))+((--(R79="LD"))-(--(S79="LD"))))+3)/6*100</f>
        <v/>
      </c>
      <c r="I113" s="12">
        <f>((((--(R77="CM"))-(--(S77="CM")))+((--(R78="CM"))-(--(S78="CM")))+((--(R79="CM"))-(--(S79="CM"))))+3)/6*100</f>
        <v/>
      </c>
      <c r="J113" s="12">
        <f>((((--(R77="ES"))-(--(S77="ES")))+((--(R78="ES"))-(--(S78="ES")))+((--(R79="ES"))-(--(S79="ES"))))+3)/6*100</f>
        <v/>
      </c>
      <c r="K113" s="12">
        <f>INDEX({"Problem Solving";"Critical Thinking";"Decision Making";"Mental Math";"Cognitive Academia";"Listening";"Leadership";"Communication";"Emotional &amp; Social"},MATCH(MAX(B113:J113),B113:J113,0))</f>
        <v/>
      </c>
    </row>
    <row r="114">
      <c r="A114" s="11" t="n">
        <v>9</v>
      </c>
      <c r="B114" s="12">
        <f>IF(O82="",0,IF(O82=N82,100,0))</f>
        <v/>
      </c>
      <c r="C114" s="12">
        <f>IF(O83="",0,IF(O83=N83,100,0))</f>
        <v/>
      </c>
      <c r="D114" s="12">
        <f>IF(O84="",0,IF(O84=N84,100,0))</f>
        <v/>
      </c>
      <c r="E114" s="12">
        <f>IF(O85="",0,IF(O85=N85,100,0))</f>
        <v/>
      </c>
      <c r="F114" s="12">
        <f>IF(O86="",0,IF(O86=N86,100,0))</f>
        <v/>
      </c>
      <c r="G114" s="12">
        <f>IF(O91="",0,IF(O91=N91,100,0))</f>
        <v/>
      </c>
      <c r="H114" s="12">
        <f>((((--(R87="LD"))-(--(S87="LD")))+((--(R88="LD"))-(--(S88="LD")))+((--(R89="LD"))-(--(S89="LD"))))+3)/6*100</f>
        <v/>
      </c>
      <c r="I114" s="12">
        <f>((((--(R87="CM"))-(--(S87="CM")))+((--(R88="CM"))-(--(S88="CM")))+((--(R89="CM"))-(--(S89="CM"))))+3)/6*100</f>
        <v/>
      </c>
      <c r="J114" s="12">
        <f>((((--(R87="ES"))-(--(S87="ES")))+((--(R88="ES"))-(--(S88="ES")))+((--(R89="ES"))-(--(S89="ES"))))+3)/6*100</f>
        <v/>
      </c>
      <c r="K114" s="12">
        <f>INDEX({"Problem Solving";"Critical Thinking";"Decision Making";"Mental Math";"Cognitive Academia";"Listening";"Leadership";"Communication";"Emotional &amp; Social"},MATCH(MAX(B114:J114),B114:J114,0))</f>
        <v/>
      </c>
    </row>
    <row r="115">
      <c r="A115" s="11" t="n">
        <v>10</v>
      </c>
      <c r="B115" s="12">
        <f>IF(O92="",0,IF(O92=N92,100,0))</f>
        <v/>
      </c>
      <c r="C115" s="12">
        <f>IF(O93="",0,IF(O93=N93,100,0))</f>
        <v/>
      </c>
      <c r="D115" s="12">
        <f>IF(O94="",0,IF(O94=N94,100,0))</f>
        <v/>
      </c>
      <c r="E115" s="12">
        <f>IF(O95="",0,IF(O95=N95,100,0))</f>
        <v/>
      </c>
      <c r="F115" s="12">
        <f>IF(O96="",0,IF(O96=N96,100,0))</f>
        <v/>
      </c>
      <c r="G115" s="12">
        <f>IF(O101="",0,IF(O101=N101,100,0))</f>
        <v/>
      </c>
      <c r="H115" s="12">
        <f>((((--(R97="LD"))-(--(S97="LD")))+((--(R98="LD"))-(--(S98="LD")))+((--(R99="LD"))-(--(S99="LD"))))+3)/6*100</f>
        <v/>
      </c>
      <c r="I115" s="12">
        <f>((((--(R97="CM"))-(--(S97="CM")))+((--(R98="CM"))-(--(S98="CM")))+((--(R99="CM"))-(--(S99="CM"))))+3)/6*100</f>
        <v/>
      </c>
      <c r="J115" s="12">
        <f>((((--(R97="ES"))-(--(S97="ES")))+((--(R98="ES"))-(--(S98="ES")))+((--(R99="ES"))-(--(S99="ES"))))+3)/6*100</f>
        <v/>
      </c>
      <c r="K115" s="12">
        <f>INDEX({"Problem Solving";"Critical Thinking";"Decision Making";"Mental Math";"Cognitive Academia";"Listening";"Leadership";"Communication";"Emotional &amp; Social"},MATCH(MAX(B115:J115),B115:J115,0))</f>
        <v/>
      </c>
    </row>
  </sheetData>
  <mergeCells count="1">
    <mergeCell ref="A104:K104"/>
  </mergeCells>
  <dataValidations count="1">
    <dataValidation sqref="O2 O3 O4 O5 O6 O11 O12 O13 O14 O15 O16 O21 O22 O23 O24 O25 O26 O31 O32 O33 O34 O35 O36 O41 O42 O43 O44 O45 O46 O51 O52 O53 O54 O55 O56 O61 O62 O63 O64 O65 O66 O71 O72 O73 O74 O75 O76 O81 O82 O83 O84 O85 O86 O91 O92 O93 O94 O95 O96 O101 P7 P8 P9 P17 P18 P19 P27 P28 P29 P37 P38 P39 P47 P48 P49 P57 P58 P59 P67 P68 P69 P77 P78 P79 P87 P88 P89 P97 P98 P99 Q7 Q8 Q9 Q17 Q18 Q19 Q27 Q28 Q29 Q37 Q38 Q39 Q47 Q48 Q49 Q57 Q58 Q59 Q67 Q68 Q69 Q77 Q78 Q79 Q87 Q88 Q89 Q97 Q98 Q99" showDropDown="0" showInputMessage="0" showErrorMessage="0" allowBlank="1" type="list">
      <formula1>"A,B,C,D"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15"/>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4" customWidth="1" min="2" max="2"/>
    <col width="16" customWidth="1" min="3" max="3"/>
    <col width="20" customWidth="1" min="4" max="4"/>
    <col width="44" customWidth="1" min="5" max="5"/>
    <col width="26" customWidth="1" min="6" max="6"/>
    <col width="26" customWidth="1" min="7" max="7"/>
    <col width="26" customWidth="1" min="8" max="8"/>
    <col width="26" customWidth="1" min="9" max="9"/>
    <col width="9" customWidth="1" min="10" max="10"/>
    <col width="9" customWidth="1" min="11" max="11"/>
    <col width="9" customWidth="1" min="12" max="12"/>
    <col width="9" customWidth="1" min="13" max="13"/>
    <col width="9" customWidth="1" min="14" max="14"/>
    <col width="11" customWidth="1" min="15" max="15"/>
    <col width="9" customWidth="1" min="16" max="16"/>
    <col width="9" customWidth="1" min="17" max="17"/>
    <col width="11" customWidth="1" min="18" max="18"/>
    <col width="11" customWidth="1" min="19" max="19"/>
    <col width="9" customWidth="1" min="20" max="20"/>
    <col width="34" customWidth="1" min="21" max="21"/>
  </cols>
  <sheetData>
    <row r="1">
      <c r="A1" s="4" t="inlineStr">
        <is>
          <t>Set</t>
        </is>
      </c>
      <c r="B1" s="4" t="inlineStr">
        <is>
          <t>Q</t>
        </is>
      </c>
      <c r="C1" s="4" t="inlineStr">
        <is>
          <t>Domain</t>
        </is>
      </c>
      <c r="D1" s="4" t="inlineStr">
        <is>
          <t>Type</t>
        </is>
      </c>
      <c r="E1" s="4" t="inlineStr">
        <is>
          <t>Prompt / Situation</t>
        </is>
      </c>
      <c r="F1" s="4" t="inlineStr">
        <is>
          <t>Option A</t>
        </is>
      </c>
      <c r="G1" s="4" t="inlineStr">
        <is>
          <t>Option B</t>
        </is>
      </c>
      <c r="H1" s="4" t="inlineStr">
        <is>
          <t>Option C</t>
        </is>
      </c>
      <c r="I1" s="4" t="inlineStr">
        <is>
          <t>Option D</t>
        </is>
      </c>
      <c r="J1" s="4" t="inlineStr">
        <is>
          <t>Domain A</t>
        </is>
      </c>
      <c r="K1" s="4" t="inlineStr">
        <is>
          <t>Domain B</t>
        </is>
      </c>
      <c r="L1" s="4" t="inlineStr">
        <is>
          <t>Domain C</t>
        </is>
      </c>
      <c r="M1" s="4" t="inlineStr">
        <is>
          <t>Domain D</t>
        </is>
      </c>
      <c r="N1" s="4" t="inlineStr">
        <is>
          <t>Correct answer</t>
        </is>
      </c>
      <c r="O1" s="4" t="inlineStr">
        <is>
          <t>Your answer (scored items)</t>
        </is>
      </c>
      <c r="P1" s="4" t="inlineStr">
        <is>
          <t>Most (self-report)</t>
        </is>
      </c>
      <c r="Q1" s="4" t="inlineStr">
        <is>
          <t>Least (self-report)</t>
        </is>
      </c>
      <c r="R1" s="4" t="inlineStr">
        <is>
          <t>Most domain</t>
        </is>
      </c>
      <c r="S1" s="4" t="inlineStr">
        <is>
          <t>Least domain</t>
        </is>
      </c>
      <c r="T1" s="4" t="inlineStr">
        <is>
          <t>Correct? (0/1)</t>
        </is>
      </c>
      <c r="U1" s="4" t="inlineStr">
        <is>
          <t>Open response (creative — not auto-scored)</t>
        </is>
      </c>
    </row>
    <row r="2">
      <c r="A2" s="5" t="n">
        <v>1</v>
      </c>
      <c r="B2" s="5" t="n">
        <v>1</v>
      </c>
      <c r="C2" s="5" t="inlineStr">
        <is>
          <t>Problem Solving</t>
        </is>
      </c>
      <c r="D2" s="5" t="inlineStr">
        <is>
          <t>Scored</t>
        </is>
      </c>
      <c r="E2" s="6" t="inlineStr">
        <is>
          <t>Three interns — Farah, Jyoti, Kabir — are scheduled for interviews in sequence. Kabir is not last. Kabir is not first. Jyoti is not last. Who is in the middle?</t>
        </is>
      </c>
      <c r="F2" s="6" t="inlineStr">
        <is>
          <t>Cannot be determined</t>
        </is>
      </c>
      <c r="G2" s="6" t="inlineStr">
        <is>
          <t>Kabir</t>
        </is>
      </c>
      <c r="H2" s="6" t="inlineStr">
        <is>
          <t>Jyoti</t>
        </is>
      </c>
      <c r="I2" s="6" t="inlineStr">
        <is>
          <t>Farah</t>
        </is>
      </c>
      <c r="J2" s="5" t="n"/>
      <c r="K2" s="5" t="n"/>
      <c r="L2" s="5" t="n"/>
      <c r="M2" s="5" t="n"/>
      <c r="N2" s="5" t="inlineStr">
        <is>
          <t>B</t>
        </is>
      </c>
      <c r="O2" s="5" t="n"/>
      <c r="P2" s="5" t="n"/>
      <c r="Q2" s="5" t="n"/>
      <c r="R2" s="5" t="n"/>
      <c r="S2" s="5" t="n"/>
      <c r="T2" s="5">
        <f>IF(O2="","",IF(O2=N2,1,0))</f>
        <v/>
      </c>
      <c r="U2" s="6" t="n"/>
    </row>
    <row r="3">
      <c r="A3" s="5" t="n">
        <v>1</v>
      </c>
      <c r="B3" s="5" t="n">
        <v>2</v>
      </c>
      <c r="C3" s="5" t="inlineStr">
        <is>
          <t>Critical Thinking</t>
        </is>
      </c>
      <c r="D3" s="5" t="inlineStr">
        <is>
          <t>Scored</t>
        </is>
      </c>
      <c r="E3" s="6" t="inlineStr">
        <is>
          <t>A campus report notes students who join more clubs have higher GPAs, and concludes clubs cause better grades. What's the actual flaw in this reasoning?</t>
        </is>
      </c>
      <c r="F3" s="6" t="inlineStr">
        <is>
          <t>GPA cannot be affected by activities</t>
        </is>
      </c>
      <c r="G3" s="6" t="inlineStr">
        <is>
          <t>Clubs are proven to lower GPA</t>
        </is>
      </c>
      <c r="H3" s="6" t="inlineStr">
        <is>
          <t>No students join clubs</t>
        </is>
      </c>
      <c r="I3" s="6" t="inlineStr">
        <is>
          <t>It overlooks other traits, like motivation, that could explain both outcomes</t>
        </is>
      </c>
      <c r="J3" s="5" t="n"/>
      <c r="K3" s="5" t="n"/>
      <c r="L3" s="5" t="n"/>
      <c r="M3" s="5" t="n"/>
      <c r="N3" s="5" t="inlineStr">
        <is>
          <t>D</t>
        </is>
      </c>
      <c r="O3" s="5" t="n"/>
      <c r="P3" s="5" t="n"/>
      <c r="Q3" s="5" t="n"/>
      <c r="R3" s="5" t="n"/>
      <c r="S3" s="5" t="n"/>
      <c r="T3" s="5">
        <f>IF(O3="","",IF(O3=N3,1,0))</f>
        <v/>
      </c>
      <c r="U3" s="6" t="n"/>
    </row>
    <row r="4">
      <c r="A4" s="5" t="n">
        <v>1</v>
      </c>
      <c r="B4" s="5" t="n">
        <v>3</v>
      </c>
      <c r="C4" s="5" t="inlineStr">
        <is>
          <t>Decision Making</t>
        </is>
      </c>
      <c r="D4" s="5" t="inlineStr">
        <is>
          <t>Scored</t>
        </is>
      </c>
      <c r="E4" s="6" t="inlineStr">
        <is>
          <t>You only have time for ONE of these right now. Which gives the best value for the effort it takes?</t>
        </is>
      </c>
      <c r="F4" s="6" t="inlineStr">
        <is>
          <t>finish the group case study (effort 2, value 6)</t>
        </is>
      </c>
      <c r="G4" s="6" t="inlineStr">
        <is>
          <t>They are all equally good choices</t>
        </is>
      </c>
      <c r="H4" s="6" t="inlineStr">
        <is>
          <t>register for placement drive (effort 3, value 5)</t>
        </is>
      </c>
      <c r="I4" s="6" t="inlineStr">
        <is>
          <t>submit your internship application (effort 5, value 18)</t>
        </is>
      </c>
      <c r="J4" s="5" t="n"/>
      <c r="K4" s="5" t="n"/>
      <c r="L4" s="5" t="n"/>
      <c r="M4" s="5" t="n"/>
      <c r="N4" s="5" t="inlineStr">
        <is>
          <t>D</t>
        </is>
      </c>
      <c r="O4" s="5" t="n"/>
      <c r="P4" s="5" t="n"/>
      <c r="Q4" s="5" t="n"/>
      <c r="R4" s="5" t="n"/>
      <c r="S4" s="5" t="n"/>
      <c r="T4" s="5">
        <f>IF(O4="","",IF(O4=N4,1,0))</f>
        <v/>
      </c>
      <c r="U4" s="6" t="n"/>
    </row>
    <row r="5">
      <c r="A5" s="5" t="n">
        <v>1</v>
      </c>
      <c r="B5" s="5" t="n">
        <v>4</v>
      </c>
      <c r="C5" s="5" t="inlineStr">
        <is>
          <t>Mental Math</t>
        </is>
      </c>
      <c r="D5" s="5" t="inlineStr">
        <is>
          <t>Scored</t>
        </is>
      </c>
      <c r="E5" s="6" t="inlineStr">
        <is>
          <t>I'm thinking of a number. If you triple it, then subtract 45, then triple it, you get 81. What's my number?</t>
        </is>
      </c>
      <c r="F5" s="6" t="inlineStr">
        <is>
          <t>26</t>
        </is>
      </c>
      <c r="G5" s="6" t="inlineStr">
        <is>
          <t>25</t>
        </is>
      </c>
      <c r="H5" s="6" t="inlineStr">
        <is>
          <t>23</t>
        </is>
      </c>
      <c r="I5" s="6" t="inlineStr">
        <is>
          <t>24</t>
        </is>
      </c>
      <c r="J5" s="5" t="n"/>
      <c r="K5" s="5" t="n"/>
      <c r="L5" s="5" t="n"/>
      <c r="M5" s="5" t="n"/>
      <c r="N5" s="5" t="inlineStr">
        <is>
          <t>D</t>
        </is>
      </c>
      <c r="O5" s="5" t="n"/>
      <c r="P5" s="5" t="n"/>
      <c r="Q5" s="5" t="n"/>
      <c r="R5" s="5" t="n"/>
      <c r="S5" s="5" t="n"/>
      <c r="T5" s="5">
        <f>IF(O5="","",IF(O5=N5,1,0))</f>
        <v/>
      </c>
      <c r="U5" s="6" t="n"/>
    </row>
    <row r="6">
      <c r="A6" s="5" t="n">
        <v>1</v>
      </c>
      <c r="B6" s="5" t="n">
        <v>5</v>
      </c>
      <c r="C6" s="5" t="inlineStr">
        <is>
          <t>Cognitive Academia</t>
        </is>
      </c>
      <c r="D6" s="5" t="inlineStr">
        <is>
          <t>Scored</t>
        </is>
      </c>
      <c r="E6" s="6" t="inlineStr">
        <is>
          <t>What comes next in this pattern: 1, 3, 8, 16, 27, ?</t>
        </is>
      </c>
      <c r="F6" s="6" t="inlineStr">
        <is>
          <t>41</t>
        </is>
      </c>
      <c r="G6" s="6" t="inlineStr">
        <is>
          <t>38</t>
        </is>
      </c>
      <c r="H6" s="6" t="inlineStr">
        <is>
          <t>44</t>
        </is>
      </c>
      <c r="I6" s="6" t="inlineStr">
        <is>
          <t>47</t>
        </is>
      </c>
      <c r="J6" s="5" t="n"/>
      <c r="K6" s="5" t="n"/>
      <c r="L6" s="5" t="n"/>
      <c r="M6" s="5" t="n"/>
      <c r="N6" s="5" t="inlineStr">
        <is>
          <t>A</t>
        </is>
      </c>
      <c r="O6" s="5" t="n"/>
      <c r="P6" s="5" t="n"/>
      <c r="Q6" s="5" t="n"/>
      <c r="R6" s="5" t="n"/>
      <c r="S6" s="5" t="n"/>
      <c r="T6" s="5">
        <f>IF(O6="","",IF(O6=N6,1,0))</f>
        <v/>
      </c>
      <c r="U6" s="6" t="n"/>
    </row>
    <row r="7">
      <c r="A7" s="5" t="n">
        <v>1</v>
      </c>
      <c r="B7" s="5" t="n">
        <v>6</v>
      </c>
      <c r="C7" s="5" t="inlineStr">
        <is>
          <t>Leadership / Communication / Emotional &amp; Social</t>
        </is>
      </c>
      <c r="D7" s="5" t="inlineStr">
        <is>
          <t>Self-report (most/least)</t>
        </is>
      </c>
      <c r="E7" s="6" t="inlineStr">
        <is>
          <t>Your capstone project teammate has gone quiet for a week right before the final deadline.</t>
        </is>
      </c>
      <c r="F7" s="6" t="inlineStr">
        <is>
          <t>You enjoy being chosen to head a club or project</t>
        </is>
      </c>
      <c r="G7" s="6" t="inlineStr">
        <is>
          <t>You make sure your argument comes across persuasively</t>
        </is>
      </c>
      <c r="H7" s="6" t="inlineStr">
        <is>
          <t>None of these feel like you in this moment</t>
        </is>
      </c>
      <c r="I7" s="6" t="inlineStr">
        <is>
          <t>You can sense how someone feels without them saying it</t>
        </is>
      </c>
      <c r="J7" s="5" t="inlineStr">
        <is>
          <t>LD</t>
        </is>
      </c>
      <c r="K7" s="5" t="inlineStr">
        <is>
          <t>CM</t>
        </is>
      </c>
      <c r="L7" s="5" t="inlineStr"/>
      <c r="M7" s="5" t="inlineStr">
        <is>
          <t>ES</t>
        </is>
      </c>
      <c r="N7" s="5" t="n"/>
      <c r="O7" s="5" t="n"/>
      <c r="P7" s="5" t="n"/>
      <c r="Q7" s="5" t="n"/>
      <c r="R7" s="5">
        <f>IFERROR(INDEX(J7:M7,MATCH(P7,{"A","B","C","D"},0)),"")</f>
        <v/>
      </c>
      <c r="S7" s="5">
        <f>IFERROR(INDEX(J7:M7,MATCH(Q7,{"A","B","C","D"},0)),"")</f>
        <v/>
      </c>
      <c r="T7" s="5" t="n"/>
      <c r="U7" s="6" t="n"/>
    </row>
    <row r="8">
      <c r="A8" s="5" t="n">
        <v>1</v>
      </c>
      <c r="B8" s="5" t="n">
        <v>7</v>
      </c>
      <c r="C8" s="5" t="inlineStr">
        <is>
          <t>Leadership / Communication / Emotional &amp; Social</t>
        </is>
      </c>
      <c r="D8" s="5" t="inlineStr">
        <is>
          <t>Self-report (most/least)</t>
        </is>
      </c>
      <c r="E8" s="6" t="inlineStr">
        <is>
          <t>You're mid-interview and realize you've been misrepresenting a skill on your resume.</t>
        </is>
      </c>
      <c r="F8" s="6" t="inlineStr">
        <is>
          <t>You're comfortable meeting people outside your usual circle</t>
        </is>
      </c>
      <c r="G8" s="6" t="inlineStr">
        <is>
          <t>You'd need more time before reacting at all</t>
        </is>
      </c>
      <c r="H8" s="6" t="inlineStr">
        <is>
          <t>You find the right words to explain something nuanced</t>
        </is>
      </c>
      <c r="I8" s="6" t="inlineStr">
        <is>
          <t>You like setting clear goals for a group</t>
        </is>
      </c>
      <c r="J8" s="5" t="inlineStr">
        <is>
          <t>ES</t>
        </is>
      </c>
      <c r="K8" s="5" t="inlineStr"/>
      <c r="L8" s="5" t="inlineStr">
        <is>
          <t>CM</t>
        </is>
      </c>
      <c r="M8" s="5" t="inlineStr">
        <is>
          <t>LD</t>
        </is>
      </c>
      <c r="N8" s="5" t="n"/>
      <c r="O8" s="5" t="n"/>
      <c r="P8" s="5" t="n"/>
      <c r="Q8" s="5" t="n"/>
      <c r="R8" s="5">
        <f>IFERROR(INDEX(J8:M8,MATCH(P8,{"A","B","C","D"},0)),"")</f>
        <v/>
      </c>
      <c r="S8" s="5">
        <f>IFERROR(INDEX(J8:M8,MATCH(Q8,{"A","B","C","D"},0)),"")</f>
        <v/>
      </c>
      <c r="T8" s="5" t="n"/>
      <c r="U8" s="6" t="n"/>
    </row>
    <row r="9">
      <c r="A9" s="5" t="n">
        <v>1</v>
      </c>
      <c r="B9" s="5" t="n">
        <v>8</v>
      </c>
      <c r="C9" s="5" t="inlineStr">
        <is>
          <t>Leadership / Communication / Emotional &amp; Social</t>
        </is>
      </c>
      <c r="D9" s="5" t="inlineStr">
        <is>
          <t>Self-report (most/least)</t>
        </is>
      </c>
      <c r="E9" s="6" t="inlineStr">
        <is>
          <t>A first-year student is clearly overwhelmed and comes to you for advice you're not sure you have.</t>
        </is>
      </c>
      <c r="F9" s="6" t="inlineStr">
        <is>
          <t>You check that your audience understood your point</t>
        </is>
      </c>
      <c r="G9" s="6" t="inlineStr">
        <is>
          <t>You'd rather wait and see what others do first</t>
        </is>
      </c>
      <c r="H9" s="6" t="inlineStr">
        <is>
          <t>You enjoy leading during group assignments or events</t>
        </is>
      </c>
      <c r="I9" s="6" t="inlineStr">
        <is>
          <t>You stay patient even under pressure</t>
        </is>
      </c>
      <c r="J9" s="5" t="inlineStr">
        <is>
          <t>CM</t>
        </is>
      </c>
      <c r="K9" s="5" t="inlineStr"/>
      <c r="L9" s="5" t="inlineStr">
        <is>
          <t>LD</t>
        </is>
      </c>
      <c r="M9" s="5" t="inlineStr">
        <is>
          <t>ES</t>
        </is>
      </c>
      <c r="N9" s="5" t="n"/>
      <c r="O9" s="5" t="n"/>
      <c r="P9" s="5" t="n"/>
      <c r="Q9" s="5" t="n"/>
      <c r="R9" s="5">
        <f>IFERROR(INDEX(J9:M9,MATCH(P9,{"A","B","C","D"},0)),"")</f>
        <v/>
      </c>
      <c r="S9" s="5">
        <f>IFERROR(INDEX(J9:M9,MATCH(Q9,{"A","B","C","D"},0)),"")</f>
        <v/>
      </c>
      <c r="T9" s="5" t="n"/>
      <c r="U9" s="6" t="n"/>
    </row>
    <row r="10">
      <c r="A10" s="5" t="n">
        <v>1</v>
      </c>
      <c r="B10" s="5" t="n">
        <v>9</v>
      </c>
      <c r="C10" s="5" t="inlineStr">
        <is>
          <t>Creative Skills</t>
        </is>
      </c>
      <c r="D10" s="5" t="inlineStr">
        <is>
          <t>Open-ended (not auto-scored)</t>
        </is>
      </c>
      <c r="E10" s="6" t="inlineStr">
        <is>
          <t>Propose one unconventional idea for a campus event that would genuinely get students excited. Describe it briefly.</t>
        </is>
      </c>
      <c r="F10" s="6" t="n"/>
      <c r="G10" s="6" t="n"/>
      <c r="H10" s="6" t="n"/>
      <c r="I10" s="6" t="n"/>
      <c r="J10" s="5" t="n"/>
      <c r="K10" s="5" t="n"/>
      <c r="L10" s="5" t="n"/>
      <c r="M10" s="5" t="n"/>
      <c r="N10" s="5" t="n"/>
      <c r="O10" s="5" t="n"/>
      <c r="P10" s="5" t="n"/>
      <c r="Q10" s="5" t="n"/>
      <c r="R10" s="5" t="n"/>
      <c r="S10" s="5" t="n"/>
      <c r="T10" s="5" t="n"/>
      <c r="U10" s="6" t="n"/>
    </row>
    <row r="11">
      <c r="A11" s="5" t="n">
        <v>1</v>
      </c>
      <c r="B11" s="5" t="n">
        <v>10</v>
      </c>
      <c r="C11" s="5" t="inlineStr">
        <is>
          <t>Listening Skills</t>
        </is>
      </c>
      <c r="D11" s="5" t="inlineStr">
        <is>
          <t>Scored</t>
        </is>
      </c>
      <c r="E11" s="6" t="inlineStr">
        <is>
          <t>[Read once, then answer without re-reading] “Before the placement interview, Tara reviewed the job description, prepared two questions, and finally rehearsed her introduction.”  ||  What happened right after the first thing mentioned?</t>
        </is>
      </c>
      <c r="F11" s="6" t="inlineStr">
        <is>
          <t>reviewed the job description</t>
        </is>
      </c>
      <c r="G11" s="6" t="inlineStr">
        <is>
          <t>signed the offer letter</t>
        </is>
      </c>
      <c r="H11" s="6" t="inlineStr">
        <is>
          <t>prepared two questions</t>
        </is>
      </c>
      <c r="I11" s="6" t="inlineStr">
        <is>
          <t>rehearsed her introduction</t>
        </is>
      </c>
      <c r="J11" s="5" t="n"/>
      <c r="K11" s="5" t="n"/>
      <c r="L11" s="5" t="n"/>
      <c r="M11" s="5" t="n"/>
      <c r="N11" s="5" t="inlineStr">
        <is>
          <t>C</t>
        </is>
      </c>
      <c r="O11" s="5" t="n"/>
      <c r="P11" s="5" t="n"/>
      <c r="Q11" s="5" t="n"/>
      <c r="R11" s="5" t="n"/>
      <c r="S11" s="5" t="n"/>
      <c r="T11" s="5">
        <f>IF(O11="","",IF(O11=N11,1,0))</f>
        <v/>
      </c>
      <c r="U11" s="6" t="n"/>
    </row>
    <row r="12">
      <c r="A12" s="7" t="n">
        <v>2</v>
      </c>
      <c r="B12" s="7" t="n">
        <v>1</v>
      </c>
      <c r="C12" s="7" t="inlineStr">
        <is>
          <t>Problem Solving</t>
        </is>
      </c>
      <c r="D12" s="7" t="inlineStr">
        <is>
          <t>Scored</t>
        </is>
      </c>
      <c r="E12" s="8" t="inlineStr">
        <is>
          <t>Three interns — Priya, Ishaan, Gopal — are scheduled for interviews in sequence. Ishaan is not in the middle. Priya is not first. Gopal is not in the middle. Gopal is not last. Who is last?</t>
        </is>
      </c>
      <c r="F12" s="8" t="inlineStr">
        <is>
          <t>Gopal</t>
        </is>
      </c>
      <c r="G12" s="8" t="inlineStr">
        <is>
          <t>Cannot be determined</t>
        </is>
      </c>
      <c r="H12" s="8" t="inlineStr">
        <is>
          <t>Priya</t>
        </is>
      </c>
      <c r="I12" s="8" t="inlineStr">
        <is>
          <t>Ishaan</t>
        </is>
      </c>
      <c r="J12" s="7" t="n"/>
      <c r="K12" s="7" t="n"/>
      <c r="L12" s="7" t="n"/>
      <c r="M12" s="7" t="n"/>
      <c r="N12" s="7" t="inlineStr">
        <is>
          <t>D</t>
        </is>
      </c>
      <c r="O12" s="7" t="n"/>
      <c r="P12" s="7" t="n"/>
      <c r="Q12" s="7" t="n"/>
      <c r="R12" s="7" t="n"/>
      <c r="S12" s="7" t="n"/>
      <c r="T12" s="7">
        <f>IF(O12="","",IF(O12=N12,1,0))</f>
        <v/>
      </c>
      <c r="U12" s="8" t="n"/>
    </row>
    <row r="13">
      <c r="A13" s="7" t="n">
        <v>2</v>
      </c>
      <c r="B13" s="7" t="n">
        <v>2</v>
      </c>
      <c r="C13" s="7" t="inlineStr">
        <is>
          <t>Critical Thinking</t>
        </is>
      </c>
      <c r="D13" s="7" t="inlineStr">
        <is>
          <t>Scored</t>
        </is>
      </c>
      <c r="E13" s="8" t="inlineStr">
        <is>
          <t>After two friends got rejected from a certain company, a student says: 'That company never hires from our college.' What's the actual flaw in this reasoning?</t>
        </is>
      </c>
      <c r="F13" s="8" t="inlineStr">
        <is>
          <t>The company has never hired anyone</t>
        </is>
      </c>
      <c r="G13" s="8" t="inlineStr">
        <is>
          <t>Two data points prove a certainty</t>
        </is>
      </c>
      <c r="H13" s="8" t="inlineStr">
        <is>
          <t>Rejections are always personal</t>
        </is>
      </c>
      <c r="I13" s="8" t="inlineStr">
        <is>
          <t>The conclusion is drawn from too small a sample to be reliable</t>
        </is>
      </c>
      <c r="J13" s="7" t="n"/>
      <c r="K13" s="7" t="n"/>
      <c r="L13" s="7" t="n"/>
      <c r="M13" s="7" t="n"/>
      <c r="N13" s="7" t="inlineStr">
        <is>
          <t>D</t>
        </is>
      </c>
      <c r="O13" s="7" t="n"/>
      <c r="P13" s="7" t="n"/>
      <c r="Q13" s="7" t="n"/>
      <c r="R13" s="7" t="n"/>
      <c r="S13" s="7" t="n"/>
      <c r="T13" s="7">
        <f>IF(O13="","",IF(O13=N13,1,0))</f>
        <v/>
      </c>
      <c r="U13" s="8" t="n"/>
    </row>
    <row r="14">
      <c r="A14" s="7" t="n">
        <v>2</v>
      </c>
      <c r="B14" s="7" t="n">
        <v>3</v>
      </c>
      <c r="C14" s="7" t="inlineStr">
        <is>
          <t>Decision Making</t>
        </is>
      </c>
      <c r="D14" s="7" t="inlineStr">
        <is>
          <t>Scored</t>
        </is>
      </c>
      <c r="E14" s="8" t="inlineStr">
        <is>
          <t>You have 42 minutes. register for placement drive takes 22 minutes, finish the group case study takes 20 minutes, and submit your internship application takes 29 minutes. You must skip exactly one of them to fit the other two into your 42 minutes. Which should you skip?</t>
        </is>
      </c>
      <c r="F14" s="8" t="inlineStr">
        <is>
          <t>finish the group case study</t>
        </is>
      </c>
      <c r="G14" s="8" t="inlineStr">
        <is>
          <t>It's impossible to fit any two</t>
        </is>
      </c>
      <c r="H14" s="8" t="inlineStr">
        <is>
          <t>register for placement drive</t>
        </is>
      </c>
      <c r="I14" s="8" t="inlineStr">
        <is>
          <t>submit your internship application</t>
        </is>
      </c>
      <c r="J14" s="7" t="n"/>
      <c r="K14" s="7" t="n"/>
      <c r="L14" s="7" t="n"/>
      <c r="M14" s="7" t="n"/>
      <c r="N14" s="7" t="inlineStr">
        <is>
          <t>D</t>
        </is>
      </c>
      <c r="O14" s="7" t="n"/>
      <c r="P14" s="7" t="n"/>
      <c r="Q14" s="7" t="n"/>
      <c r="R14" s="7" t="n"/>
      <c r="S14" s="7" t="n"/>
      <c r="T14" s="7">
        <f>IF(O14="","",IF(O14=N14,1,0))</f>
        <v/>
      </c>
      <c r="U14" s="8" t="n"/>
    </row>
    <row r="15">
      <c r="A15" s="7" t="n">
        <v>2</v>
      </c>
      <c r="B15" s="7" t="n">
        <v>4</v>
      </c>
      <c r="C15" s="7" t="inlineStr">
        <is>
          <t>Mental Math</t>
        </is>
      </c>
      <c r="D15" s="7" t="inlineStr">
        <is>
          <t>Scored</t>
        </is>
      </c>
      <c r="E15" s="8" t="inlineStr">
        <is>
          <t>After spending 37 and later receiving 4 as a gift, Noor has 24. How much did Noor start with?</t>
        </is>
      </c>
      <c r="F15" s="8" t="inlineStr">
        <is>
          <t>57</t>
        </is>
      </c>
      <c r="G15" s="8" t="inlineStr">
        <is>
          <t>53</t>
        </is>
      </c>
      <c r="H15" s="8" t="inlineStr">
        <is>
          <t>94</t>
        </is>
      </c>
      <c r="I15" s="8" t="inlineStr">
        <is>
          <t>24</t>
        </is>
      </c>
      <c r="J15" s="7" t="n"/>
      <c r="K15" s="7" t="n"/>
      <c r="L15" s="7" t="n"/>
      <c r="M15" s="7" t="n"/>
      <c r="N15" s="7" t="inlineStr">
        <is>
          <t>A</t>
        </is>
      </c>
      <c r="O15" s="7" t="n"/>
      <c r="P15" s="7" t="n"/>
      <c r="Q15" s="7" t="n"/>
      <c r="R15" s="7" t="n"/>
      <c r="S15" s="7" t="n"/>
      <c r="T15" s="7">
        <f>IF(O15="","",IF(O15=N15,1,0))</f>
        <v/>
      </c>
      <c r="U15" s="8" t="n"/>
    </row>
    <row r="16">
      <c r="A16" s="7" t="n">
        <v>2</v>
      </c>
      <c r="B16" s="7" t="n">
        <v>5</v>
      </c>
      <c r="C16" s="7" t="inlineStr">
        <is>
          <t>Cognitive Academia</t>
        </is>
      </c>
      <c r="D16" s="7" t="inlineStr">
        <is>
          <t>Scored</t>
        </is>
      </c>
      <c r="E16" s="8" t="inlineStr">
        <is>
          <t>What comes next in this pattern: 4, 5, 9, 14, 23, ?</t>
        </is>
      </c>
      <c r="F16" s="8" t="inlineStr">
        <is>
          <t>37</t>
        </is>
      </c>
      <c r="G16" s="8" t="inlineStr">
        <is>
          <t>41</t>
        </is>
      </c>
      <c r="H16" s="8" t="inlineStr">
        <is>
          <t>35</t>
        </is>
      </c>
      <c r="I16" s="8" t="inlineStr">
        <is>
          <t>46</t>
        </is>
      </c>
      <c r="J16" s="7" t="n"/>
      <c r="K16" s="7" t="n"/>
      <c r="L16" s="7" t="n"/>
      <c r="M16" s="7" t="n"/>
      <c r="N16" s="7" t="inlineStr">
        <is>
          <t>A</t>
        </is>
      </c>
      <c r="O16" s="7" t="n"/>
      <c r="P16" s="7" t="n"/>
      <c r="Q16" s="7" t="n"/>
      <c r="R16" s="7" t="n"/>
      <c r="S16" s="7" t="n"/>
      <c r="T16" s="7">
        <f>IF(O16="","",IF(O16=N16,1,0))</f>
        <v/>
      </c>
      <c r="U16" s="8" t="n"/>
    </row>
    <row r="17">
      <c r="A17" s="7" t="n">
        <v>2</v>
      </c>
      <c r="B17" s="7" t="n">
        <v>6</v>
      </c>
      <c r="C17" s="7" t="inlineStr">
        <is>
          <t>Leadership / Communication / Emotional &amp; Social</t>
        </is>
      </c>
      <c r="D17" s="7" t="inlineStr">
        <is>
          <t>Self-report (most/least)</t>
        </is>
      </c>
      <c r="E17" s="8" t="inlineStr">
        <is>
          <t>Your case competition team is split on the final recommendation two hours before the pitch.</t>
        </is>
      </c>
      <c r="F17" s="8" t="inlineStr">
        <is>
          <t>You'd need more time before reacting at all</t>
        </is>
      </c>
      <c r="G17" s="8" t="inlineStr">
        <is>
          <t>You notice when a peer is under pressure</t>
        </is>
      </c>
      <c r="H17" s="8" t="inlineStr">
        <is>
          <t>You naturally take charge when a project lacks direction</t>
        </is>
      </c>
      <c r="I17" s="8" t="inlineStr">
        <is>
          <t>You explain your reasoning clearly so others follow it</t>
        </is>
      </c>
      <c r="J17" s="7" t="inlineStr"/>
      <c r="K17" s="7" t="inlineStr">
        <is>
          <t>ES</t>
        </is>
      </c>
      <c r="L17" s="7" t="inlineStr">
        <is>
          <t>LD</t>
        </is>
      </c>
      <c r="M17" s="7" t="inlineStr">
        <is>
          <t>CM</t>
        </is>
      </c>
      <c r="N17" s="7" t="n"/>
      <c r="O17" s="7" t="n"/>
      <c r="P17" s="7" t="n"/>
      <c r="Q17" s="7" t="n"/>
      <c r="R17" s="7">
        <f>IFERROR(INDEX(J17:M17,MATCH(P17,{"A","B","C","D"},0)),"")</f>
        <v/>
      </c>
      <c r="S17" s="7">
        <f>IFERROR(INDEX(J17:M17,MATCH(Q17,{"A","B","C","D"},0)),"")</f>
        <v/>
      </c>
      <c r="T17" s="7" t="n"/>
      <c r="U17" s="8" t="n"/>
    </row>
    <row r="18">
      <c r="A18" s="7" t="n">
        <v>2</v>
      </c>
      <c r="B18" s="7" t="n">
        <v>7</v>
      </c>
      <c r="C18" s="7" t="inlineStr">
        <is>
          <t>Leadership / Communication / Emotional &amp; Social</t>
        </is>
      </c>
      <c r="D18" s="7" t="inlineStr">
        <is>
          <t>Self-report (most/least)</t>
        </is>
      </c>
      <c r="E18" s="8" t="inlineStr">
        <is>
          <t>You discover a factual error in the group thesis the night before it's due.</t>
        </is>
      </c>
      <c r="F18" s="8" t="inlineStr">
        <is>
          <t>You'd rather wait and see what others do first</t>
        </is>
      </c>
      <c r="G18" s="8" t="inlineStr">
        <is>
          <t>You enjoy writing reports or giving structured presentations</t>
        </is>
      </c>
      <c r="H18" s="8" t="inlineStr">
        <is>
          <t>You're good at helping a stressed peer feel better</t>
        </is>
      </c>
      <c r="I18" s="8" t="inlineStr">
        <is>
          <t>You step up to lead when no one else volunteers</t>
        </is>
      </c>
      <c r="J18" s="7" t="inlineStr"/>
      <c r="K18" s="7" t="inlineStr">
        <is>
          <t>CM</t>
        </is>
      </c>
      <c r="L18" s="7" t="inlineStr">
        <is>
          <t>ES</t>
        </is>
      </c>
      <c r="M18" s="7" t="inlineStr">
        <is>
          <t>LD</t>
        </is>
      </c>
      <c r="N18" s="7" t="n"/>
      <c r="O18" s="7" t="n"/>
      <c r="P18" s="7" t="n"/>
      <c r="Q18" s="7" t="n"/>
      <c r="R18" s="7">
        <f>IFERROR(INDEX(J18:M18,MATCH(P18,{"A","B","C","D"},0)),"")</f>
        <v/>
      </c>
      <c r="S18" s="7">
        <f>IFERROR(INDEX(J18:M18,MATCH(Q18,{"A","B","C","D"},0)),"")</f>
        <v/>
      </c>
      <c r="T18" s="7" t="n"/>
      <c r="U18" s="8" t="n"/>
    </row>
    <row r="19">
      <c r="A19" s="7" t="n">
        <v>2</v>
      </c>
      <c r="B19" s="7" t="n">
        <v>8</v>
      </c>
      <c r="C19" s="7" t="inlineStr">
        <is>
          <t>Leadership / Communication / Emotional &amp; Social</t>
        </is>
      </c>
      <c r="D19" s="7" t="inlineStr">
        <is>
          <t>Self-report (most/least)</t>
        </is>
      </c>
      <c r="E19" s="8" t="inlineStr">
        <is>
          <t>A close friend just got rejected from every internship they applied to and is questioning everything.</t>
        </is>
      </c>
      <c r="F19" s="8" t="inlineStr">
        <is>
          <t>You'd step back and observe before choosing any of these</t>
        </is>
      </c>
      <c r="G19" s="8" t="inlineStr">
        <is>
          <t>You like presenting your ideas confidently to a group</t>
        </is>
      </c>
      <c r="H19" s="8" t="inlineStr">
        <is>
          <t>You handle disagreements without letting them escalate</t>
        </is>
      </c>
      <c r="I19" s="8" t="inlineStr">
        <is>
          <t>You take ownership when something goes wrong</t>
        </is>
      </c>
      <c r="J19" s="7" t="inlineStr"/>
      <c r="K19" s="7" t="inlineStr">
        <is>
          <t>CM</t>
        </is>
      </c>
      <c r="L19" s="7" t="inlineStr">
        <is>
          <t>ES</t>
        </is>
      </c>
      <c r="M19" s="7" t="inlineStr">
        <is>
          <t>LD</t>
        </is>
      </c>
      <c r="N19" s="7" t="n"/>
      <c r="O19" s="7" t="n"/>
      <c r="P19" s="7" t="n"/>
      <c r="Q19" s="7" t="n"/>
      <c r="R19" s="7">
        <f>IFERROR(INDEX(J19:M19,MATCH(P19,{"A","B","C","D"},0)),"")</f>
        <v/>
      </c>
      <c r="S19" s="7">
        <f>IFERROR(INDEX(J19:M19,MATCH(Q19,{"A","B","C","D"},0)),"")</f>
        <v/>
      </c>
      <c r="T19" s="7" t="n"/>
      <c r="U19" s="8" t="n"/>
    </row>
    <row r="20">
      <c r="A20" s="7" t="n">
        <v>2</v>
      </c>
      <c r="B20" s="7" t="n">
        <v>9</v>
      </c>
      <c r="C20" s="7" t="inlineStr">
        <is>
          <t>Creative Skills</t>
        </is>
      </c>
      <c r="D20" s="7" t="inlineStr">
        <is>
          <t>Open-ended (not auto-scored)</t>
        </is>
      </c>
      <c r="E20" s="8" t="inlineStr">
        <is>
          <t>Design an orientation-week activity that actually helps new students make real friends fast.</t>
        </is>
      </c>
      <c r="F20" s="8" t="n"/>
      <c r="G20" s="8" t="n"/>
      <c r="H20" s="8" t="n"/>
      <c r="I20" s="8" t="n"/>
      <c r="J20" s="7" t="n"/>
      <c r="K20" s="7" t="n"/>
      <c r="L20" s="7" t="n"/>
      <c r="M20" s="7" t="n"/>
      <c r="N20" s="7" t="n"/>
      <c r="O20" s="7" t="n"/>
      <c r="P20" s="7" t="n"/>
      <c r="Q20" s="7" t="n"/>
      <c r="R20" s="7" t="n"/>
      <c r="S20" s="7" t="n"/>
      <c r="T20" s="7" t="n"/>
      <c r="U20" s="8" t="n"/>
    </row>
    <row r="21">
      <c r="A21" s="7" t="n">
        <v>2</v>
      </c>
      <c r="B21" s="7" t="n">
        <v>10</v>
      </c>
      <c r="C21" s="7" t="inlineStr">
        <is>
          <t>Listening Skills</t>
        </is>
      </c>
      <c r="D21" s="7" t="inlineStr">
        <is>
          <t>Scored</t>
        </is>
      </c>
      <c r="E21" s="8" t="inlineStr">
        <is>
          <t>[Read once, then answer without re-reading] “Ahead of the case competition, the team divided the research, built the slide deck, and then ran a timed rehearsal.”  ||  What happened first?</t>
        </is>
      </c>
      <c r="F21" s="8" t="inlineStr">
        <is>
          <t>collected the winner's trophy</t>
        </is>
      </c>
      <c r="G21" s="8" t="inlineStr">
        <is>
          <t>divided the research</t>
        </is>
      </c>
      <c r="H21" s="8" t="inlineStr">
        <is>
          <t>ran a timed rehearsal</t>
        </is>
      </c>
      <c r="I21" s="8" t="inlineStr">
        <is>
          <t>built the slide deck</t>
        </is>
      </c>
      <c r="J21" s="7" t="n"/>
      <c r="K21" s="7" t="n"/>
      <c r="L21" s="7" t="n"/>
      <c r="M21" s="7" t="n"/>
      <c r="N21" s="7" t="inlineStr">
        <is>
          <t>B</t>
        </is>
      </c>
      <c r="O21" s="7" t="n"/>
      <c r="P21" s="7" t="n"/>
      <c r="Q21" s="7" t="n"/>
      <c r="R21" s="7" t="n"/>
      <c r="S21" s="7" t="n"/>
      <c r="T21" s="7">
        <f>IF(O21="","",IF(O21=N21,1,0))</f>
        <v/>
      </c>
      <c r="U21" s="8" t="n"/>
    </row>
    <row r="22">
      <c r="A22" s="5" t="n">
        <v>3</v>
      </c>
      <c r="B22" s="5" t="n">
        <v>1</v>
      </c>
      <c r="C22" s="5" t="inlineStr">
        <is>
          <t>Problem Solving</t>
        </is>
      </c>
      <c r="D22" s="5" t="inlineStr">
        <is>
          <t>Scored</t>
        </is>
      </c>
      <c r="E22" s="6" t="inlineStr">
        <is>
          <t>Three interns — Chen, Gopal, Hana — are scheduled for interviews in sequence. Chen is not first. Hana is not last. Hana is not first. Who is last?</t>
        </is>
      </c>
      <c r="F22" s="6" t="inlineStr">
        <is>
          <t>Cannot be determined</t>
        </is>
      </c>
      <c r="G22" s="6" t="inlineStr">
        <is>
          <t>Chen</t>
        </is>
      </c>
      <c r="H22" s="6" t="inlineStr">
        <is>
          <t>Hana</t>
        </is>
      </c>
      <c r="I22" s="6" t="inlineStr">
        <is>
          <t>Gopal</t>
        </is>
      </c>
      <c r="J22" s="5" t="n"/>
      <c r="K22" s="5" t="n"/>
      <c r="L22" s="5" t="n"/>
      <c r="M22" s="5" t="n"/>
      <c r="N22" s="5" t="inlineStr">
        <is>
          <t>B</t>
        </is>
      </c>
      <c r="O22" s="5" t="n"/>
      <c r="P22" s="5" t="n"/>
      <c r="Q22" s="5" t="n"/>
      <c r="R22" s="5" t="n"/>
      <c r="S22" s="5" t="n"/>
      <c r="T22" s="5">
        <f>IF(O22="","",IF(O22=N22,1,0))</f>
        <v/>
      </c>
      <c r="U22" s="6" t="n"/>
    </row>
    <row r="23">
      <c r="A23" s="5" t="n">
        <v>3</v>
      </c>
      <c r="B23" s="5" t="n">
        <v>2</v>
      </c>
      <c r="C23" s="5" t="inlineStr">
        <is>
          <t>Critical Thinking</t>
        </is>
      </c>
      <c r="D23" s="5" t="inlineStr">
        <is>
          <t>Scored</t>
        </is>
      </c>
      <c r="E23" s="6" t="inlineStr">
        <is>
          <t>A senior says: 'Either you get an internship this summer, or your career is basically over.' What's the actual flaw in this reasoning?</t>
        </is>
      </c>
      <c r="F23" s="6" t="inlineStr">
        <is>
          <t>No internships exist</t>
        </is>
      </c>
      <c r="G23" s="6" t="inlineStr">
        <is>
          <t>Careers cannot start after graduation</t>
        </is>
      </c>
      <c r="H23" s="6" t="inlineStr">
        <is>
          <t>Internships guarantee a career</t>
        </is>
      </c>
      <c r="I23" s="6" t="inlineStr">
        <is>
          <t>It ignores the many other realistic paths to a good career</t>
        </is>
      </c>
      <c r="J23" s="5" t="n"/>
      <c r="K23" s="5" t="n"/>
      <c r="L23" s="5" t="n"/>
      <c r="M23" s="5" t="n"/>
      <c r="N23" s="5" t="inlineStr">
        <is>
          <t>D</t>
        </is>
      </c>
      <c r="O23" s="5" t="n"/>
      <c r="P23" s="5" t="n"/>
      <c r="Q23" s="5" t="n"/>
      <c r="R23" s="5" t="n"/>
      <c r="S23" s="5" t="n"/>
      <c r="T23" s="5">
        <f>IF(O23="","",IF(O23=N23,1,0))</f>
        <v/>
      </c>
      <c r="U23" s="6" t="n"/>
    </row>
    <row r="24">
      <c r="A24" s="5" t="n">
        <v>3</v>
      </c>
      <c r="B24" s="5" t="n">
        <v>3</v>
      </c>
      <c r="C24" s="5" t="inlineStr">
        <is>
          <t>Decision Making</t>
        </is>
      </c>
      <c r="D24" s="5" t="inlineStr">
        <is>
          <t>Scored</t>
        </is>
      </c>
      <c r="E24" s="6" t="inlineStr">
        <is>
          <t>You only have time for ONE of these right now. Which gives the best value for the effort it takes?</t>
        </is>
      </c>
      <c r="F24" s="6" t="inlineStr">
        <is>
          <t>prepare your resume (effort 8, value 8)</t>
        </is>
      </c>
      <c r="G24" s="6" t="inlineStr">
        <is>
          <t>They are all equally good choices</t>
        </is>
      </c>
      <c r="H24" s="6" t="inlineStr">
        <is>
          <t>submit your internship application (effort 3, value 9)</t>
        </is>
      </c>
      <c r="I24" s="6" t="inlineStr">
        <is>
          <t>register for placement drive (effort 2, value 7)</t>
        </is>
      </c>
      <c r="J24" s="5" t="n"/>
      <c r="K24" s="5" t="n"/>
      <c r="L24" s="5" t="n"/>
      <c r="M24" s="5" t="n"/>
      <c r="N24" s="5" t="inlineStr">
        <is>
          <t>D</t>
        </is>
      </c>
      <c r="O24" s="5" t="n"/>
      <c r="P24" s="5" t="n"/>
      <c r="Q24" s="5" t="n"/>
      <c r="R24" s="5" t="n"/>
      <c r="S24" s="5" t="n"/>
      <c r="T24" s="5">
        <f>IF(O24="","",IF(O24=N24,1,0))</f>
        <v/>
      </c>
      <c r="U24" s="6" t="n"/>
    </row>
    <row r="25">
      <c r="A25" s="5" t="n">
        <v>3</v>
      </c>
      <c r="B25" s="5" t="n">
        <v>4</v>
      </c>
      <c r="C25" s="5" t="inlineStr">
        <is>
          <t>Mental Math</t>
        </is>
      </c>
      <c r="D25" s="5" t="inlineStr">
        <is>
          <t>Scored</t>
        </is>
      </c>
      <c r="E25" s="6" t="inlineStr">
        <is>
          <t>A recipe mixes blue paint and yellow paint in a 3:5 ratio. If you use 18 units of blue paint, how much yellow paint do you need?</t>
        </is>
      </c>
      <c r="F25" s="6" t="inlineStr">
        <is>
          <t>30</t>
        </is>
      </c>
      <c r="G25" s="6" t="inlineStr">
        <is>
          <t>18</t>
        </is>
      </c>
      <c r="H25" s="6" t="inlineStr">
        <is>
          <t>35</t>
        </is>
      </c>
      <c r="I25" s="6" t="inlineStr">
        <is>
          <t>25</t>
        </is>
      </c>
      <c r="J25" s="5" t="n"/>
      <c r="K25" s="5" t="n"/>
      <c r="L25" s="5" t="n"/>
      <c r="M25" s="5" t="n"/>
      <c r="N25" s="5" t="inlineStr">
        <is>
          <t>A</t>
        </is>
      </c>
      <c r="O25" s="5" t="n"/>
      <c r="P25" s="5" t="n"/>
      <c r="Q25" s="5" t="n"/>
      <c r="R25" s="5" t="n"/>
      <c r="S25" s="5" t="n"/>
      <c r="T25" s="5">
        <f>IF(O25="","",IF(O25=N25,1,0))</f>
        <v/>
      </c>
      <c r="U25" s="6" t="n"/>
    </row>
    <row r="26">
      <c r="A26" s="5" t="n">
        <v>3</v>
      </c>
      <c r="B26" s="5" t="n">
        <v>5</v>
      </c>
      <c r="C26" s="5" t="inlineStr">
        <is>
          <t>Cognitive Academia</t>
        </is>
      </c>
      <c r="D26" s="5" t="inlineStr">
        <is>
          <t>Scored</t>
        </is>
      </c>
      <c r="E26" s="6" t="inlineStr">
        <is>
          <t>What comes next in this pattern: 1, 4, 9, 16, ?</t>
        </is>
      </c>
      <c r="F26" s="6" t="inlineStr">
        <is>
          <t>25</t>
        </is>
      </c>
      <c r="G26" s="6" t="inlineStr">
        <is>
          <t>22</t>
        </is>
      </c>
      <c r="H26" s="6" t="inlineStr">
        <is>
          <t>27</t>
        </is>
      </c>
      <c r="I26" s="6" t="inlineStr">
        <is>
          <t>28</t>
        </is>
      </c>
      <c r="J26" s="5" t="n"/>
      <c r="K26" s="5" t="n"/>
      <c r="L26" s="5" t="n"/>
      <c r="M26" s="5" t="n"/>
      <c r="N26" s="5" t="inlineStr">
        <is>
          <t>A</t>
        </is>
      </c>
      <c r="O26" s="5" t="n"/>
      <c r="P26" s="5" t="n"/>
      <c r="Q26" s="5" t="n"/>
      <c r="R26" s="5" t="n"/>
      <c r="S26" s="5" t="n"/>
      <c r="T26" s="5">
        <f>IF(O26="","",IF(O26=N26,1,0))</f>
        <v/>
      </c>
      <c r="U26" s="6" t="n"/>
    </row>
    <row r="27">
      <c r="A27" s="5" t="n">
        <v>3</v>
      </c>
      <c r="B27" s="5" t="n">
        <v>6</v>
      </c>
      <c r="C27" s="5" t="inlineStr">
        <is>
          <t>Leadership / Communication / Emotional &amp; Social</t>
        </is>
      </c>
      <c r="D27" s="5" t="inlineStr">
        <is>
          <t>Self-report (most/least)</t>
        </is>
      </c>
      <c r="E27" s="6" t="inlineStr">
        <is>
          <t>Your startup pitch just got a tough, pointed question from a judge you don't have a good answer for.</t>
        </is>
      </c>
      <c r="F27" s="6" t="inlineStr">
        <is>
          <t>You check that your audience understood your point</t>
        </is>
      </c>
      <c r="G27" s="6" t="inlineStr">
        <is>
          <t>You'd rather wait and see what others do first</t>
        </is>
      </c>
      <c r="H27" s="6" t="inlineStr">
        <is>
          <t>You stay patient even under pressure</t>
        </is>
      </c>
      <c r="I27" s="6" t="inlineStr">
        <is>
          <t>You enjoy leading during group assignments or events</t>
        </is>
      </c>
      <c r="J27" s="5" t="inlineStr">
        <is>
          <t>CM</t>
        </is>
      </c>
      <c r="K27" s="5" t="inlineStr"/>
      <c r="L27" s="5" t="inlineStr">
        <is>
          <t>ES</t>
        </is>
      </c>
      <c r="M27" s="5" t="inlineStr">
        <is>
          <t>LD</t>
        </is>
      </c>
      <c r="N27" s="5" t="n"/>
      <c r="O27" s="5" t="n"/>
      <c r="P27" s="5" t="n"/>
      <c r="Q27" s="5" t="n"/>
      <c r="R27" s="5">
        <f>IFERROR(INDEX(J27:M27,MATCH(P27,{"A","B","C","D"},0)),"")</f>
        <v/>
      </c>
      <c r="S27" s="5">
        <f>IFERROR(INDEX(J27:M27,MATCH(Q27,{"A","B","C","D"},0)),"")</f>
        <v/>
      </c>
      <c r="T27" s="5" t="n"/>
      <c r="U27" s="6" t="n"/>
    </row>
    <row r="28">
      <c r="A28" s="5" t="n">
        <v>3</v>
      </c>
      <c r="B28" s="5" t="n">
        <v>7</v>
      </c>
      <c r="C28" s="5" t="inlineStr">
        <is>
          <t>Leadership / Communication / Emotional &amp; Social</t>
        </is>
      </c>
      <c r="D28" s="5" t="inlineStr">
        <is>
          <t>Self-report (most/least)</t>
        </is>
      </c>
      <c r="E28" s="6" t="inlineStr">
        <is>
          <t>You're the only one on your team who thinks the group's chosen direction is a mistake.</t>
        </is>
      </c>
      <c r="F28" s="6" t="inlineStr">
        <is>
          <t>You'd step back and observe before choosing any of these</t>
        </is>
      </c>
      <c r="G28" s="6" t="inlineStr">
        <is>
          <t>You notice subtle changes in a peer's mood</t>
        </is>
      </c>
      <c r="H28" s="6" t="inlineStr">
        <is>
          <t>You enjoy explaining your reasoning to mentors or peers</t>
        </is>
      </c>
      <c r="I28" s="6" t="inlineStr">
        <is>
          <t>You like guiding a team toward a shared outcome</t>
        </is>
      </c>
      <c r="J28" s="5" t="inlineStr"/>
      <c r="K28" s="5" t="inlineStr">
        <is>
          <t>ES</t>
        </is>
      </c>
      <c r="L28" s="5" t="inlineStr">
        <is>
          <t>CM</t>
        </is>
      </c>
      <c r="M28" s="5" t="inlineStr">
        <is>
          <t>LD</t>
        </is>
      </c>
      <c r="N28" s="5" t="n"/>
      <c r="O28" s="5" t="n"/>
      <c r="P28" s="5" t="n"/>
      <c r="Q28" s="5" t="n"/>
      <c r="R28" s="5">
        <f>IFERROR(INDEX(J28:M28,MATCH(P28,{"A","B","C","D"},0)),"")</f>
        <v/>
      </c>
      <c r="S28" s="5">
        <f>IFERROR(INDEX(J28:M28,MATCH(Q28,{"A","B","C","D"},0)),"")</f>
        <v/>
      </c>
      <c r="T28" s="5" t="n"/>
      <c r="U28" s="6" t="n"/>
    </row>
    <row r="29">
      <c r="A29" s="5" t="n">
        <v>3</v>
      </c>
      <c r="B29" s="5" t="n">
        <v>8</v>
      </c>
      <c r="C29" s="5" t="inlineStr">
        <is>
          <t>Leadership / Communication / Emotional &amp; Social</t>
        </is>
      </c>
      <c r="D29" s="5" t="inlineStr">
        <is>
          <t>Self-report (most/least)</t>
        </is>
      </c>
      <c r="E29" s="6" t="inlineStr">
        <is>
          <t>Your project partner wants to submit slightly altered data to make the results look stronger.</t>
        </is>
      </c>
      <c r="F29" s="6" t="inlineStr">
        <is>
          <t>None of these feel like you in this moment</t>
        </is>
      </c>
      <c r="G29" s="6" t="inlineStr">
        <is>
          <t>You like organizing a plan of action for your team</t>
        </is>
      </c>
      <c r="H29" s="6" t="inlineStr">
        <is>
          <t>You stay calm even during high-stakes deadlines</t>
        </is>
      </c>
      <c r="I29" s="6" t="inlineStr">
        <is>
          <t>You like asking clarifying questions in unfamiliar topics</t>
        </is>
      </c>
      <c r="J29" s="5" t="inlineStr"/>
      <c r="K29" s="5" t="inlineStr">
        <is>
          <t>LD</t>
        </is>
      </c>
      <c r="L29" s="5" t="inlineStr">
        <is>
          <t>ES</t>
        </is>
      </c>
      <c r="M29" s="5" t="inlineStr">
        <is>
          <t>CM</t>
        </is>
      </c>
      <c r="N29" s="5" t="n"/>
      <c r="O29" s="5" t="n"/>
      <c r="P29" s="5" t="n"/>
      <c r="Q29" s="5" t="n"/>
      <c r="R29" s="5">
        <f>IFERROR(INDEX(J29:M29,MATCH(P29,{"A","B","C","D"},0)),"")</f>
        <v/>
      </c>
      <c r="S29" s="5">
        <f>IFERROR(INDEX(J29:M29,MATCH(Q29,{"A","B","C","D"},0)),"")</f>
        <v/>
      </c>
      <c r="T29" s="5" t="n"/>
      <c r="U29" s="6" t="n"/>
    </row>
    <row r="30">
      <c r="A30" s="5" t="n">
        <v>3</v>
      </c>
      <c r="B30" s="5" t="n">
        <v>9</v>
      </c>
      <c r="C30" s="5" t="inlineStr">
        <is>
          <t>Creative Skills</t>
        </is>
      </c>
      <c r="D30" s="5" t="inlineStr">
        <is>
          <t>Open-ended (not auto-scored)</t>
        </is>
      </c>
      <c r="E30" s="6" t="inlineStr">
        <is>
          <t>Invent a feature for a career fair that no one has tried before.</t>
        </is>
      </c>
      <c r="F30" s="6" t="n"/>
      <c r="G30" s="6" t="n"/>
      <c r="H30" s="6" t="n"/>
      <c r="I30" s="6" t="n"/>
      <c r="J30" s="5" t="n"/>
      <c r="K30" s="5" t="n"/>
      <c r="L30" s="5" t="n"/>
      <c r="M30" s="5" t="n"/>
      <c r="N30" s="5" t="n"/>
      <c r="O30" s="5" t="n"/>
      <c r="P30" s="5" t="n"/>
      <c r="Q30" s="5" t="n"/>
      <c r="R30" s="5" t="n"/>
      <c r="S30" s="5" t="n"/>
      <c r="T30" s="5" t="n"/>
      <c r="U30" s="6" t="n"/>
    </row>
    <row r="31">
      <c r="A31" s="5" t="n">
        <v>3</v>
      </c>
      <c r="B31" s="5" t="n">
        <v>10</v>
      </c>
      <c r="C31" s="5" t="inlineStr">
        <is>
          <t>Listening Skills</t>
        </is>
      </c>
      <c r="D31" s="5" t="inlineStr">
        <is>
          <t>Scored</t>
        </is>
      </c>
      <c r="E31" s="6" t="inlineStr">
        <is>
          <t>[Read once, then answer without re-reading] “Before submitting the thesis, Iris checked the citations, formatted the bibliography, and finally proofread the conclusion.”  ||  What happened last?</t>
        </is>
      </c>
      <c r="F31" s="6" t="inlineStr">
        <is>
          <t>formatted the bibliography</t>
        </is>
      </c>
      <c r="G31" s="6" t="inlineStr">
        <is>
          <t>proofread the conclusion</t>
        </is>
      </c>
      <c r="H31" s="6" t="inlineStr">
        <is>
          <t>defended it in person</t>
        </is>
      </c>
      <c r="I31" s="6" t="inlineStr">
        <is>
          <t>checked the citations</t>
        </is>
      </c>
      <c r="J31" s="5" t="n"/>
      <c r="K31" s="5" t="n"/>
      <c r="L31" s="5" t="n"/>
      <c r="M31" s="5" t="n"/>
      <c r="N31" s="5" t="inlineStr">
        <is>
          <t>B</t>
        </is>
      </c>
      <c r="O31" s="5" t="n"/>
      <c r="P31" s="5" t="n"/>
      <c r="Q31" s="5" t="n"/>
      <c r="R31" s="5" t="n"/>
      <c r="S31" s="5" t="n"/>
      <c r="T31" s="5">
        <f>IF(O31="","",IF(O31=N31,1,0))</f>
        <v/>
      </c>
      <c r="U31" s="6" t="n"/>
    </row>
    <row r="32">
      <c r="A32" s="7" t="n">
        <v>4</v>
      </c>
      <c r="B32" s="7" t="n">
        <v>1</v>
      </c>
      <c r="C32" s="7" t="inlineStr">
        <is>
          <t>Problem Solving</t>
        </is>
      </c>
      <c r="D32" s="7" t="inlineStr">
        <is>
          <t>Scored</t>
        </is>
      </c>
      <c r="E32" s="8" t="inlineStr">
        <is>
          <t>Three interns — Gopal, Diya, Omar — are scheduled for interviews in sequence. Diya is not last. Omar is not in the middle. Omar is not first. Diya is not in the middle. Who is in the middle?</t>
        </is>
      </c>
      <c r="F32" s="8" t="inlineStr">
        <is>
          <t>Diya</t>
        </is>
      </c>
      <c r="G32" s="8" t="inlineStr">
        <is>
          <t>Omar</t>
        </is>
      </c>
      <c r="H32" s="8" t="inlineStr">
        <is>
          <t>Gopal</t>
        </is>
      </c>
      <c r="I32" s="8" t="inlineStr">
        <is>
          <t>Cannot be determined</t>
        </is>
      </c>
      <c r="J32" s="7" t="n"/>
      <c r="K32" s="7" t="n"/>
      <c r="L32" s="7" t="n"/>
      <c r="M32" s="7" t="n"/>
      <c r="N32" s="7" t="inlineStr">
        <is>
          <t>C</t>
        </is>
      </c>
      <c r="O32" s="7" t="n"/>
      <c r="P32" s="7" t="n"/>
      <c r="Q32" s="7" t="n"/>
      <c r="R32" s="7" t="n"/>
      <c r="S32" s="7" t="n"/>
      <c r="T32" s="7">
        <f>IF(O32="","",IF(O32=N32,1,0))</f>
        <v/>
      </c>
      <c r="U32" s="8" t="n"/>
    </row>
    <row r="33">
      <c r="A33" s="7" t="n">
        <v>4</v>
      </c>
      <c r="B33" s="7" t="n">
        <v>2</v>
      </c>
      <c r="C33" s="7" t="inlineStr">
        <is>
          <t>Critical Thinking</t>
        </is>
      </c>
      <c r="D33" s="7" t="inlineStr">
        <is>
          <t>Scored</t>
        </is>
      </c>
      <c r="E33" s="8" t="inlineStr">
        <is>
          <t>A club president says: 'This event will be great because it's going to be a great event.' What's the actual flaw in this reasoning?</t>
        </is>
      </c>
      <c r="F33" s="8" t="inlineStr">
        <is>
          <t>The statement just repeats the claim instead of giving a reason</t>
        </is>
      </c>
      <c r="G33" s="8" t="inlineStr">
        <is>
          <t>The event was cancelled</t>
        </is>
      </c>
      <c r="H33" s="8" t="inlineStr">
        <is>
          <t>Great and successful mean unrelated things</t>
        </is>
      </c>
      <c r="I33" s="8" t="inlineStr">
        <is>
          <t>No one is attending the event</t>
        </is>
      </c>
      <c r="J33" s="7" t="n"/>
      <c r="K33" s="7" t="n"/>
      <c r="L33" s="7" t="n"/>
      <c r="M33" s="7" t="n"/>
      <c r="N33" s="7" t="inlineStr">
        <is>
          <t>A</t>
        </is>
      </c>
      <c r="O33" s="7" t="n"/>
      <c r="P33" s="7" t="n"/>
      <c r="Q33" s="7" t="n"/>
      <c r="R33" s="7" t="n"/>
      <c r="S33" s="7" t="n"/>
      <c r="T33" s="7">
        <f>IF(O33="","",IF(O33=N33,1,0))</f>
        <v/>
      </c>
      <c r="U33" s="8" t="n"/>
    </row>
    <row r="34">
      <c r="A34" s="7" t="n">
        <v>4</v>
      </c>
      <c r="B34" s="7" t="n">
        <v>3</v>
      </c>
      <c r="C34" s="7" t="inlineStr">
        <is>
          <t>Decision Making</t>
        </is>
      </c>
      <c r="D34" s="7" t="inlineStr">
        <is>
          <t>Scored</t>
        </is>
      </c>
      <c r="E34" s="8" t="inlineStr">
        <is>
          <t>You have 38 minutes. prepare your resume takes 17 minutes, submit your internship application takes 21 minutes, and register for placement drive takes 26 minutes. You must skip exactly one of them to fit the other two into your 38 minutes. Which should you skip?</t>
        </is>
      </c>
      <c r="F34" s="8" t="inlineStr">
        <is>
          <t>prepare your resume</t>
        </is>
      </c>
      <c r="G34" s="8" t="inlineStr">
        <is>
          <t>It's impossible to fit any two</t>
        </is>
      </c>
      <c r="H34" s="8" t="inlineStr">
        <is>
          <t>submit your internship application</t>
        </is>
      </c>
      <c r="I34" s="8" t="inlineStr">
        <is>
          <t>register for placement drive</t>
        </is>
      </c>
      <c r="J34" s="7" t="n"/>
      <c r="K34" s="7" t="n"/>
      <c r="L34" s="7" t="n"/>
      <c r="M34" s="7" t="n"/>
      <c r="N34" s="7" t="inlineStr">
        <is>
          <t>D</t>
        </is>
      </c>
      <c r="O34" s="7" t="n"/>
      <c r="P34" s="7" t="n"/>
      <c r="Q34" s="7" t="n"/>
      <c r="R34" s="7" t="n"/>
      <c r="S34" s="7" t="n"/>
      <c r="T34" s="7">
        <f>IF(O34="","",IF(O34=N34,1,0))</f>
        <v/>
      </c>
      <c r="U34" s="8" t="n"/>
    </row>
    <row r="35">
      <c r="A35" s="7" t="n">
        <v>4</v>
      </c>
      <c r="B35" s="7" t="n">
        <v>4</v>
      </c>
      <c r="C35" s="7" t="inlineStr">
        <is>
          <t>Mental Math</t>
        </is>
      </c>
      <c r="D35" s="7" t="inlineStr">
        <is>
          <t>Scored</t>
        </is>
      </c>
      <c r="E35" s="8" t="inlineStr">
        <is>
          <t>I'm thinking of a number. If you add 36, then double it, then subtract 7, you get 91. What's my number?</t>
        </is>
      </c>
      <c r="F35" s="8" t="inlineStr">
        <is>
          <t>13</t>
        </is>
      </c>
      <c r="G35" s="8" t="inlineStr">
        <is>
          <t>14</t>
        </is>
      </c>
      <c r="H35" s="8" t="inlineStr">
        <is>
          <t>15</t>
        </is>
      </c>
      <c r="I35" s="8" t="inlineStr">
        <is>
          <t>12</t>
        </is>
      </c>
      <c r="J35" s="7" t="n"/>
      <c r="K35" s="7" t="n"/>
      <c r="L35" s="7" t="n"/>
      <c r="M35" s="7" t="n"/>
      <c r="N35" s="7" t="inlineStr">
        <is>
          <t>A</t>
        </is>
      </c>
      <c r="O35" s="7" t="n"/>
      <c r="P35" s="7" t="n"/>
      <c r="Q35" s="7" t="n"/>
      <c r="R35" s="7" t="n"/>
      <c r="S35" s="7" t="n"/>
      <c r="T35" s="7">
        <f>IF(O35="","",IF(O35=N35,1,0))</f>
        <v/>
      </c>
      <c r="U35" s="8" t="n"/>
    </row>
    <row r="36">
      <c r="A36" s="7" t="n">
        <v>4</v>
      </c>
      <c r="B36" s="7" t="n">
        <v>5</v>
      </c>
      <c r="C36" s="7" t="inlineStr">
        <is>
          <t>Cognitive Academia</t>
        </is>
      </c>
      <c r="D36" s="7" t="inlineStr">
        <is>
          <t>Scored</t>
        </is>
      </c>
      <c r="E36" s="8" t="inlineStr">
        <is>
          <t>What comes next in this pattern: 2, 5, 10, 13, 26, ?</t>
        </is>
      </c>
      <c r="F36" s="8" t="inlineStr">
        <is>
          <t>23</t>
        </is>
      </c>
      <c r="G36" s="8" t="inlineStr">
        <is>
          <t>28</t>
        </is>
      </c>
      <c r="H36" s="8" t="inlineStr">
        <is>
          <t>32</t>
        </is>
      </c>
      <c r="I36" s="8" t="inlineStr">
        <is>
          <t>29</t>
        </is>
      </c>
      <c r="J36" s="7" t="n"/>
      <c r="K36" s="7" t="n"/>
      <c r="L36" s="7" t="n"/>
      <c r="M36" s="7" t="n"/>
      <c r="N36" s="7" t="inlineStr">
        <is>
          <t>D</t>
        </is>
      </c>
      <c r="O36" s="7" t="n"/>
      <c r="P36" s="7" t="n"/>
      <c r="Q36" s="7" t="n"/>
      <c r="R36" s="7" t="n"/>
      <c r="S36" s="7" t="n"/>
      <c r="T36" s="7">
        <f>IF(O36="","",IF(O36=N36,1,0))</f>
        <v/>
      </c>
      <c r="U36" s="8" t="n"/>
    </row>
    <row r="37">
      <c r="A37" s="7" t="n">
        <v>4</v>
      </c>
      <c r="B37" s="7" t="n">
        <v>6</v>
      </c>
      <c r="C37" s="7" t="inlineStr">
        <is>
          <t>Leadership / Communication / Emotional &amp; Social</t>
        </is>
      </c>
      <c r="D37" s="7" t="inlineStr">
        <is>
          <t>Self-report (most/least)</t>
        </is>
      </c>
      <c r="E37" s="8" t="inlineStr">
        <is>
          <t>You're asked to represent your batch in a decision you personally disagree with.</t>
        </is>
      </c>
      <c r="F37" s="8" t="inlineStr">
        <is>
          <t>You'd step back and observe before choosing any of these</t>
        </is>
      </c>
      <c r="G37" s="8" t="inlineStr">
        <is>
          <t>You handle disagreements without letting them escalate</t>
        </is>
      </c>
      <c r="H37" s="8" t="inlineStr">
        <is>
          <t>You take ownership when something goes wrong</t>
        </is>
      </c>
      <c r="I37" s="8" t="inlineStr">
        <is>
          <t>You like presenting your ideas confidently to a group</t>
        </is>
      </c>
      <c r="J37" s="7" t="inlineStr"/>
      <c r="K37" s="7" t="inlineStr">
        <is>
          <t>ES</t>
        </is>
      </c>
      <c r="L37" s="7" t="inlineStr">
        <is>
          <t>LD</t>
        </is>
      </c>
      <c r="M37" s="7" t="inlineStr">
        <is>
          <t>CM</t>
        </is>
      </c>
      <c r="N37" s="7" t="n"/>
      <c r="O37" s="7" t="n"/>
      <c r="P37" s="7" t="n"/>
      <c r="Q37" s="7" t="n"/>
      <c r="R37" s="7">
        <f>IFERROR(INDEX(J37:M37,MATCH(P37,{"A","B","C","D"},0)),"")</f>
        <v/>
      </c>
      <c r="S37" s="7">
        <f>IFERROR(INDEX(J37:M37,MATCH(Q37,{"A","B","C","D"},0)),"")</f>
        <v/>
      </c>
      <c r="T37" s="7" t="n"/>
      <c r="U37" s="8" t="n"/>
    </row>
    <row r="38">
      <c r="A38" s="7" t="n">
        <v>4</v>
      </c>
      <c r="B38" s="7" t="n">
        <v>7</v>
      </c>
      <c r="C38" s="7" t="inlineStr">
        <is>
          <t>Leadership / Communication / Emotional &amp; Social</t>
        </is>
      </c>
      <c r="D38" s="7" t="inlineStr">
        <is>
          <t>Self-report (most/least)</t>
        </is>
      </c>
      <c r="E38" s="8" t="inlineStr">
        <is>
          <t>Your capstone project teammate has gone quiet for a week right before the final deadline.</t>
        </is>
      </c>
      <c r="F38" s="8" t="inlineStr">
        <is>
          <t>None of these feel like you in this moment</t>
        </is>
      </c>
      <c r="G38" s="8" t="inlineStr">
        <is>
          <t>You enjoy discussing ideas with classmates or colleagues</t>
        </is>
      </c>
      <c r="H38" s="8" t="inlineStr">
        <is>
          <t>You think about how a decision might affect others</t>
        </is>
      </c>
      <c r="I38" s="8" t="inlineStr">
        <is>
          <t>You feel confident making decisions under time pressure</t>
        </is>
      </c>
      <c r="J38" s="7" t="inlineStr"/>
      <c r="K38" s="7" t="inlineStr">
        <is>
          <t>CM</t>
        </is>
      </c>
      <c r="L38" s="7" t="inlineStr">
        <is>
          <t>ES</t>
        </is>
      </c>
      <c r="M38" s="7" t="inlineStr">
        <is>
          <t>LD</t>
        </is>
      </c>
      <c r="N38" s="7" t="n"/>
      <c r="O38" s="7" t="n"/>
      <c r="P38" s="7" t="n"/>
      <c r="Q38" s="7" t="n"/>
      <c r="R38" s="7">
        <f>IFERROR(INDEX(J38:M38,MATCH(P38,{"A","B","C","D"},0)),"")</f>
        <v/>
      </c>
      <c r="S38" s="7">
        <f>IFERROR(INDEX(J38:M38,MATCH(Q38,{"A","B","C","D"},0)),"")</f>
        <v/>
      </c>
      <c r="T38" s="7" t="n"/>
      <c r="U38" s="8" t="n"/>
    </row>
    <row r="39">
      <c r="A39" s="7" t="n">
        <v>4</v>
      </c>
      <c r="B39" s="7" t="n">
        <v>8</v>
      </c>
      <c r="C39" s="7" t="inlineStr">
        <is>
          <t>Leadership / Communication / Emotional &amp; Social</t>
        </is>
      </c>
      <c r="D39" s="7" t="inlineStr">
        <is>
          <t>Self-report (most/least)</t>
        </is>
      </c>
      <c r="E39" s="8" t="inlineStr">
        <is>
          <t>You're mid-interview and realize you've been misrepresenting a skill on your resume.</t>
        </is>
      </c>
      <c r="F39" s="8" t="inlineStr">
        <is>
          <t>You like structuring your thoughts before speaking</t>
        </is>
      </c>
      <c r="G39" s="8" t="inlineStr">
        <is>
          <t>You'd need more time before reacting at all</t>
        </is>
      </c>
      <c r="H39" s="8" t="inlineStr">
        <is>
          <t>You enjoy helping a peer work through a tough problem</t>
        </is>
      </c>
      <c r="I39" s="8" t="inlineStr">
        <is>
          <t>You naturally end up being the one who decides</t>
        </is>
      </c>
      <c r="J39" s="7" t="inlineStr">
        <is>
          <t>CM</t>
        </is>
      </c>
      <c r="K39" s="7" t="inlineStr"/>
      <c r="L39" s="7" t="inlineStr">
        <is>
          <t>ES</t>
        </is>
      </c>
      <c r="M39" s="7" t="inlineStr">
        <is>
          <t>LD</t>
        </is>
      </c>
      <c r="N39" s="7" t="n"/>
      <c r="O39" s="7" t="n"/>
      <c r="P39" s="7" t="n"/>
      <c r="Q39" s="7" t="n"/>
      <c r="R39" s="7">
        <f>IFERROR(INDEX(J39:M39,MATCH(P39,{"A","B","C","D"},0)),"")</f>
        <v/>
      </c>
      <c r="S39" s="7">
        <f>IFERROR(INDEX(J39:M39,MATCH(Q39,{"A","B","C","D"},0)),"")</f>
        <v/>
      </c>
      <c r="T39" s="7" t="n"/>
      <c r="U39" s="8" t="n"/>
    </row>
    <row r="40">
      <c r="A40" s="7" t="n">
        <v>4</v>
      </c>
      <c r="B40" s="7" t="n">
        <v>9</v>
      </c>
      <c r="C40" s="7" t="inlineStr">
        <is>
          <t>Creative Skills</t>
        </is>
      </c>
      <c r="D40" s="7" t="inlineStr">
        <is>
          <t>Open-ended (not auto-scored)</t>
        </is>
      </c>
      <c r="E40" s="8" t="inlineStr">
        <is>
          <t>If your college added one new elective with zero constraints, what would you propose?</t>
        </is>
      </c>
      <c r="F40" s="8" t="n"/>
      <c r="G40" s="8" t="n"/>
      <c r="H40" s="8" t="n"/>
      <c r="I40" s="8" t="n"/>
      <c r="J40" s="7" t="n"/>
      <c r="K40" s="7" t="n"/>
      <c r="L40" s="7" t="n"/>
      <c r="M40" s="7" t="n"/>
      <c r="N40" s="7" t="n"/>
      <c r="O40" s="7" t="n"/>
      <c r="P40" s="7" t="n"/>
      <c r="Q40" s="7" t="n"/>
      <c r="R40" s="7" t="n"/>
      <c r="S40" s="7" t="n"/>
      <c r="T40" s="7" t="n"/>
      <c r="U40" s="8" t="n"/>
    </row>
    <row r="41">
      <c r="A41" s="7" t="n">
        <v>4</v>
      </c>
      <c r="B41" s="7" t="n">
        <v>10</v>
      </c>
      <c r="C41" s="7" t="inlineStr">
        <is>
          <t>Listening Skills</t>
        </is>
      </c>
      <c r="D41" s="7" t="inlineStr">
        <is>
          <t>Scored</t>
        </is>
      </c>
      <c r="E41" s="8" t="inlineStr">
        <is>
          <t>[Read once, then answer without re-reading] “At the career fair, Felix updated his resume, printed several copies, and then approached the first recruiter's booth.”  ||  What happened first?</t>
        </is>
      </c>
      <c r="F41" s="8" t="inlineStr">
        <is>
          <t>printed several copies</t>
        </is>
      </c>
      <c r="G41" s="8" t="inlineStr">
        <is>
          <t>approached the recruiter's booth</t>
        </is>
      </c>
      <c r="H41" s="8" t="inlineStr">
        <is>
          <t>accepted a job offer</t>
        </is>
      </c>
      <c r="I41" s="8" t="inlineStr">
        <is>
          <t>updated his resume</t>
        </is>
      </c>
      <c r="J41" s="7" t="n"/>
      <c r="K41" s="7" t="n"/>
      <c r="L41" s="7" t="n"/>
      <c r="M41" s="7" t="n"/>
      <c r="N41" s="7" t="inlineStr">
        <is>
          <t>D</t>
        </is>
      </c>
      <c r="O41" s="7" t="n"/>
      <c r="P41" s="7" t="n"/>
      <c r="Q41" s="7" t="n"/>
      <c r="R41" s="7" t="n"/>
      <c r="S41" s="7" t="n"/>
      <c r="T41" s="7">
        <f>IF(O41="","",IF(O41=N41,1,0))</f>
        <v/>
      </c>
      <c r="U41" s="8" t="n"/>
    </row>
    <row r="42">
      <c r="A42" s="5" t="n">
        <v>5</v>
      </c>
      <c r="B42" s="5" t="n">
        <v>1</v>
      </c>
      <c r="C42" s="5" t="inlineStr">
        <is>
          <t>Problem Solving</t>
        </is>
      </c>
      <c r="D42" s="5" t="inlineStr">
        <is>
          <t>Scored</t>
        </is>
      </c>
      <c r="E42" s="6" t="inlineStr">
        <is>
          <t>Three interns — Aisha, Jyoti, Omar — are scheduled for interviews in sequence. Jyoti is not in the middle. Omar is not first. Aisha is not first. Omar is not in the middle. Who is last?</t>
        </is>
      </c>
      <c r="F42" s="6" t="inlineStr">
        <is>
          <t>Omar</t>
        </is>
      </c>
      <c r="G42" s="6" t="inlineStr">
        <is>
          <t>Cannot be determined</t>
        </is>
      </c>
      <c r="H42" s="6" t="inlineStr">
        <is>
          <t>Jyoti</t>
        </is>
      </c>
      <c r="I42" s="6" t="inlineStr">
        <is>
          <t>Aisha</t>
        </is>
      </c>
      <c r="J42" s="5" t="n"/>
      <c r="K42" s="5" t="n"/>
      <c r="L42" s="5" t="n"/>
      <c r="M42" s="5" t="n"/>
      <c r="N42" s="5" t="inlineStr">
        <is>
          <t>A</t>
        </is>
      </c>
      <c r="O42" s="5" t="n"/>
      <c r="P42" s="5" t="n"/>
      <c r="Q42" s="5" t="n"/>
      <c r="R42" s="5" t="n"/>
      <c r="S42" s="5" t="n"/>
      <c r="T42" s="5">
        <f>IF(O42="","",IF(O42=N42,1,0))</f>
        <v/>
      </c>
      <c r="U42" s="6" t="n"/>
    </row>
    <row r="43">
      <c r="A43" s="5" t="n">
        <v>5</v>
      </c>
      <c r="B43" s="5" t="n">
        <v>2</v>
      </c>
      <c r="C43" s="5" t="inlineStr">
        <is>
          <t>Critical Thinking</t>
        </is>
      </c>
      <c r="D43" s="5" t="inlineStr">
        <is>
          <t>Scored</t>
        </is>
      </c>
      <c r="E43" s="6" t="inlineStr">
        <is>
          <t>A student says: 'Most people in my friend group think this professor is unfair, so it must be true.' What's the actual flaw in this reasoning?</t>
        </is>
      </c>
      <c r="F43" s="6" t="inlineStr">
        <is>
          <t>Agreement among friends isn't actual evidence of unfairness</t>
        </is>
      </c>
      <c r="G43" s="6" t="inlineStr">
        <is>
          <t>The professor has never taught them</t>
        </is>
      </c>
      <c r="H43" s="6" t="inlineStr">
        <is>
          <t>Friend groups are always correct</t>
        </is>
      </c>
      <c r="I43" s="6" t="inlineStr">
        <is>
          <t>Fairness can't be evaluated</t>
        </is>
      </c>
      <c r="J43" s="5" t="n"/>
      <c r="K43" s="5" t="n"/>
      <c r="L43" s="5" t="n"/>
      <c r="M43" s="5" t="n"/>
      <c r="N43" s="5" t="inlineStr">
        <is>
          <t>A</t>
        </is>
      </c>
      <c r="O43" s="5" t="n"/>
      <c r="P43" s="5" t="n"/>
      <c r="Q43" s="5" t="n"/>
      <c r="R43" s="5" t="n"/>
      <c r="S43" s="5" t="n"/>
      <c r="T43" s="5">
        <f>IF(O43="","",IF(O43=N43,1,0))</f>
        <v/>
      </c>
      <c r="U43" s="6" t="n"/>
    </row>
    <row r="44">
      <c r="A44" s="5" t="n">
        <v>5</v>
      </c>
      <c r="B44" s="5" t="n">
        <v>3</v>
      </c>
      <c r="C44" s="5" t="inlineStr">
        <is>
          <t>Decision Making</t>
        </is>
      </c>
      <c r="D44" s="5" t="inlineStr">
        <is>
          <t>Scored</t>
        </is>
      </c>
      <c r="E44" s="6" t="inlineStr">
        <is>
          <t>You only have time for ONE of these right now. Which gives the best value for the effort it takes?</t>
        </is>
      </c>
      <c r="F44" s="6" t="inlineStr">
        <is>
          <t>finish the group case study (effort 4, value 15)</t>
        </is>
      </c>
      <c r="G44" s="6" t="inlineStr">
        <is>
          <t>They are all equally good choices</t>
        </is>
      </c>
      <c r="H44" s="6" t="inlineStr">
        <is>
          <t>prepare your resume (effort 8, value 24)</t>
        </is>
      </c>
      <c r="I44" s="6" t="inlineStr">
        <is>
          <t>submit your internship application (effort 6, value 19)</t>
        </is>
      </c>
      <c r="J44" s="5" t="n"/>
      <c r="K44" s="5" t="n"/>
      <c r="L44" s="5" t="n"/>
      <c r="M44" s="5" t="n"/>
      <c r="N44" s="5" t="inlineStr">
        <is>
          <t>A</t>
        </is>
      </c>
      <c r="O44" s="5" t="n"/>
      <c r="P44" s="5" t="n"/>
      <c r="Q44" s="5" t="n"/>
      <c r="R44" s="5" t="n"/>
      <c r="S44" s="5" t="n"/>
      <c r="T44" s="5">
        <f>IF(O44="","",IF(O44=N44,1,0))</f>
        <v/>
      </c>
      <c r="U44" s="6" t="n"/>
    </row>
    <row r="45">
      <c r="A45" s="5" t="n">
        <v>5</v>
      </c>
      <c r="B45" s="5" t="n">
        <v>4</v>
      </c>
      <c r="C45" s="5" t="inlineStr">
        <is>
          <t>Mental Math</t>
        </is>
      </c>
      <c r="D45" s="5" t="inlineStr">
        <is>
          <t>Scored</t>
        </is>
      </c>
      <c r="E45" s="6" t="inlineStr">
        <is>
          <t>After spending 26 and later receiving 1 as a gift, Tara has 24. How much did Tara start with?</t>
        </is>
      </c>
      <c r="F45" s="6" t="inlineStr">
        <is>
          <t>24</t>
        </is>
      </c>
      <c r="G45" s="6" t="inlineStr">
        <is>
          <t>75</t>
        </is>
      </c>
      <c r="H45" s="6" t="inlineStr">
        <is>
          <t>48</t>
        </is>
      </c>
      <c r="I45" s="6" t="inlineStr">
        <is>
          <t>49</t>
        </is>
      </c>
      <c r="J45" s="5" t="n"/>
      <c r="K45" s="5" t="n"/>
      <c r="L45" s="5" t="n"/>
      <c r="M45" s="5" t="n"/>
      <c r="N45" s="5" t="inlineStr">
        <is>
          <t>D</t>
        </is>
      </c>
      <c r="O45" s="5" t="n"/>
      <c r="P45" s="5" t="n"/>
      <c r="Q45" s="5" t="n"/>
      <c r="R45" s="5" t="n"/>
      <c r="S45" s="5" t="n"/>
      <c r="T45" s="5">
        <f>IF(O45="","",IF(O45=N45,1,0))</f>
        <v/>
      </c>
      <c r="U45" s="6" t="n"/>
    </row>
    <row r="46">
      <c r="A46" s="5" t="n">
        <v>5</v>
      </c>
      <c r="B46" s="5" t="n">
        <v>5</v>
      </c>
      <c r="C46" s="5" t="inlineStr">
        <is>
          <t>Cognitive Academia</t>
        </is>
      </c>
      <c r="D46" s="5" t="inlineStr">
        <is>
          <t>Scored</t>
        </is>
      </c>
      <c r="E46" s="6" t="inlineStr">
        <is>
          <t>What comes next in this pattern: 1, 5, 11, 19, 29, ?</t>
        </is>
      </c>
      <c r="F46" s="6" t="inlineStr">
        <is>
          <t>45</t>
        </is>
      </c>
      <c r="G46" s="6" t="inlineStr">
        <is>
          <t>43</t>
        </is>
      </c>
      <c r="H46" s="6" t="inlineStr">
        <is>
          <t>41</t>
        </is>
      </c>
      <c r="I46" s="6" t="inlineStr">
        <is>
          <t>39</t>
        </is>
      </c>
      <c r="J46" s="5" t="n"/>
      <c r="K46" s="5" t="n"/>
      <c r="L46" s="5" t="n"/>
      <c r="M46" s="5" t="n"/>
      <c r="N46" s="5" t="inlineStr">
        <is>
          <t>C</t>
        </is>
      </c>
      <c r="O46" s="5" t="n"/>
      <c r="P46" s="5" t="n"/>
      <c r="Q46" s="5" t="n"/>
      <c r="R46" s="5" t="n"/>
      <c r="S46" s="5" t="n"/>
      <c r="T46" s="5">
        <f>IF(O46="","",IF(O46=N46,1,0))</f>
        <v/>
      </c>
      <c r="U46" s="6" t="n"/>
    </row>
    <row r="47">
      <c r="A47" s="5" t="n">
        <v>5</v>
      </c>
      <c r="B47" s="5" t="n">
        <v>6</v>
      </c>
      <c r="C47" s="5" t="inlineStr">
        <is>
          <t>Leadership / Communication / Emotional &amp; Social</t>
        </is>
      </c>
      <c r="D47" s="5" t="inlineStr">
        <is>
          <t>Self-report (most/least)</t>
        </is>
      </c>
      <c r="E47" s="6" t="inlineStr">
        <is>
          <t>A first-year student is clearly overwhelmed and comes to you for advice you're not sure you have.</t>
        </is>
      </c>
      <c r="F47" s="6" t="inlineStr">
        <is>
          <t>None of these feel like you in this moment</t>
        </is>
      </c>
      <c r="G47" s="6" t="inlineStr">
        <is>
          <t>You like organizing a plan of action for your team</t>
        </is>
      </c>
      <c r="H47" s="6" t="inlineStr">
        <is>
          <t>You like asking clarifying questions in unfamiliar topics</t>
        </is>
      </c>
      <c r="I47" s="6" t="inlineStr">
        <is>
          <t>You stay calm even during high-stakes deadlines</t>
        </is>
      </c>
      <c r="J47" s="5" t="inlineStr"/>
      <c r="K47" s="5" t="inlineStr">
        <is>
          <t>LD</t>
        </is>
      </c>
      <c r="L47" s="5" t="inlineStr">
        <is>
          <t>CM</t>
        </is>
      </c>
      <c r="M47" s="5" t="inlineStr">
        <is>
          <t>ES</t>
        </is>
      </c>
      <c r="N47" s="5" t="n"/>
      <c r="O47" s="5" t="n"/>
      <c r="P47" s="5" t="n"/>
      <c r="Q47" s="5" t="n"/>
      <c r="R47" s="5">
        <f>IFERROR(INDEX(J47:M47,MATCH(P47,{"A","B","C","D"},0)),"")</f>
        <v/>
      </c>
      <c r="S47" s="5">
        <f>IFERROR(INDEX(J47:M47,MATCH(Q47,{"A","B","C","D"},0)),"")</f>
        <v/>
      </c>
      <c r="T47" s="5" t="n"/>
      <c r="U47" s="6" t="n"/>
    </row>
    <row r="48">
      <c r="A48" s="5" t="n">
        <v>5</v>
      </c>
      <c r="B48" s="5" t="n">
        <v>7</v>
      </c>
      <c r="C48" s="5" t="inlineStr">
        <is>
          <t>Leadership / Communication / Emotional &amp; Social</t>
        </is>
      </c>
      <c r="D48" s="5" t="inlineStr">
        <is>
          <t>Self-report (most/least)</t>
        </is>
      </c>
      <c r="E48" s="6" t="inlineStr">
        <is>
          <t>Your case competition team is split on the final recommendation two hours before the pitch.</t>
        </is>
      </c>
      <c r="F48" s="6" t="inlineStr">
        <is>
          <t>You make sure your argument comes across persuasively</t>
        </is>
      </c>
      <c r="G48" s="6" t="inlineStr">
        <is>
          <t>You enjoy being chosen to head a club or project</t>
        </is>
      </c>
      <c r="H48" s="6" t="inlineStr">
        <is>
          <t>You can sense how someone feels without them saying it</t>
        </is>
      </c>
      <c r="I48" s="6" t="inlineStr">
        <is>
          <t>You'd need more time before reacting at all</t>
        </is>
      </c>
      <c r="J48" s="5" t="inlineStr">
        <is>
          <t>CM</t>
        </is>
      </c>
      <c r="K48" s="5" t="inlineStr">
        <is>
          <t>LD</t>
        </is>
      </c>
      <c r="L48" s="5" t="inlineStr">
        <is>
          <t>ES</t>
        </is>
      </c>
      <c r="M48" s="5" t="inlineStr"/>
      <c r="N48" s="5" t="n"/>
      <c r="O48" s="5" t="n"/>
      <c r="P48" s="5" t="n"/>
      <c r="Q48" s="5" t="n"/>
      <c r="R48" s="5">
        <f>IFERROR(INDEX(J48:M48,MATCH(P48,{"A","B","C","D"},0)),"")</f>
        <v/>
      </c>
      <c r="S48" s="5">
        <f>IFERROR(INDEX(J48:M48,MATCH(Q48,{"A","B","C","D"},0)),"")</f>
        <v/>
      </c>
      <c r="T48" s="5" t="n"/>
      <c r="U48" s="6" t="n"/>
    </row>
    <row r="49">
      <c r="A49" s="5" t="n">
        <v>5</v>
      </c>
      <c r="B49" s="5" t="n">
        <v>8</v>
      </c>
      <c r="C49" s="5" t="inlineStr">
        <is>
          <t>Leadership / Communication / Emotional &amp; Social</t>
        </is>
      </c>
      <c r="D49" s="5" t="inlineStr">
        <is>
          <t>Self-report (most/least)</t>
        </is>
      </c>
      <c r="E49" s="6" t="inlineStr">
        <is>
          <t>You discover a factual error in the group thesis the night before it's due.</t>
        </is>
      </c>
      <c r="F49" s="6" t="inlineStr">
        <is>
          <t>You find the right words to explain something nuanced</t>
        </is>
      </c>
      <c r="G49" s="6" t="inlineStr">
        <is>
          <t>You like setting clear goals for a group</t>
        </is>
      </c>
      <c r="H49" s="6" t="inlineStr">
        <is>
          <t>You'd rather wait and see what others do first</t>
        </is>
      </c>
      <c r="I49" s="6" t="inlineStr">
        <is>
          <t>You're comfortable meeting people outside your usual circle</t>
        </is>
      </c>
      <c r="J49" s="5" t="inlineStr">
        <is>
          <t>CM</t>
        </is>
      </c>
      <c r="K49" s="5" t="inlineStr">
        <is>
          <t>LD</t>
        </is>
      </c>
      <c r="L49" s="5" t="inlineStr"/>
      <c r="M49" s="5" t="inlineStr">
        <is>
          <t>ES</t>
        </is>
      </c>
      <c r="N49" s="5" t="n"/>
      <c r="O49" s="5" t="n"/>
      <c r="P49" s="5" t="n"/>
      <c r="Q49" s="5" t="n"/>
      <c r="R49" s="5">
        <f>IFERROR(INDEX(J49:M49,MATCH(P49,{"A","B","C","D"},0)),"")</f>
        <v/>
      </c>
      <c r="S49" s="5">
        <f>IFERROR(INDEX(J49:M49,MATCH(Q49,{"A","B","C","D"},0)),"")</f>
        <v/>
      </c>
      <c r="T49" s="5" t="n"/>
      <c r="U49" s="6" t="n"/>
    </row>
    <row r="50">
      <c r="A50" s="5" t="n">
        <v>5</v>
      </c>
      <c r="B50" s="5" t="n">
        <v>9</v>
      </c>
      <c r="C50" s="5" t="inlineStr">
        <is>
          <t>Creative Skills</t>
        </is>
      </c>
      <c r="D50" s="5" t="inlineStr">
        <is>
          <t>Open-ended (not auto-scored)</t>
        </is>
      </c>
      <c r="E50" s="6" t="inlineStr">
        <is>
          <t>Pitch an idea to make group projects less painful for everyone involved.</t>
        </is>
      </c>
      <c r="F50" s="6" t="n"/>
      <c r="G50" s="6" t="n"/>
      <c r="H50" s="6" t="n"/>
      <c r="I50" s="6" t="n"/>
      <c r="J50" s="5" t="n"/>
      <c r="K50" s="5" t="n"/>
      <c r="L50" s="5" t="n"/>
      <c r="M50" s="5" t="n"/>
      <c r="N50" s="5" t="n"/>
      <c r="O50" s="5" t="n"/>
      <c r="P50" s="5" t="n"/>
      <c r="Q50" s="5" t="n"/>
      <c r="R50" s="5" t="n"/>
      <c r="S50" s="5" t="n"/>
      <c r="T50" s="5" t="n"/>
      <c r="U50" s="6" t="n"/>
    </row>
    <row r="51">
      <c r="A51" s="5" t="n">
        <v>5</v>
      </c>
      <c r="B51" s="5" t="n">
        <v>10</v>
      </c>
      <c r="C51" s="5" t="inlineStr">
        <is>
          <t>Listening Skills</t>
        </is>
      </c>
      <c r="D51" s="5" t="inlineStr">
        <is>
          <t>Scored</t>
        </is>
      </c>
      <c r="E51" s="6" t="inlineStr">
        <is>
          <t>[Read once, then answer without re-reading] “Before the group presentation, the team assigned sections, built the slides, and then rehearsed the transitions twice.”  ||  What happened right after the first thing mentioned?</t>
        </is>
      </c>
      <c r="F51" s="6" t="inlineStr">
        <is>
          <t>submitted a final grade</t>
        </is>
      </c>
      <c r="G51" s="6" t="inlineStr">
        <is>
          <t>built the slides</t>
        </is>
      </c>
      <c r="H51" s="6" t="inlineStr">
        <is>
          <t>rehearsed the transitions</t>
        </is>
      </c>
      <c r="I51" s="6" t="inlineStr">
        <is>
          <t>assigned sections</t>
        </is>
      </c>
      <c r="J51" s="5" t="n"/>
      <c r="K51" s="5" t="n"/>
      <c r="L51" s="5" t="n"/>
      <c r="M51" s="5" t="n"/>
      <c r="N51" s="5" t="inlineStr">
        <is>
          <t>B</t>
        </is>
      </c>
      <c r="O51" s="5" t="n"/>
      <c r="P51" s="5" t="n"/>
      <c r="Q51" s="5" t="n"/>
      <c r="R51" s="5" t="n"/>
      <c r="S51" s="5" t="n"/>
      <c r="T51" s="5">
        <f>IF(O51="","",IF(O51=N51,1,0))</f>
        <v/>
      </c>
      <c r="U51" s="6" t="n"/>
    </row>
    <row r="52">
      <c r="A52" s="7" t="n">
        <v>6</v>
      </c>
      <c r="B52" s="7" t="n">
        <v>1</v>
      </c>
      <c r="C52" s="7" t="inlineStr">
        <is>
          <t>Problem Solving</t>
        </is>
      </c>
      <c r="D52" s="7" t="inlineStr">
        <is>
          <t>Scored</t>
        </is>
      </c>
      <c r="E52" s="8" t="inlineStr">
        <is>
          <t>Three interns — Leo, Sara, Noah — are scheduled for interviews in sequence. Noah is not first. Leo is not in the middle. Noah is not in the middle. Who is first?</t>
        </is>
      </c>
      <c r="F52" s="8" t="inlineStr">
        <is>
          <t>Leo</t>
        </is>
      </c>
      <c r="G52" s="8" t="inlineStr">
        <is>
          <t>Noah</t>
        </is>
      </c>
      <c r="H52" s="8" t="inlineStr">
        <is>
          <t>Cannot be determined</t>
        </is>
      </c>
      <c r="I52" s="8" t="inlineStr">
        <is>
          <t>Sara</t>
        </is>
      </c>
      <c r="J52" s="7" t="n"/>
      <c r="K52" s="7" t="n"/>
      <c r="L52" s="7" t="n"/>
      <c r="M52" s="7" t="n"/>
      <c r="N52" s="7" t="inlineStr">
        <is>
          <t>A</t>
        </is>
      </c>
      <c r="O52" s="7" t="n"/>
      <c r="P52" s="7" t="n"/>
      <c r="Q52" s="7" t="n"/>
      <c r="R52" s="7" t="n"/>
      <c r="S52" s="7" t="n"/>
      <c r="T52" s="7">
        <f>IF(O52="","",IF(O52=N52,1,0))</f>
        <v/>
      </c>
      <c r="U52" s="8" t="n"/>
    </row>
    <row r="53">
      <c r="A53" s="7" t="n">
        <v>6</v>
      </c>
      <c r="B53" s="7" t="n">
        <v>2</v>
      </c>
      <c r="C53" s="7" t="inlineStr">
        <is>
          <t>Critical Thinking</t>
        </is>
      </c>
      <c r="D53" s="7" t="inlineStr">
        <is>
          <t>Scored</t>
        </is>
      </c>
      <c r="E53" s="8" t="inlineStr">
        <is>
          <t>An advisor warns: 'If you skip one lecture, you'll fall behind completely and eventually fail the year.' What's the actual flaw in this reasoning?</t>
        </is>
      </c>
      <c r="F53" s="8" t="inlineStr">
        <is>
          <t>Missing one lecture always causes failure</t>
        </is>
      </c>
      <c r="G53" s="8" t="inlineStr">
        <is>
          <t>It assumes one missed lecture inevitably snowballs into total failure</t>
        </is>
      </c>
      <c r="H53" s="8" t="inlineStr">
        <is>
          <t>No consequences exist for missing class</t>
        </is>
      </c>
      <c r="I53" s="8" t="inlineStr">
        <is>
          <t>Lectures are optional and ungraded</t>
        </is>
      </c>
      <c r="J53" s="7" t="n"/>
      <c r="K53" s="7" t="n"/>
      <c r="L53" s="7" t="n"/>
      <c r="M53" s="7" t="n"/>
      <c r="N53" s="7" t="inlineStr">
        <is>
          <t>B</t>
        </is>
      </c>
      <c r="O53" s="7" t="n"/>
      <c r="P53" s="7" t="n"/>
      <c r="Q53" s="7" t="n"/>
      <c r="R53" s="7" t="n"/>
      <c r="S53" s="7" t="n"/>
      <c r="T53" s="7">
        <f>IF(O53="","",IF(O53=N53,1,0))</f>
        <v/>
      </c>
      <c r="U53" s="8" t="n"/>
    </row>
    <row r="54">
      <c r="A54" s="7" t="n">
        <v>6</v>
      </c>
      <c r="B54" s="7" t="n">
        <v>3</v>
      </c>
      <c r="C54" s="7" t="inlineStr">
        <is>
          <t>Decision Making</t>
        </is>
      </c>
      <c r="D54" s="7" t="inlineStr">
        <is>
          <t>Scored</t>
        </is>
      </c>
      <c r="E54" s="8" t="inlineStr">
        <is>
          <t>You have 28 minutes. finish the group case study takes 17 minutes, submit your internship application takes 11 minutes, and prepare your resume takes 27 minutes. You must skip exactly one of them to fit the other two into your 28 minutes. Which should you skip?</t>
        </is>
      </c>
      <c r="F54" s="8" t="inlineStr">
        <is>
          <t>submit your internship application</t>
        </is>
      </c>
      <c r="G54" s="8" t="inlineStr">
        <is>
          <t>prepare your resume</t>
        </is>
      </c>
      <c r="H54" s="8" t="inlineStr">
        <is>
          <t>finish the group case study</t>
        </is>
      </c>
      <c r="I54" s="8" t="inlineStr">
        <is>
          <t>It's impossible to fit any two</t>
        </is>
      </c>
      <c r="J54" s="7" t="n"/>
      <c r="K54" s="7" t="n"/>
      <c r="L54" s="7" t="n"/>
      <c r="M54" s="7" t="n"/>
      <c r="N54" s="7" t="inlineStr">
        <is>
          <t>B</t>
        </is>
      </c>
      <c r="O54" s="7" t="n"/>
      <c r="P54" s="7" t="n"/>
      <c r="Q54" s="7" t="n"/>
      <c r="R54" s="7" t="n"/>
      <c r="S54" s="7" t="n"/>
      <c r="T54" s="7">
        <f>IF(O54="","",IF(O54=N54,1,0))</f>
        <v/>
      </c>
      <c r="U54" s="8" t="n"/>
    </row>
    <row r="55">
      <c r="A55" s="7" t="n">
        <v>6</v>
      </c>
      <c r="B55" s="7" t="n">
        <v>4</v>
      </c>
      <c r="C55" s="7" t="inlineStr">
        <is>
          <t>Mental Math</t>
        </is>
      </c>
      <c r="D55" s="7" t="inlineStr">
        <is>
          <t>Scored</t>
        </is>
      </c>
      <c r="E55" s="8" t="inlineStr">
        <is>
          <t>A recipe mixes blue paint and yellow paint in a 3:5 ratio. If you use 6 units of blue paint, how much yellow paint do you need?</t>
        </is>
      </c>
      <c r="F55" s="8" t="inlineStr">
        <is>
          <t>15</t>
        </is>
      </c>
      <c r="G55" s="8" t="inlineStr">
        <is>
          <t>6</t>
        </is>
      </c>
      <c r="H55" s="8" t="inlineStr">
        <is>
          <t>5</t>
        </is>
      </c>
      <c r="I55" s="8" t="inlineStr">
        <is>
          <t>10</t>
        </is>
      </c>
      <c r="J55" s="7" t="n"/>
      <c r="K55" s="7" t="n"/>
      <c r="L55" s="7" t="n"/>
      <c r="M55" s="7" t="n"/>
      <c r="N55" s="7" t="inlineStr">
        <is>
          <t>D</t>
        </is>
      </c>
      <c r="O55" s="7" t="n"/>
      <c r="P55" s="7" t="n"/>
      <c r="Q55" s="7" t="n"/>
      <c r="R55" s="7" t="n"/>
      <c r="S55" s="7" t="n"/>
      <c r="T55" s="7">
        <f>IF(O55="","",IF(O55=N55,1,0))</f>
        <v/>
      </c>
      <c r="U55" s="8" t="n"/>
    </row>
    <row r="56">
      <c r="A56" s="7" t="n">
        <v>6</v>
      </c>
      <c r="B56" s="7" t="n">
        <v>5</v>
      </c>
      <c r="C56" s="7" t="inlineStr">
        <is>
          <t>Cognitive Academia</t>
        </is>
      </c>
      <c r="D56" s="7" t="inlineStr">
        <is>
          <t>Scored</t>
        </is>
      </c>
      <c r="E56" s="8" t="inlineStr">
        <is>
          <t>What comes next in this pattern: 2, 4, 8, 16, ?</t>
        </is>
      </c>
      <c r="F56" s="8" t="inlineStr">
        <is>
          <t>24</t>
        </is>
      </c>
      <c r="G56" s="8" t="inlineStr">
        <is>
          <t>32</t>
        </is>
      </c>
      <c r="H56" s="8" t="inlineStr">
        <is>
          <t>34</t>
        </is>
      </c>
      <c r="I56" s="8" t="inlineStr">
        <is>
          <t>19</t>
        </is>
      </c>
      <c r="J56" s="7" t="n"/>
      <c r="K56" s="7" t="n"/>
      <c r="L56" s="7" t="n"/>
      <c r="M56" s="7" t="n"/>
      <c r="N56" s="7" t="inlineStr">
        <is>
          <t>B</t>
        </is>
      </c>
      <c r="O56" s="7" t="n"/>
      <c r="P56" s="7" t="n"/>
      <c r="Q56" s="7" t="n"/>
      <c r="R56" s="7" t="n"/>
      <c r="S56" s="7" t="n"/>
      <c r="T56" s="7">
        <f>IF(O56="","",IF(O56=N56,1,0))</f>
        <v/>
      </c>
      <c r="U56" s="8" t="n"/>
    </row>
    <row r="57">
      <c r="A57" s="7" t="n">
        <v>6</v>
      </c>
      <c r="B57" s="7" t="n">
        <v>6</v>
      </c>
      <c r="C57" s="7" t="inlineStr">
        <is>
          <t>Leadership / Communication / Emotional &amp; Social</t>
        </is>
      </c>
      <c r="D57" s="7" t="inlineStr">
        <is>
          <t>Self-report (most/least)</t>
        </is>
      </c>
      <c r="E57" s="8" t="inlineStr">
        <is>
          <t>A close friend just got rejected from every internship they applied to and is questioning everything.</t>
        </is>
      </c>
      <c r="F57" s="8" t="inlineStr">
        <is>
          <t>You like structuring your thoughts before speaking</t>
        </is>
      </c>
      <c r="G57" s="8" t="inlineStr">
        <is>
          <t>You enjoy helping a peer work through a tough problem</t>
        </is>
      </c>
      <c r="H57" s="8" t="inlineStr">
        <is>
          <t>You'd need more time before reacting at all</t>
        </is>
      </c>
      <c r="I57" s="8" t="inlineStr">
        <is>
          <t>You naturally end up being the one who decides</t>
        </is>
      </c>
      <c r="J57" s="7" t="inlineStr">
        <is>
          <t>CM</t>
        </is>
      </c>
      <c r="K57" s="7" t="inlineStr">
        <is>
          <t>ES</t>
        </is>
      </c>
      <c r="L57" s="7" t="inlineStr"/>
      <c r="M57" s="7" t="inlineStr">
        <is>
          <t>LD</t>
        </is>
      </c>
      <c r="N57" s="7" t="n"/>
      <c r="O57" s="7" t="n"/>
      <c r="P57" s="7" t="n"/>
      <c r="Q57" s="7" t="n"/>
      <c r="R57" s="7">
        <f>IFERROR(INDEX(J57:M57,MATCH(P57,{"A","B","C","D"},0)),"")</f>
        <v/>
      </c>
      <c r="S57" s="7">
        <f>IFERROR(INDEX(J57:M57,MATCH(Q57,{"A","B","C","D"},0)),"")</f>
        <v/>
      </c>
      <c r="T57" s="7" t="n"/>
      <c r="U57" s="8" t="n"/>
    </row>
    <row r="58">
      <c r="A58" s="7" t="n">
        <v>6</v>
      </c>
      <c r="B58" s="7" t="n">
        <v>7</v>
      </c>
      <c r="C58" s="7" t="inlineStr">
        <is>
          <t>Leadership / Communication / Emotional &amp; Social</t>
        </is>
      </c>
      <c r="D58" s="7" t="inlineStr">
        <is>
          <t>Self-report (most/least)</t>
        </is>
      </c>
      <c r="E58" s="8" t="inlineStr">
        <is>
          <t>Your startup pitch just got a tough, pointed question from a judge you don't have a good answer for.</t>
        </is>
      </c>
      <c r="F58" s="8" t="inlineStr">
        <is>
          <t>You'd rather wait and see what others do first</t>
        </is>
      </c>
      <c r="G58" s="8" t="inlineStr">
        <is>
          <t>You explain your reasoning clearly so others follow it</t>
        </is>
      </c>
      <c r="H58" s="8" t="inlineStr">
        <is>
          <t>You notice when a peer is under pressure</t>
        </is>
      </c>
      <c r="I58" s="8" t="inlineStr">
        <is>
          <t>You naturally take charge when a project lacks direction</t>
        </is>
      </c>
      <c r="J58" s="7" t="inlineStr"/>
      <c r="K58" s="7" t="inlineStr">
        <is>
          <t>CM</t>
        </is>
      </c>
      <c r="L58" s="7" t="inlineStr">
        <is>
          <t>ES</t>
        </is>
      </c>
      <c r="M58" s="7" t="inlineStr">
        <is>
          <t>LD</t>
        </is>
      </c>
      <c r="N58" s="7" t="n"/>
      <c r="O58" s="7" t="n"/>
      <c r="P58" s="7" t="n"/>
      <c r="Q58" s="7" t="n"/>
      <c r="R58" s="7">
        <f>IFERROR(INDEX(J58:M58,MATCH(P58,{"A","B","C","D"},0)),"")</f>
        <v/>
      </c>
      <c r="S58" s="7">
        <f>IFERROR(INDEX(J58:M58,MATCH(Q58,{"A","B","C","D"},0)),"")</f>
        <v/>
      </c>
      <c r="T58" s="7" t="n"/>
      <c r="U58" s="8" t="n"/>
    </row>
    <row r="59">
      <c r="A59" s="7" t="n">
        <v>6</v>
      </c>
      <c r="B59" s="7" t="n">
        <v>8</v>
      </c>
      <c r="C59" s="7" t="inlineStr">
        <is>
          <t>Leadership / Communication / Emotional &amp; Social</t>
        </is>
      </c>
      <c r="D59" s="7" t="inlineStr">
        <is>
          <t>Self-report (most/least)</t>
        </is>
      </c>
      <c r="E59" s="8" t="inlineStr">
        <is>
          <t>You're the only one on your team who thinks the group's chosen direction is a mistake.</t>
        </is>
      </c>
      <c r="F59" s="8" t="inlineStr">
        <is>
          <t>You step up to lead when no one else volunteers</t>
        </is>
      </c>
      <c r="G59" s="8" t="inlineStr">
        <is>
          <t>You're good at helping a stressed peer feel better</t>
        </is>
      </c>
      <c r="H59" s="8" t="inlineStr">
        <is>
          <t>You enjoy writing reports or giving structured presentations</t>
        </is>
      </c>
      <c r="I59" s="8" t="inlineStr">
        <is>
          <t>You'd step back and observe before choosing any of these</t>
        </is>
      </c>
      <c r="J59" s="7" t="inlineStr">
        <is>
          <t>LD</t>
        </is>
      </c>
      <c r="K59" s="7" t="inlineStr">
        <is>
          <t>ES</t>
        </is>
      </c>
      <c r="L59" s="7" t="inlineStr">
        <is>
          <t>CM</t>
        </is>
      </c>
      <c r="M59" s="7" t="inlineStr"/>
      <c r="N59" s="7" t="n"/>
      <c r="O59" s="7" t="n"/>
      <c r="P59" s="7" t="n"/>
      <c r="Q59" s="7" t="n"/>
      <c r="R59" s="7">
        <f>IFERROR(INDEX(J59:M59,MATCH(P59,{"A","B","C","D"},0)),"")</f>
        <v/>
      </c>
      <c r="S59" s="7">
        <f>IFERROR(INDEX(J59:M59,MATCH(Q59,{"A","B","C","D"},0)),"")</f>
        <v/>
      </c>
      <c r="T59" s="7" t="n"/>
      <c r="U59" s="8" t="n"/>
    </row>
    <row r="60">
      <c r="A60" s="7" t="n">
        <v>6</v>
      </c>
      <c r="B60" s="7" t="n">
        <v>9</v>
      </c>
      <c r="C60" s="7" t="inlineStr">
        <is>
          <t>Creative Skills</t>
        </is>
      </c>
      <c r="D60" s="7" t="inlineStr">
        <is>
          <t>Open-ended (not auto-scored)</t>
        </is>
      </c>
      <c r="E60" s="8" t="inlineStr">
        <is>
          <t>Design a campus app feature that would genuinely improve student life.</t>
        </is>
      </c>
      <c r="F60" s="8" t="n"/>
      <c r="G60" s="8" t="n"/>
      <c r="H60" s="8" t="n"/>
      <c r="I60" s="8" t="n"/>
      <c r="J60" s="7" t="n"/>
      <c r="K60" s="7" t="n"/>
      <c r="L60" s="7" t="n"/>
      <c r="M60" s="7" t="n"/>
      <c r="N60" s="7" t="n"/>
      <c r="O60" s="7" t="n"/>
      <c r="P60" s="7" t="n"/>
      <c r="Q60" s="7" t="n"/>
      <c r="R60" s="7" t="n"/>
      <c r="S60" s="7" t="n"/>
      <c r="T60" s="7" t="n"/>
      <c r="U60" s="8" t="n"/>
    </row>
    <row r="61">
      <c r="A61" s="7" t="n">
        <v>6</v>
      </c>
      <c r="B61" s="7" t="n">
        <v>10</v>
      </c>
      <c r="C61" s="7" t="inlineStr">
        <is>
          <t>Listening Skills</t>
        </is>
      </c>
      <c r="D61" s="7" t="inlineStr">
        <is>
          <t>Scored</t>
        </is>
      </c>
      <c r="E61" s="8" t="inlineStr">
        <is>
          <t>[Read once, then answer without re-reading] “Ahead of the internship deadline, Zara shortlisted three companies, tailored her cover letter, and finally submitted her application.”  ||  What happened first?</t>
        </is>
      </c>
      <c r="F61" s="8" t="inlineStr">
        <is>
          <t>submitted her application</t>
        </is>
      </c>
      <c r="G61" s="8" t="inlineStr">
        <is>
          <t>shortlisted three companies</t>
        </is>
      </c>
      <c r="H61" s="8" t="inlineStr">
        <is>
          <t>tailored her cover letter</t>
        </is>
      </c>
      <c r="I61" s="8" t="inlineStr">
        <is>
          <t>received an offer</t>
        </is>
      </c>
      <c r="J61" s="7" t="n"/>
      <c r="K61" s="7" t="n"/>
      <c r="L61" s="7" t="n"/>
      <c r="M61" s="7" t="n"/>
      <c r="N61" s="7" t="inlineStr">
        <is>
          <t>B</t>
        </is>
      </c>
      <c r="O61" s="7" t="n"/>
      <c r="P61" s="7" t="n"/>
      <c r="Q61" s="7" t="n"/>
      <c r="R61" s="7" t="n"/>
      <c r="S61" s="7" t="n"/>
      <c r="T61" s="7">
        <f>IF(O61="","",IF(O61=N61,1,0))</f>
        <v/>
      </c>
      <c r="U61" s="8" t="n"/>
    </row>
    <row r="62">
      <c r="A62" s="5" t="n">
        <v>7</v>
      </c>
      <c r="B62" s="5" t="n">
        <v>1</v>
      </c>
      <c r="C62" s="5" t="inlineStr">
        <is>
          <t>Problem Solving</t>
        </is>
      </c>
      <c r="D62" s="5" t="inlineStr">
        <is>
          <t>Scored</t>
        </is>
      </c>
      <c r="E62" s="6" t="inlineStr">
        <is>
          <t>Three interns — Gopal, Tariq, Ishaan — are scheduled for interviews in sequence. Ishaan is not in the middle. Gopal is not last. Tariq is not last. Tariq is not in the middle. Who is in the middle?</t>
        </is>
      </c>
      <c r="F62" s="6" t="inlineStr">
        <is>
          <t>Cannot be determined</t>
        </is>
      </c>
      <c r="G62" s="6" t="inlineStr">
        <is>
          <t>Gopal</t>
        </is>
      </c>
      <c r="H62" s="6" t="inlineStr">
        <is>
          <t>Tariq</t>
        </is>
      </c>
      <c r="I62" s="6" t="inlineStr">
        <is>
          <t>Ishaan</t>
        </is>
      </c>
      <c r="J62" s="5" t="n"/>
      <c r="K62" s="5" t="n"/>
      <c r="L62" s="5" t="n"/>
      <c r="M62" s="5" t="n"/>
      <c r="N62" s="5" t="inlineStr">
        <is>
          <t>B</t>
        </is>
      </c>
      <c r="O62" s="5" t="n"/>
      <c r="P62" s="5" t="n"/>
      <c r="Q62" s="5" t="n"/>
      <c r="R62" s="5" t="n"/>
      <c r="S62" s="5" t="n"/>
      <c r="T62" s="5">
        <f>IF(O62="","",IF(O62=N62,1,0))</f>
        <v/>
      </c>
      <c r="U62" s="6" t="n"/>
    </row>
    <row r="63">
      <c r="A63" s="5" t="n">
        <v>7</v>
      </c>
      <c r="B63" s="5" t="n">
        <v>2</v>
      </c>
      <c r="C63" s="5" t="inlineStr">
        <is>
          <t>Critical Thinking</t>
        </is>
      </c>
      <c r="D63" s="5" t="inlineStr">
        <is>
          <t>Scored</t>
        </is>
      </c>
      <c r="E63" s="6" t="inlineStr">
        <is>
          <t>A student proposes flexible deadlines for a heavy workload week. A classmate replies: 'So you want no deadlines at all?' What's the actual flaw in this reasoning?</t>
        </is>
      </c>
      <c r="F63" s="6" t="inlineStr">
        <is>
          <t>The student wants deadlines removed entirely</t>
        </is>
      </c>
      <c r="G63" s="6" t="inlineStr">
        <is>
          <t>The classmate agrees with flexible deadlines</t>
        </is>
      </c>
      <c r="H63" s="6" t="inlineStr">
        <is>
          <t>Flexible deadlines already exist for everyone</t>
        </is>
      </c>
      <c r="I63" s="6" t="inlineStr">
        <is>
          <t>The classmate is exaggerating a moderate proposal into an extreme one</t>
        </is>
      </c>
      <c r="J63" s="5" t="n"/>
      <c r="K63" s="5" t="n"/>
      <c r="L63" s="5" t="n"/>
      <c r="M63" s="5" t="n"/>
      <c r="N63" s="5" t="inlineStr">
        <is>
          <t>D</t>
        </is>
      </c>
      <c r="O63" s="5" t="n"/>
      <c r="P63" s="5" t="n"/>
      <c r="Q63" s="5" t="n"/>
      <c r="R63" s="5" t="n"/>
      <c r="S63" s="5" t="n"/>
      <c r="T63" s="5">
        <f>IF(O63="","",IF(O63=N63,1,0))</f>
        <v/>
      </c>
      <c r="U63" s="6" t="n"/>
    </row>
    <row r="64">
      <c r="A64" s="5" t="n">
        <v>7</v>
      </c>
      <c r="B64" s="5" t="n">
        <v>3</v>
      </c>
      <c r="C64" s="5" t="inlineStr">
        <is>
          <t>Decision Making</t>
        </is>
      </c>
      <c r="D64" s="5" t="inlineStr">
        <is>
          <t>Scored</t>
        </is>
      </c>
      <c r="E64" s="6" t="inlineStr">
        <is>
          <t>You only have time for ONE of these right now. Which gives the best value for the effort it takes?</t>
        </is>
      </c>
      <c r="F64" s="6" t="inlineStr">
        <is>
          <t>register for placement drive (effort 8, value 17)</t>
        </is>
      </c>
      <c r="G64" s="6" t="inlineStr">
        <is>
          <t>submit your internship application (effort 5, value 6)</t>
        </is>
      </c>
      <c r="H64" s="6" t="inlineStr">
        <is>
          <t>finish the group case study (effort 2, value 4)</t>
        </is>
      </c>
      <c r="I64" s="6" t="inlineStr">
        <is>
          <t>They are all equally good choices</t>
        </is>
      </c>
      <c r="J64" s="5" t="n"/>
      <c r="K64" s="5" t="n"/>
      <c r="L64" s="5" t="n"/>
      <c r="M64" s="5" t="n"/>
      <c r="N64" s="5" t="inlineStr">
        <is>
          <t>A</t>
        </is>
      </c>
      <c r="O64" s="5" t="n"/>
      <c r="P64" s="5" t="n"/>
      <c r="Q64" s="5" t="n"/>
      <c r="R64" s="5" t="n"/>
      <c r="S64" s="5" t="n"/>
      <c r="T64" s="5">
        <f>IF(O64="","",IF(O64=N64,1,0))</f>
        <v/>
      </c>
      <c r="U64" s="6" t="n"/>
    </row>
    <row r="65">
      <c r="A65" s="5" t="n">
        <v>7</v>
      </c>
      <c r="B65" s="5" t="n">
        <v>4</v>
      </c>
      <c r="C65" s="5" t="inlineStr">
        <is>
          <t>Mental Math</t>
        </is>
      </c>
      <c r="D65" s="5" t="inlineStr">
        <is>
          <t>Scored</t>
        </is>
      </c>
      <c r="E65" s="6" t="inlineStr">
        <is>
          <t>I'm thinking of a number. If you subtract 7, then add 19, then subtract 20, you get 8. What's my number?</t>
        </is>
      </c>
      <c r="F65" s="6" t="inlineStr">
        <is>
          <t>18</t>
        </is>
      </c>
      <c r="G65" s="6" t="inlineStr">
        <is>
          <t>15</t>
        </is>
      </c>
      <c r="H65" s="6" t="inlineStr">
        <is>
          <t>17</t>
        </is>
      </c>
      <c r="I65" s="6" t="inlineStr">
        <is>
          <t>16</t>
        </is>
      </c>
      <c r="J65" s="5" t="n"/>
      <c r="K65" s="5" t="n"/>
      <c r="L65" s="5" t="n"/>
      <c r="M65" s="5" t="n"/>
      <c r="N65" s="5" t="inlineStr">
        <is>
          <t>D</t>
        </is>
      </c>
      <c r="O65" s="5" t="n"/>
      <c r="P65" s="5" t="n"/>
      <c r="Q65" s="5" t="n"/>
      <c r="R65" s="5" t="n"/>
      <c r="S65" s="5" t="n"/>
      <c r="T65" s="5">
        <f>IF(O65="","",IF(O65=N65,1,0))</f>
        <v/>
      </c>
      <c r="U65" s="6" t="n"/>
    </row>
    <row r="66">
      <c r="A66" s="5" t="n">
        <v>7</v>
      </c>
      <c r="B66" s="5" t="n">
        <v>5</v>
      </c>
      <c r="C66" s="5" t="inlineStr">
        <is>
          <t>Cognitive Academia</t>
        </is>
      </c>
      <c r="D66" s="5" t="inlineStr">
        <is>
          <t>Scored</t>
        </is>
      </c>
      <c r="E66" s="6" t="inlineStr">
        <is>
          <t>What comes next in this pattern: 3, 5, 8, 12, 17, ?</t>
        </is>
      </c>
      <c r="F66" s="6" t="inlineStr">
        <is>
          <t>22</t>
        </is>
      </c>
      <c r="G66" s="6" t="inlineStr">
        <is>
          <t>25</t>
        </is>
      </c>
      <c r="H66" s="6" t="inlineStr">
        <is>
          <t>24</t>
        </is>
      </c>
      <c r="I66" s="6" t="inlineStr">
        <is>
          <t>23</t>
        </is>
      </c>
      <c r="J66" s="5" t="n"/>
      <c r="K66" s="5" t="n"/>
      <c r="L66" s="5" t="n"/>
      <c r="M66" s="5" t="n"/>
      <c r="N66" s="5" t="inlineStr">
        <is>
          <t>D</t>
        </is>
      </c>
      <c r="O66" s="5" t="n"/>
      <c r="P66" s="5" t="n"/>
      <c r="Q66" s="5" t="n"/>
      <c r="R66" s="5" t="n"/>
      <c r="S66" s="5" t="n"/>
      <c r="T66" s="5">
        <f>IF(O66="","",IF(O66=N66,1,0))</f>
        <v/>
      </c>
      <c r="U66" s="6" t="n"/>
    </row>
    <row r="67">
      <c r="A67" s="5" t="n">
        <v>7</v>
      </c>
      <c r="B67" s="5" t="n">
        <v>6</v>
      </c>
      <c r="C67" s="5" t="inlineStr">
        <is>
          <t>Leadership / Communication / Emotional &amp; Social</t>
        </is>
      </c>
      <c r="D67" s="5" t="inlineStr">
        <is>
          <t>Self-report (most/least)</t>
        </is>
      </c>
      <c r="E67" s="6" t="inlineStr">
        <is>
          <t>Your project partner wants to submit slightly altered data to make the results look stronger.</t>
        </is>
      </c>
      <c r="F67" s="6" t="inlineStr">
        <is>
          <t>You're comfortable meeting people outside your usual circle</t>
        </is>
      </c>
      <c r="G67" s="6" t="inlineStr">
        <is>
          <t>You find the right words to explain something nuanced</t>
        </is>
      </c>
      <c r="H67" s="6" t="inlineStr">
        <is>
          <t>You'd rather wait and see what others do first</t>
        </is>
      </c>
      <c r="I67" s="6" t="inlineStr">
        <is>
          <t>You like setting clear goals for a group</t>
        </is>
      </c>
      <c r="J67" s="5" t="inlineStr">
        <is>
          <t>ES</t>
        </is>
      </c>
      <c r="K67" s="5" t="inlineStr">
        <is>
          <t>CM</t>
        </is>
      </c>
      <c r="L67" s="5" t="inlineStr"/>
      <c r="M67" s="5" t="inlineStr">
        <is>
          <t>LD</t>
        </is>
      </c>
      <c r="N67" s="5" t="n"/>
      <c r="O67" s="5" t="n"/>
      <c r="P67" s="5" t="n"/>
      <c r="Q67" s="5" t="n"/>
      <c r="R67" s="5">
        <f>IFERROR(INDEX(J67:M67,MATCH(P67,{"A","B","C","D"},0)),"")</f>
        <v/>
      </c>
      <c r="S67" s="5">
        <f>IFERROR(INDEX(J67:M67,MATCH(Q67,{"A","B","C","D"},0)),"")</f>
        <v/>
      </c>
      <c r="T67" s="5" t="n"/>
      <c r="U67" s="6" t="n"/>
    </row>
    <row r="68">
      <c r="A68" s="5" t="n">
        <v>7</v>
      </c>
      <c r="B68" s="5" t="n">
        <v>7</v>
      </c>
      <c r="C68" s="5" t="inlineStr">
        <is>
          <t>Leadership / Communication / Emotional &amp; Social</t>
        </is>
      </c>
      <c r="D68" s="5" t="inlineStr">
        <is>
          <t>Self-report (most/least)</t>
        </is>
      </c>
      <c r="E68" s="6" t="inlineStr">
        <is>
          <t>You're asked to represent your batch in a decision you personally disagree with.</t>
        </is>
      </c>
      <c r="F68" s="6" t="inlineStr">
        <is>
          <t>You'd step back and observe before choosing any of these</t>
        </is>
      </c>
      <c r="G68" s="6" t="inlineStr">
        <is>
          <t>You check that your audience understood your point</t>
        </is>
      </c>
      <c r="H68" s="6" t="inlineStr">
        <is>
          <t>You stay patient even under pressure</t>
        </is>
      </c>
      <c r="I68" s="6" t="inlineStr">
        <is>
          <t>You enjoy leading during group assignments or events</t>
        </is>
      </c>
      <c r="J68" s="5" t="inlineStr"/>
      <c r="K68" s="5" t="inlineStr">
        <is>
          <t>CM</t>
        </is>
      </c>
      <c r="L68" s="5" t="inlineStr">
        <is>
          <t>ES</t>
        </is>
      </c>
      <c r="M68" s="5" t="inlineStr">
        <is>
          <t>LD</t>
        </is>
      </c>
      <c r="N68" s="5" t="n"/>
      <c r="O68" s="5" t="n"/>
      <c r="P68" s="5" t="n"/>
      <c r="Q68" s="5" t="n"/>
      <c r="R68" s="5">
        <f>IFERROR(INDEX(J68:M68,MATCH(P68,{"A","B","C","D"},0)),"")</f>
        <v/>
      </c>
      <c r="S68" s="5">
        <f>IFERROR(INDEX(J68:M68,MATCH(Q68,{"A","B","C","D"},0)),"")</f>
        <v/>
      </c>
      <c r="T68" s="5" t="n"/>
      <c r="U68" s="6" t="n"/>
    </row>
    <row r="69">
      <c r="A69" s="5" t="n">
        <v>7</v>
      </c>
      <c r="B69" s="5" t="n">
        <v>8</v>
      </c>
      <c r="C69" s="5" t="inlineStr">
        <is>
          <t>Leadership / Communication / Emotional &amp; Social</t>
        </is>
      </c>
      <c r="D69" s="5" t="inlineStr">
        <is>
          <t>Self-report (most/least)</t>
        </is>
      </c>
      <c r="E69" s="6" t="inlineStr">
        <is>
          <t>Your capstone project teammate has gone quiet for a week right before the final deadline.</t>
        </is>
      </c>
      <c r="F69" s="6" t="inlineStr">
        <is>
          <t>None of these feel like you in this moment</t>
        </is>
      </c>
      <c r="G69" s="6" t="inlineStr">
        <is>
          <t>You like guiding a team toward a shared outcome</t>
        </is>
      </c>
      <c r="H69" s="6" t="inlineStr">
        <is>
          <t>You notice subtle changes in a peer's mood</t>
        </is>
      </c>
      <c r="I69" s="6" t="inlineStr">
        <is>
          <t>You enjoy explaining your reasoning to mentors or peers</t>
        </is>
      </c>
      <c r="J69" s="5" t="inlineStr"/>
      <c r="K69" s="5" t="inlineStr">
        <is>
          <t>LD</t>
        </is>
      </c>
      <c r="L69" s="5" t="inlineStr">
        <is>
          <t>ES</t>
        </is>
      </c>
      <c r="M69" s="5" t="inlineStr">
        <is>
          <t>CM</t>
        </is>
      </c>
      <c r="N69" s="5" t="n"/>
      <c r="O69" s="5" t="n"/>
      <c r="P69" s="5" t="n"/>
      <c r="Q69" s="5" t="n"/>
      <c r="R69" s="5">
        <f>IFERROR(INDEX(J69:M69,MATCH(P69,{"A","B","C","D"},0)),"")</f>
        <v/>
      </c>
      <c r="S69" s="5">
        <f>IFERROR(INDEX(J69:M69,MATCH(Q69,{"A","B","C","D"},0)),"")</f>
        <v/>
      </c>
      <c r="T69" s="5" t="n"/>
      <c r="U69" s="6" t="n"/>
    </row>
    <row r="70">
      <c r="A70" s="5" t="n">
        <v>7</v>
      </c>
      <c r="B70" s="5" t="n">
        <v>9</v>
      </c>
      <c r="C70" s="5" t="inlineStr">
        <is>
          <t>Creative Skills</t>
        </is>
      </c>
      <c r="D70" s="5" t="inlineStr">
        <is>
          <t>Open-ended (not auto-scored)</t>
        </is>
      </c>
      <c r="E70" s="6" t="inlineStr">
        <is>
          <t>Invent an unconventional way for students to showcase their final-year projects.</t>
        </is>
      </c>
      <c r="F70" s="6" t="n"/>
      <c r="G70" s="6" t="n"/>
      <c r="H70" s="6" t="n"/>
      <c r="I70" s="6" t="n"/>
      <c r="J70" s="5" t="n"/>
      <c r="K70" s="5" t="n"/>
      <c r="L70" s="5" t="n"/>
      <c r="M70" s="5" t="n"/>
      <c r="N70" s="5" t="n"/>
      <c r="O70" s="5" t="n"/>
      <c r="P70" s="5" t="n"/>
      <c r="Q70" s="5" t="n"/>
      <c r="R70" s="5" t="n"/>
      <c r="S70" s="5" t="n"/>
      <c r="T70" s="5" t="n"/>
      <c r="U70" s="6" t="n"/>
    </row>
    <row r="71">
      <c r="A71" s="5" t="n">
        <v>7</v>
      </c>
      <c r="B71" s="5" t="n">
        <v>10</v>
      </c>
      <c r="C71" s="5" t="inlineStr">
        <is>
          <t>Listening Skills</t>
        </is>
      </c>
      <c r="D71" s="5" t="inlineStr">
        <is>
          <t>Scored</t>
        </is>
      </c>
      <c r="E71" s="6" t="inlineStr">
        <is>
          <t>[Read once, then answer without re-reading] “Before the mock interview, Ravi researched common questions, practiced with a friend, and then reviewed his own feedback notes.”  ||  What happened first?</t>
        </is>
      </c>
      <c r="F71" s="6" t="inlineStr">
        <is>
          <t>practiced with a friend</t>
        </is>
      </c>
      <c r="G71" s="6" t="inlineStr">
        <is>
          <t>reviewed his feedback notes</t>
        </is>
      </c>
      <c r="H71" s="6" t="inlineStr">
        <is>
          <t>signed a contract</t>
        </is>
      </c>
      <c r="I71" s="6" t="inlineStr">
        <is>
          <t>researched common questions</t>
        </is>
      </c>
      <c r="J71" s="5" t="n"/>
      <c r="K71" s="5" t="n"/>
      <c r="L71" s="5" t="n"/>
      <c r="M71" s="5" t="n"/>
      <c r="N71" s="5" t="inlineStr">
        <is>
          <t>D</t>
        </is>
      </c>
      <c r="O71" s="5" t="n"/>
      <c r="P71" s="5" t="n"/>
      <c r="Q71" s="5" t="n"/>
      <c r="R71" s="5" t="n"/>
      <c r="S71" s="5" t="n"/>
      <c r="T71" s="5">
        <f>IF(O71="","",IF(O71=N71,1,0))</f>
        <v/>
      </c>
      <c r="U71" s="6" t="n"/>
    </row>
    <row r="72">
      <c r="A72" s="7" t="n">
        <v>8</v>
      </c>
      <c r="B72" s="7" t="n">
        <v>1</v>
      </c>
      <c r="C72" s="7" t="inlineStr">
        <is>
          <t>Problem Solving</t>
        </is>
      </c>
      <c r="D72" s="7" t="inlineStr">
        <is>
          <t>Scored</t>
        </is>
      </c>
      <c r="E72" s="8" t="inlineStr">
        <is>
          <t>Three interns — Kabir, Hana, Tariq — are scheduled for interviews in sequence. Kabir is not last. Tariq is not last. Kabir is not in the middle. Who is last?</t>
        </is>
      </c>
      <c r="F72" s="8" t="inlineStr">
        <is>
          <t>Kabir</t>
        </is>
      </c>
      <c r="G72" s="8" t="inlineStr">
        <is>
          <t>Tariq</t>
        </is>
      </c>
      <c r="H72" s="8" t="inlineStr">
        <is>
          <t>Cannot be determined</t>
        </is>
      </c>
      <c r="I72" s="8" t="inlineStr">
        <is>
          <t>Hana</t>
        </is>
      </c>
      <c r="J72" s="7" t="n"/>
      <c r="K72" s="7" t="n"/>
      <c r="L72" s="7" t="n"/>
      <c r="M72" s="7" t="n"/>
      <c r="N72" s="7" t="inlineStr">
        <is>
          <t>D</t>
        </is>
      </c>
      <c r="O72" s="7" t="n"/>
      <c r="P72" s="7" t="n"/>
      <c r="Q72" s="7" t="n"/>
      <c r="R72" s="7" t="n"/>
      <c r="S72" s="7" t="n"/>
      <c r="T72" s="7">
        <f>IF(O72="","",IF(O72=N72,1,0))</f>
        <v/>
      </c>
      <c r="U72" s="8" t="n"/>
    </row>
    <row r="73">
      <c r="A73" s="7" t="n">
        <v>8</v>
      </c>
      <c r="B73" s="7" t="n">
        <v>2</v>
      </c>
      <c r="C73" s="7" t="inlineStr">
        <is>
          <t>Critical Thinking</t>
        </is>
      </c>
      <c r="D73" s="7" t="inlineStr">
        <is>
          <t>Scored</t>
        </is>
      </c>
      <c r="E73" s="8" t="inlineStr">
        <is>
          <t>A student picks a course because a popular influencer, who isn't in the field, recommended it. What's the actual flaw in this reasoning?</t>
        </is>
      </c>
      <c r="F73" s="8" t="inlineStr">
        <is>
          <t>The influencer designed the curriculum</t>
        </is>
      </c>
      <c r="G73" s="8" t="inlineStr">
        <is>
          <t>Courses cannot be recommended</t>
        </is>
      </c>
      <c r="H73" s="8" t="inlineStr">
        <is>
          <t>The influencer isn't actually an expert on that subject</t>
        </is>
      </c>
      <c r="I73" s="8" t="inlineStr">
        <is>
          <t>The influencer teaches the course</t>
        </is>
      </c>
      <c r="J73" s="7" t="n"/>
      <c r="K73" s="7" t="n"/>
      <c r="L73" s="7" t="n"/>
      <c r="M73" s="7" t="n"/>
      <c r="N73" s="7" t="inlineStr">
        <is>
          <t>C</t>
        </is>
      </c>
      <c r="O73" s="7" t="n"/>
      <c r="P73" s="7" t="n"/>
      <c r="Q73" s="7" t="n"/>
      <c r="R73" s="7" t="n"/>
      <c r="S73" s="7" t="n"/>
      <c r="T73" s="7">
        <f>IF(O73="","",IF(O73=N73,1,0))</f>
        <v/>
      </c>
      <c r="U73" s="8" t="n"/>
    </row>
    <row r="74">
      <c r="A74" s="7" t="n">
        <v>8</v>
      </c>
      <c r="B74" s="7" t="n">
        <v>3</v>
      </c>
      <c r="C74" s="7" t="inlineStr">
        <is>
          <t>Decision Making</t>
        </is>
      </c>
      <c r="D74" s="7" t="inlineStr">
        <is>
          <t>Scored</t>
        </is>
      </c>
      <c r="E74" s="8" t="inlineStr">
        <is>
          <t>You have 32 minutes. prepare your resume takes 20 minutes, finish the group case study takes 12 minutes, and register for placement drive takes 25 minutes. You must skip exactly one of them to fit the other two into your 32 minutes. Which should you skip?</t>
        </is>
      </c>
      <c r="F74" s="8" t="inlineStr">
        <is>
          <t>It's impossible to fit any two</t>
        </is>
      </c>
      <c r="G74" s="8" t="inlineStr">
        <is>
          <t>prepare your resume</t>
        </is>
      </c>
      <c r="H74" s="8" t="inlineStr">
        <is>
          <t>finish the group case study</t>
        </is>
      </c>
      <c r="I74" s="8" t="inlineStr">
        <is>
          <t>register for placement drive</t>
        </is>
      </c>
      <c r="J74" s="7" t="n"/>
      <c r="K74" s="7" t="n"/>
      <c r="L74" s="7" t="n"/>
      <c r="M74" s="7" t="n"/>
      <c r="N74" s="7" t="inlineStr">
        <is>
          <t>D</t>
        </is>
      </c>
      <c r="O74" s="7" t="n"/>
      <c r="P74" s="7" t="n"/>
      <c r="Q74" s="7" t="n"/>
      <c r="R74" s="7" t="n"/>
      <c r="S74" s="7" t="n"/>
      <c r="T74" s="7">
        <f>IF(O74="","",IF(O74=N74,1,0))</f>
        <v/>
      </c>
      <c r="U74" s="8" t="n"/>
    </row>
    <row r="75">
      <c r="A75" s="7" t="n">
        <v>8</v>
      </c>
      <c r="B75" s="7" t="n">
        <v>4</v>
      </c>
      <c r="C75" s="7" t="inlineStr">
        <is>
          <t>Mental Math</t>
        </is>
      </c>
      <c r="D75" s="7" t="inlineStr">
        <is>
          <t>Scored</t>
        </is>
      </c>
      <c r="E75" s="8" t="inlineStr">
        <is>
          <t>After spending 23 and later receiving 19 as a gift, Lena has 32. How much did Lena start with?</t>
        </is>
      </c>
      <c r="F75" s="8" t="inlineStr">
        <is>
          <t>59</t>
        </is>
      </c>
      <c r="G75" s="8" t="inlineStr">
        <is>
          <t>32</t>
        </is>
      </c>
      <c r="H75" s="8" t="inlineStr">
        <is>
          <t>17</t>
        </is>
      </c>
      <c r="I75" s="8" t="inlineStr">
        <is>
          <t>36</t>
        </is>
      </c>
      <c r="J75" s="7" t="n"/>
      <c r="K75" s="7" t="n"/>
      <c r="L75" s="7" t="n"/>
      <c r="M75" s="7" t="n"/>
      <c r="N75" s="7" t="inlineStr">
        <is>
          <t>D</t>
        </is>
      </c>
      <c r="O75" s="7" t="n"/>
      <c r="P75" s="7" t="n"/>
      <c r="Q75" s="7" t="n"/>
      <c r="R75" s="7" t="n"/>
      <c r="S75" s="7" t="n"/>
      <c r="T75" s="7">
        <f>IF(O75="","",IF(O75=N75,1,0))</f>
        <v/>
      </c>
      <c r="U75" s="8" t="n"/>
    </row>
    <row r="76">
      <c r="A76" s="7" t="n">
        <v>8</v>
      </c>
      <c r="B76" s="7" t="n">
        <v>5</v>
      </c>
      <c r="C76" s="7" t="inlineStr">
        <is>
          <t>Cognitive Academia</t>
        </is>
      </c>
      <c r="D76" s="7" t="inlineStr">
        <is>
          <t>Scored</t>
        </is>
      </c>
      <c r="E76" s="8" t="inlineStr">
        <is>
          <t>What comes next in this pattern: 4, 9, 18, 23, 46, ?</t>
        </is>
      </c>
      <c r="F76" s="8" t="inlineStr">
        <is>
          <t>48</t>
        </is>
      </c>
      <c r="G76" s="8" t="inlineStr">
        <is>
          <t>51</t>
        </is>
      </c>
      <c r="H76" s="8" t="inlineStr">
        <is>
          <t>54</t>
        </is>
      </c>
      <c r="I76" s="8" t="inlineStr">
        <is>
          <t>41</t>
        </is>
      </c>
      <c r="J76" s="7" t="n"/>
      <c r="K76" s="7" t="n"/>
      <c r="L76" s="7" t="n"/>
      <c r="M76" s="7" t="n"/>
      <c r="N76" s="7" t="inlineStr">
        <is>
          <t>B</t>
        </is>
      </c>
      <c r="O76" s="7" t="n"/>
      <c r="P76" s="7" t="n"/>
      <c r="Q76" s="7" t="n"/>
      <c r="R76" s="7" t="n"/>
      <c r="S76" s="7" t="n"/>
      <c r="T76" s="7">
        <f>IF(O76="","",IF(O76=N76,1,0))</f>
        <v/>
      </c>
      <c r="U76" s="8" t="n"/>
    </row>
    <row r="77">
      <c r="A77" s="7" t="n">
        <v>8</v>
      </c>
      <c r="B77" s="7" t="n">
        <v>6</v>
      </c>
      <c r="C77" s="7" t="inlineStr">
        <is>
          <t>Leadership / Communication / Emotional &amp; Social</t>
        </is>
      </c>
      <c r="D77" s="7" t="inlineStr">
        <is>
          <t>Self-report (most/least)</t>
        </is>
      </c>
      <c r="E77" s="8" t="inlineStr">
        <is>
          <t>You're mid-interview and realize you've been misrepresenting a skill on your resume.</t>
        </is>
      </c>
      <c r="F77" s="8" t="inlineStr">
        <is>
          <t>You enjoy writing reports or giving structured presentations</t>
        </is>
      </c>
      <c r="G77" s="8" t="inlineStr">
        <is>
          <t>You're good at helping a stressed peer feel better</t>
        </is>
      </c>
      <c r="H77" s="8" t="inlineStr">
        <is>
          <t>You step up to lead when no one else volunteers</t>
        </is>
      </c>
      <c r="I77" s="8" t="inlineStr">
        <is>
          <t>You'd step back and observe before choosing any of these</t>
        </is>
      </c>
      <c r="J77" s="7" t="inlineStr">
        <is>
          <t>CM</t>
        </is>
      </c>
      <c r="K77" s="7" t="inlineStr">
        <is>
          <t>ES</t>
        </is>
      </c>
      <c r="L77" s="7" t="inlineStr">
        <is>
          <t>LD</t>
        </is>
      </c>
      <c r="M77" s="7" t="inlineStr"/>
      <c r="N77" s="7" t="n"/>
      <c r="O77" s="7" t="n"/>
      <c r="P77" s="7" t="n"/>
      <c r="Q77" s="7" t="n"/>
      <c r="R77" s="7">
        <f>IFERROR(INDEX(J77:M77,MATCH(P77,{"A","B","C","D"},0)),"")</f>
        <v/>
      </c>
      <c r="S77" s="7">
        <f>IFERROR(INDEX(J77:M77,MATCH(Q77,{"A","B","C","D"},0)),"")</f>
        <v/>
      </c>
      <c r="T77" s="7" t="n"/>
      <c r="U77" s="8" t="n"/>
    </row>
    <row r="78">
      <c r="A78" s="7" t="n">
        <v>8</v>
      </c>
      <c r="B78" s="7" t="n">
        <v>7</v>
      </c>
      <c r="C78" s="7" t="inlineStr">
        <is>
          <t>Leadership / Communication / Emotional &amp; Social</t>
        </is>
      </c>
      <c r="D78" s="7" t="inlineStr">
        <is>
          <t>Self-report (most/least)</t>
        </is>
      </c>
      <c r="E78" s="8" t="inlineStr">
        <is>
          <t>A first-year student is clearly overwhelmed and comes to you for advice you're not sure you have.</t>
        </is>
      </c>
      <c r="F78" s="8" t="inlineStr">
        <is>
          <t>None of these feel like you in this moment</t>
        </is>
      </c>
      <c r="G78" s="8" t="inlineStr">
        <is>
          <t>You handle disagreements without letting them escalate</t>
        </is>
      </c>
      <c r="H78" s="8" t="inlineStr">
        <is>
          <t>You like presenting your ideas confidently to a group</t>
        </is>
      </c>
      <c r="I78" s="8" t="inlineStr">
        <is>
          <t>You take ownership when something goes wrong</t>
        </is>
      </c>
      <c r="J78" s="7" t="inlineStr"/>
      <c r="K78" s="7" t="inlineStr">
        <is>
          <t>ES</t>
        </is>
      </c>
      <c r="L78" s="7" t="inlineStr">
        <is>
          <t>CM</t>
        </is>
      </c>
      <c r="M78" s="7" t="inlineStr">
        <is>
          <t>LD</t>
        </is>
      </c>
      <c r="N78" s="7" t="n"/>
      <c r="O78" s="7" t="n"/>
      <c r="P78" s="7" t="n"/>
      <c r="Q78" s="7" t="n"/>
      <c r="R78" s="7">
        <f>IFERROR(INDEX(J78:M78,MATCH(P78,{"A","B","C","D"},0)),"")</f>
        <v/>
      </c>
      <c r="S78" s="7">
        <f>IFERROR(INDEX(J78:M78,MATCH(Q78,{"A","B","C","D"},0)),"")</f>
        <v/>
      </c>
      <c r="T78" s="7" t="n"/>
      <c r="U78" s="8" t="n"/>
    </row>
    <row r="79">
      <c r="A79" s="7" t="n">
        <v>8</v>
      </c>
      <c r="B79" s="7" t="n">
        <v>8</v>
      </c>
      <c r="C79" s="7" t="inlineStr">
        <is>
          <t>Leadership / Communication / Emotional &amp; Social</t>
        </is>
      </c>
      <c r="D79" s="7" t="inlineStr">
        <is>
          <t>Self-report (most/least)</t>
        </is>
      </c>
      <c r="E79" s="8" t="inlineStr">
        <is>
          <t>Your case competition team is split on the final recommendation two hours before the pitch.</t>
        </is>
      </c>
      <c r="F79" s="8" t="inlineStr">
        <is>
          <t>You'd need more time before reacting at all</t>
        </is>
      </c>
      <c r="G79" s="8" t="inlineStr">
        <is>
          <t>You enjoy discussing ideas with classmates or colleagues</t>
        </is>
      </c>
      <c r="H79" s="8" t="inlineStr">
        <is>
          <t>You think about how a decision might affect others</t>
        </is>
      </c>
      <c r="I79" s="8" t="inlineStr">
        <is>
          <t>You feel confident making decisions under time pressure</t>
        </is>
      </c>
      <c r="J79" s="7" t="inlineStr"/>
      <c r="K79" s="7" t="inlineStr">
        <is>
          <t>CM</t>
        </is>
      </c>
      <c r="L79" s="7" t="inlineStr">
        <is>
          <t>ES</t>
        </is>
      </c>
      <c r="M79" s="7" t="inlineStr">
        <is>
          <t>LD</t>
        </is>
      </c>
      <c r="N79" s="7" t="n"/>
      <c r="O79" s="7" t="n"/>
      <c r="P79" s="7" t="n"/>
      <c r="Q79" s="7" t="n"/>
      <c r="R79" s="7">
        <f>IFERROR(INDEX(J79:M79,MATCH(P79,{"A","B","C","D"},0)),"")</f>
        <v/>
      </c>
      <c r="S79" s="7">
        <f>IFERROR(INDEX(J79:M79,MATCH(Q79,{"A","B","C","D"},0)),"")</f>
        <v/>
      </c>
      <c r="T79" s="7" t="n"/>
      <c r="U79" s="8" t="n"/>
    </row>
    <row r="80">
      <c r="A80" s="7" t="n">
        <v>8</v>
      </c>
      <c r="B80" s="7" t="n">
        <v>9</v>
      </c>
      <c r="C80" s="7" t="inlineStr">
        <is>
          <t>Creative Skills</t>
        </is>
      </c>
      <c r="D80" s="7" t="inlineStr">
        <is>
          <t>Open-ended (not auto-scored)</t>
        </is>
      </c>
      <c r="E80" s="8" t="inlineStr">
        <is>
          <t>If you could redesign the placement preparation process, what's the one thing you'd change?</t>
        </is>
      </c>
      <c r="F80" s="8" t="n"/>
      <c r="G80" s="8" t="n"/>
      <c r="H80" s="8" t="n"/>
      <c r="I80" s="8" t="n"/>
      <c r="J80" s="7" t="n"/>
      <c r="K80" s="7" t="n"/>
      <c r="L80" s="7" t="n"/>
      <c r="M80" s="7" t="n"/>
      <c r="N80" s="7" t="n"/>
      <c r="O80" s="7" t="n"/>
      <c r="P80" s="7" t="n"/>
      <c r="Q80" s="7" t="n"/>
      <c r="R80" s="7" t="n"/>
      <c r="S80" s="7" t="n"/>
      <c r="T80" s="7" t="n"/>
      <c r="U80" s="8" t="n"/>
    </row>
    <row r="81">
      <c r="A81" s="7" t="n">
        <v>8</v>
      </c>
      <c r="B81" s="7" t="n">
        <v>10</v>
      </c>
      <c r="C81" s="7" t="inlineStr">
        <is>
          <t>Listening Skills</t>
        </is>
      </c>
      <c r="D81" s="7" t="inlineStr">
        <is>
          <t>Scored</t>
        </is>
      </c>
      <c r="E81" s="8" t="inlineStr">
        <is>
          <t>[Read once, then answer without re-reading] “At orientation week, new students collected their ID cards, toured the campus, and then attended the welcome address.”  ||  What happened last?</t>
        </is>
      </c>
      <c r="F81" s="8" t="inlineStr">
        <is>
          <t>attended the welcome address</t>
        </is>
      </c>
      <c r="G81" s="8" t="inlineStr">
        <is>
          <t>registered for graduation</t>
        </is>
      </c>
      <c r="H81" s="8" t="inlineStr">
        <is>
          <t>toured the campus</t>
        </is>
      </c>
      <c r="I81" s="8" t="inlineStr">
        <is>
          <t>collected their ID cards</t>
        </is>
      </c>
      <c r="J81" s="7" t="n"/>
      <c r="K81" s="7" t="n"/>
      <c r="L81" s="7" t="n"/>
      <c r="M81" s="7" t="n"/>
      <c r="N81" s="7" t="inlineStr">
        <is>
          <t>A</t>
        </is>
      </c>
      <c r="O81" s="7" t="n"/>
      <c r="P81" s="7" t="n"/>
      <c r="Q81" s="7" t="n"/>
      <c r="R81" s="7" t="n"/>
      <c r="S81" s="7" t="n"/>
      <c r="T81" s="7">
        <f>IF(O81="","",IF(O81=N81,1,0))</f>
        <v/>
      </c>
      <c r="U81" s="8" t="n"/>
    </row>
    <row r="82">
      <c r="A82" s="5" t="n">
        <v>9</v>
      </c>
      <c r="B82" s="5" t="n">
        <v>1</v>
      </c>
      <c r="C82" s="5" t="inlineStr">
        <is>
          <t>Problem Solving</t>
        </is>
      </c>
      <c r="D82" s="5" t="inlineStr">
        <is>
          <t>Scored</t>
        </is>
      </c>
      <c r="E82" s="6" t="inlineStr">
        <is>
          <t>Three interns — Tariq, Leo, Rhea — are scheduled for interviews in sequence. Rhea is not in the middle. Leo is not first. Rhea is not last. Leo is not in the middle. Who is in the middle?</t>
        </is>
      </c>
      <c r="F82" s="6" t="inlineStr">
        <is>
          <t>Leo</t>
        </is>
      </c>
      <c r="G82" s="6" t="inlineStr">
        <is>
          <t>Tariq</t>
        </is>
      </c>
      <c r="H82" s="6" t="inlineStr">
        <is>
          <t>Rhea</t>
        </is>
      </c>
      <c r="I82" s="6" t="inlineStr">
        <is>
          <t>Cannot be determined</t>
        </is>
      </c>
      <c r="J82" s="5" t="n"/>
      <c r="K82" s="5" t="n"/>
      <c r="L82" s="5" t="n"/>
      <c r="M82" s="5" t="n"/>
      <c r="N82" s="5" t="inlineStr">
        <is>
          <t>B</t>
        </is>
      </c>
      <c r="O82" s="5" t="n"/>
      <c r="P82" s="5" t="n"/>
      <c r="Q82" s="5" t="n"/>
      <c r="R82" s="5" t="n"/>
      <c r="S82" s="5" t="n"/>
      <c r="T82" s="5">
        <f>IF(O82="","",IF(O82=N82,1,0))</f>
        <v/>
      </c>
      <c r="U82" s="6" t="n"/>
    </row>
    <row r="83">
      <c r="A83" s="5" t="n">
        <v>9</v>
      </c>
      <c r="B83" s="5" t="n">
        <v>2</v>
      </c>
      <c r="C83" s="5" t="inlineStr">
        <is>
          <t>Critical Thinking</t>
        </is>
      </c>
      <c r="D83" s="5" t="inlineStr">
        <is>
          <t>Scored</t>
        </is>
      </c>
      <c r="E83" s="6" t="inlineStr">
        <is>
          <t>A post claims 'networking doesn't matter' because one person got a great job without it. What's the actual flaw in this reasoning?</t>
        </is>
      </c>
      <c r="F83" s="6" t="inlineStr">
        <is>
          <t>The person actually networked extensively</t>
        </is>
      </c>
      <c r="G83" s="6" t="inlineStr">
        <is>
          <t>No jobs require networking</t>
        </is>
      </c>
      <c r="H83" s="6" t="inlineStr">
        <is>
          <t>The story describes a fictional person</t>
        </is>
      </c>
      <c r="I83" s="6" t="inlineStr">
        <is>
          <t>One unusual case is used instead of looking at typical outcomes</t>
        </is>
      </c>
      <c r="J83" s="5" t="n"/>
      <c r="K83" s="5" t="n"/>
      <c r="L83" s="5" t="n"/>
      <c r="M83" s="5" t="n"/>
      <c r="N83" s="5" t="inlineStr">
        <is>
          <t>D</t>
        </is>
      </c>
      <c r="O83" s="5" t="n"/>
      <c r="P83" s="5" t="n"/>
      <c r="Q83" s="5" t="n"/>
      <c r="R83" s="5" t="n"/>
      <c r="S83" s="5" t="n"/>
      <c r="T83" s="5">
        <f>IF(O83="","",IF(O83=N83,1,0))</f>
        <v/>
      </c>
      <c r="U83" s="6" t="n"/>
    </row>
    <row r="84">
      <c r="A84" s="5" t="n">
        <v>9</v>
      </c>
      <c r="B84" s="5" t="n">
        <v>3</v>
      </c>
      <c r="C84" s="5" t="inlineStr">
        <is>
          <t>Decision Making</t>
        </is>
      </c>
      <c r="D84" s="5" t="inlineStr">
        <is>
          <t>Scored</t>
        </is>
      </c>
      <c r="E84" s="6" t="inlineStr">
        <is>
          <t>You only have time for ONE of these right now. Which gives the best value for the effort it takes?</t>
        </is>
      </c>
      <c r="F84" s="6" t="inlineStr">
        <is>
          <t>register for placement drive (effort 3, value 6)</t>
        </is>
      </c>
      <c r="G84" s="6" t="inlineStr">
        <is>
          <t>They are all equally good choices</t>
        </is>
      </c>
      <c r="H84" s="6" t="inlineStr">
        <is>
          <t>prepare your resume (effort 5, value 12)</t>
        </is>
      </c>
      <c r="I84" s="6" t="inlineStr">
        <is>
          <t>submit your internship application (effort 8, value 8)</t>
        </is>
      </c>
      <c r="J84" s="5" t="n"/>
      <c r="K84" s="5" t="n"/>
      <c r="L84" s="5" t="n"/>
      <c r="M84" s="5" t="n"/>
      <c r="N84" s="5" t="inlineStr">
        <is>
          <t>C</t>
        </is>
      </c>
      <c r="O84" s="5" t="n"/>
      <c r="P84" s="5" t="n"/>
      <c r="Q84" s="5" t="n"/>
      <c r="R84" s="5" t="n"/>
      <c r="S84" s="5" t="n"/>
      <c r="T84" s="5">
        <f>IF(O84="","",IF(O84=N84,1,0))</f>
        <v/>
      </c>
      <c r="U84" s="6" t="n"/>
    </row>
    <row r="85">
      <c r="A85" s="5" t="n">
        <v>9</v>
      </c>
      <c r="B85" s="5" t="n">
        <v>4</v>
      </c>
      <c r="C85" s="5" t="inlineStr">
        <is>
          <t>Mental Math</t>
        </is>
      </c>
      <c r="D85" s="5" t="inlineStr">
        <is>
          <t>Scored</t>
        </is>
      </c>
      <c r="E85" s="6" t="inlineStr">
        <is>
          <t>A recipe mixes blue paint and yellow paint in a 4:3 ratio. If you use 12 units of blue paint, how much yellow paint do you need?</t>
        </is>
      </c>
      <c r="F85" s="6" t="inlineStr">
        <is>
          <t>14</t>
        </is>
      </c>
      <c r="G85" s="6" t="inlineStr">
        <is>
          <t>9</t>
        </is>
      </c>
      <c r="H85" s="6" t="inlineStr">
        <is>
          <t>12</t>
        </is>
      </c>
      <c r="I85" s="6" t="inlineStr">
        <is>
          <t>6</t>
        </is>
      </c>
      <c r="J85" s="5" t="n"/>
      <c r="K85" s="5" t="n"/>
      <c r="L85" s="5" t="n"/>
      <c r="M85" s="5" t="n"/>
      <c r="N85" s="5" t="inlineStr">
        <is>
          <t>B</t>
        </is>
      </c>
      <c r="O85" s="5" t="n"/>
      <c r="P85" s="5" t="n"/>
      <c r="Q85" s="5" t="n"/>
      <c r="R85" s="5" t="n"/>
      <c r="S85" s="5" t="n"/>
      <c r="T85" s="5">
        <f>IF(O85="","",IF(O85=N85,1,0))</f>
        <v/>
      </c>
      <c r="U85" s="6" t="n"/>
    </row>
    <row r="86">
      <c r="A86" s="5" t="n">
        <v>9</v>
      </c>
      <c r="B86" s="5" t="n">
        <v>5</v>
      </c>
      <c r="C86" s="5" t="inlineStr">
        <is>
          <t>Cognitive Academia</t>
        </is>
      </c>
      <c r="D86" s="5" t="inlineStr">
        <is>
          <t>Scored</t>
        </is>
      </c>
      <c r="E86" s="6" t="inlineStr">
        <is>
          <t>What comes next in this pattern: 3, 6, 12, 24, ?</t>
        </is>
      </c>
      <c r="F86" s="6" t="inlineStr">
        <is>
          <t>27</t>
        </is>
      </c>
      <c r="G86" s="6" t="inlineStr">
        <is>
          <t>50</t>
        </is>
      </c>
      <c r="H86" s="6" t="inlineStr">
        <is>
          <t>36</t>
        </is>
      </c>
      <c r="I86" s="6" t="inlineStr">
        <is>
          <t>48</t>
        </is>
      </c>
      <c r="J86" s="5" t="n"/>
      <c r="K86" s="5" t="n"/>
      <c r="L86" s="5" t="n"/>
      <c r="M86" s="5" t="n"/>
      <c r="N86" s="5" t="inlineStr">
        <is>
          <t>D</t>
        </is>
      </c>
      <c r="O86" s="5" t="n"/>
      <c r="P86" s="5" t="n"/>
      <c r="Q86" s="5" t="n"/>
      <c r="R86" s="5" t="n"/>
      <c r="S86" s="5" t="n"/>
      <c r="T86" s="5">
        <f>IF(O86="","",IF(O86=N86,1,0))</f>
        <v/>
      </c>
      <c r="U86" s="6" t="n"/>
    </row>
    <row r="87">
      <c r="A87" s="5" t="n">
        <v>9</v>
      </c>
      <c r="B87" s="5" t="n">
        <v>6</v>
      </c>
      <c r="C87" s="5" t="inlineStr">
        <is>
          <t>Leadership / Communication / Emotional &amp; Social</t>
        </is>
      </c>
      <c r="D87" s="5" t="inlineStr">
        <is>
          <t>Self-report (most/least)</t>
        </is>
      </c>
      <c r="E87" s="6" t="inlineStr">
        <is>
          <t>You discover a factual error in the group thesis the night before it's due.</t>
        </is>
      </c>
      <c r="F87" s="6" t="inlineStr">
        <is>
          <t>You enjoy explaining your reasoning to mentors or peers</t>
        </is>
      </c>
      <c r="G87" s="6" t="inlineStr">
        <is>
          <t>You notice subtle changes in a peer's mood</t>
        </is>
      </c>
      <c r="H87" s="6" t="inlineStr">
        <is>
          <t>None of these feel like you in this moment</t>
        </is>
      </c>
      <c r="I87" s="6" t="inlineStr">
        <is>
          <t>You like guiding a team toward a shared outcome</t>
        </is>
      </c>
      <c r="J87" s="5" t="inlineStr">
        <is>
          <t>CM</t>
        </is>
      </c>
      <c r="K87" s="5" t="inlineStr">
        <is>
          <t>ES</t>
        </is>
      </c>
      <c r="L87" s="5" t="inlineStr"/>
      <c r="M87" s="5" t="inlineStr">
        <is>
          <t>LD</t>
        </is>
      </c>
      <c r="N87" s="5" t="n"/>
      <c r="O87" s="5" t="n"/>
      <c r="P87" s="5" t="n"/>
      <c r="Q87" s="5" t="n"/>
      <c r="R87" s="5">
        <f>IFERROR(INDEX(J87:M87,MATCH(P87,{"A","B","C","D"},0)),"")</f>
        <v/>
      </c>
      <c r="S87" s="5">
        <f>IFERROR(INDEX(J87:M87,MATCH(Q87,{"A","B","C","D"},0)),"")</f>
        <v/>
      </c>
      <c r="T87" s="5" t="n"/>
      <c r="U87" s="6" t="n"/>
    </row>
    <row r="88">
      <c r="A88" s="5" t="n">
        <v>9</v>
      </c>
      <c r="B88" s="5" t="n">
        <v>7</v>
      </c>
      <c r="C88" s="5" t="inlineStr">
        <is>
          <t>Leadership / Communication / Emotional &amp; Social</t>
        </is>
      </c>
      <c r="D88" s="5" t="inlineStr">
        <is>
          <t>Self-report (most/least)</t>
        </is>
      </c>
      <c r="E88" s="6" t="inlineStr">
        <is>
          <t>A close friend just got rejected from every internship they applied to and is questioning everything.</t>
        </is>
      </c>
      <c r="F88" s="6" t="inlineStr">
        <is>
          <t>You like asking clarifying questions in unfamiliar topics</t>
        </is>
      </c>
      <c r="G88" s="6" t="inlineStr">
        <is>
          <t>You stay calm even during high-stakes deadlines</t>
        </is>
      </c>
      <c r="H88" s="6" t="inlineStr">
        <is>
          <t>You'd need more time before reacting at all</t>
        </is>
      </c>
      <c r="I88" s="6" t="inlineStr">
        <is>
          <t>You like organizing a plan of action for your team</t>
        </is>
      </c>
      <c r="J88" s="5" t="inlineStr">
        <is>
          <t>CM</t>
        </is>
      </c>
      <c r="K88" s="5" t="inlineStr">
        <is>
          <t>ES</t>
        </is>
      </c>
      <c r="L88" s="5" t="inlineStr"/>
      <c r="M88" s="5" t="inlineStr">
        <is>
          <t>LD</t>
        </is>
      </c>
      <c r="N88" s="5" t="n"/>
      <c r="O88" s="5" t="n"/>
      <c r="P88" s="5" t="n"/>
      <c r="Q88" s="5" t="n"/>
      <c r="R88" s="5">
        <f>IFERROR(INDEX(J88:M88,MATCH(P88,{"A","B","C","D"},0)),"")</f>
        <v/>
      </c>
      <c r="S88" s="5">
        <f>IFERROR(INDEX(J88:M88,MATCH(Q88,{"A","B","C","D"},0)),"")</f>
        <v/>
      </c>
      <c r="T88" s="5" t="n"/>
      <c r="U88" s="6" t="n"/>
    </row>
    <row r="89">
      <c r="A89" s="5" t="n">
        <v>9</v>
      </c>
      <c r="B89" s="5" t="n">
        <v>8</v>
      </c>
      <c r="C89" s="5" t="inlineStr">
        <is>
          <t>Leadership / Communication / Emotional &amp; Social</t>
        </is>
      </c>
      <c r="D89" s="5" t="inlineStr">
        <is>
          <t>Self-report (most/least)</t>
        </is>
      </c>
      <c r="E89" s="6" t="inlineStr">
        <is>
          <t>Your startup pitch just got a tough, pointed question from a judge you don't have a good answer for.</t>
        </is>
      </c>
      <c r="F89" s="6" t="inlineStr">
        <is>
          <t>You'd rather wait and see what others do first</t>
        </is>
      </c>
      <c r="G89" s="6" t="inlineStr">
        <is>
          <t>You enjoy being chosen to head a club or project</t>
        </is>
      </c>
      <c r="H89" s="6" t="inlineStr">
        <is>
          <t>You can sense how someone feels without them saying it</t>
        </is>
      </c>
      <c r="I89" s="6" t="inlineStr">
        <is>
          <t>You make sure your argument comes across persuasively</t>
        </is>
      </c>
      <c r="J89" s="5" t="inlineStr"/>
      <c r="K89" s="5" t="inlineStr">
        <is>
          <t>LD</t>
        </is>
      </c>
      <c r="L89" s="5" t="inlineStr">
        <is>
          <t>ES</t>
        </is>
      </c>
      <c r="M89" s="5" t="inlineStr">
        <is>
          <t>CM</t>
        </is>
      </c>
      <c r="N89" s="5" t="n"/>
      <c r="O89" s="5" t="n"/>
      <c r="P89" s="5" t="n"/>
      <c r="Q89" s="5" t="n"/>
      <c r="R89" s="5">
        <f>IFERROR(INDEX(J89:M89,MATCH(P89,{"A","B","C","D"},0)),"")</f>
        <v/>
      </c>
      <c r="S89" s="5">
        <f>IFERROR(INDEX(J89:M89,MATCH(Q89,{"A","B","C","D"},0)),"")</f>
        <v/>
      </c>
      <c r="T89" s="5" t="n"/>
      <c r="U89" s="6" t="n"/>
    </row>
    <row r="90">
      <c r="A90" s="5" t="n">
        <v>9</v>
      </c>
      <c r="B90" s="5" t="n">
        <v>9</v>
      </c>
      <c r="C90" s="5" t="inlineStr">
        <is>
          <t>Creative Skills</t>
        </is>
      </c>
      <c r="D90" s="5" t="inlineStr">
        <is>
          <t>Open-ended (not auto-scored)</t>
        </is>
      </c>
      <c r="E90" s="6" t="inlineStr">
        <is>
          <t>Propose an idea for a peer-support system that students would actually use.</t>
        </is>
      </c>
      <c r="F90" s="6" t="n"/>
      <c r="G90" s="6" t="n"/>
      <c r="H90" s="6" t="n"/>
      <c r="I90" s="6" t="n"/>
      <c r="J90" s="5" t="n"/>
      <c r="K90" s="5" t="n"/>
      <c r="L90" s="5" t="n"/>
      <c r="M90" s="5" t="n"/>
      <c r="N90" s="5" t="n"/>
      <c r="O90" s="5" t="n"/>
      <c r="P90" s="5" t="n"/>
      <c r="Q90" s="5" t="n"/>
      <c r="R90" s="5" t="n"/>
      <c r="S90" s="5" t="n"/>
      <c r="T90" s="5" t="n"/>
      <c r="U90" s="6" t="n"/>
    </row>
    <row r="91">
      <c r="A91" s="5" t="n">
        <v>9</v>
      </c>
      <c r="B91" s="5" t="n">
        <v>10</v>
      </c>
      <c r="C91" s="5" t="inlineStr">
        <is>
          <t>Listening Skills</t>
        </is>
      </c>
      <c r="D91" s="5" t="inlineStr">
        <is>
          <t>Scored</t>
        </is>
      </c>
      <c r="E91" s="6" t="inlineStr">
        <is>
          <t>[Read once, then answer without re-reading] “Before the hackathon, the team scoped the idea, split the coding tasks, and finally set up their shared repository.”  ||  What happened right after the first thing mentioned?</t>
        </is>
      </c>
      <c r="F91" s="6" t="inlineStr">
        <is>
          <t>presented to investors</t>
        </is>
      </c>
      <c r="G91" s="6" t="inlineStr">
        <is>
          <t>split the coding tasks</t>
        </is>
      </c>
      <c r="H91" s="6" t="inlineStr">
        <is>
          <t>scoped the idea</t>
        </is>
      </c>
      <c r="I91" s="6" t="inlineStr">
        <is>
          <t>set up their shared repository</t>
        </is>
      </c>
      <c r="J91" s="5" t="n"/>
      <c r="K91" s="5" t="n"/>
      <c r="L91" s="5" t="n"/>
      <c r="M91" s="5" t="n"/>
      <c r="N91" s="5" t="inlineStr">
        <is>
          <t>B</t>
        </is>
      </c>
      <c r="O91" s="5" t="n"/>
      <c r="P91" s="5" t="n"/>
      <c r="Q91" s="5" t="n"/>
      <c r="R91" s="5" t="n"/>
      <c r="S91" s="5" t="n"/>
      <c r="T91" s="5">
        <f>IF(O91="","",IF(O91=N91,1,0))</f>
        <v/>
      </c>
      <c r="U91" s="6" t="n"/>
    </row>
    <row r="92">
      <c r="A92" s="7" t="n">
        <v>10</v>
      </c>
      <c r="B92" s="7" t="n">
        <v>1</v>
      </c>
      <c r="C92" s="7" t="inlineStr">
        <is>
          <t>Problem Solving</t>
        </is>
      </c>
      <c r="D92" s="7" t="inlineStr">
        <is>
          <t>Scored</t>
        </is>
      </c>
      <c r="E92" s="8" t="inlineStr">
        <is>
          <t>Three interns — Wei, Sara, Kabir — are scheduled for interviews in sequence. Wei is not last. Kabir is not first. Kabir is not in the middle. Sara is not in the middle. Who is in the middle?</t>
        </is>
      </c>
      <c r="F92" s="8" t="inlineStr">
        <is>
          <t>Cannot be determined</t>
        </is>
      </c>
      <c r="G92" s="8" t="inlineStr">
        <is>
          <t>Wei</t>
        </is>
      </c>
      <c r="H92" s="8" t="inlineStr">
        <is>
          <t>Sara</t>
        </is>
      </c>
      <c r="I92" s="8" t="inlineStr">
        <is>
          <t>Kabir</t>
        </is>
      </c>
      <c r="J92" s="7" t="n"/>
      <c r="K92" s="7" t="n"/>
      <c r="L92" s="7" t="n"/>
      <c r="M92" s="7" t="n"/>
      <c r="N92" s="7" t="inlineStr">
        <is>
          <t>B</t>
        </is>
      </c>
      <c r="O92" s="7" t="n"/>
      <c r="P92" s="7" t="n"/>
      <c r="Q92" s="7" t="n"/>
      <c r="R92" s="7" t="n"/>
      <c r="S92" s="7" t="n"/>
      <c r="T92" s="7">
        <f>IF(O92="","",IF(O92=N92,1,0))</f>
        <v/>
      </c>
      <c r="U92" s="8" t="n"/>
    </row>
    <row r="93">
      <c r="A93" s="7" t="n">
        <v>10</v>
      </c>
      <c r="B93" s="7" t="n">
        <v>2</v>
      </c>
      <c r="C93" s="7" t="inlineStr">
        <is>
          <t>Critical Thinking</t>
        </is>
      </c>
      <c r="D93" s="7" t="inlineStr">
        <is>
          <t>Scored</t>
        </is>
      </c>
      <c r="E93" s="8" t="inlineStr">
        <is>
          <t>An op-ed claims: 'This admissions policy is just because it is fair.' What's the actual flaw in this reasoning?</t>
        </is>
      </c>
      <c r="F93" s="8" t="inlineStr">
        <is>
          <t>The policy was overturned</t>
        </is>
      </c>
      <c r="G93" s="8" t="inlineStr">
        <is>
          <t>Just and fair mean unrelated things</t>
        </is>
      </c>
      <c r="H93" s="8" t="inlineStr">
        <is>
          <t>No admissions policy exists</t>
        </is>
      </c>
      <c r="I93" s="8" t="inlineStr">
        <is>
          <t>It restates the claim rather than explaining why the policy is actually fair</t>
        </is>
      </c>
      <c r="J93" s="7" t="n"/>
      <c r="K93" s="7" t="n"/>
      <c r="L93" s="7" t="n"/>
      <c r="M93" s="7" t="n"/>
      <c r="N93" s="7" t="inlineStr">
        <is>
          <t>D</t>
        </is>
      </c>
      <c r="O93" s="7" t="n"/>
      <c r="P93" s="7" t="n"/>
      <c r="Q93" s="7" t="n"/>
      <c r="R93" s="7" t="n"/>
      <c r="S93" s="7" t="n"/>
      <c r="T93" s="7">
        <f>IF(O93="","",IF(O93=N93,1,0))</f>
        <v/>
      </c>
      <c r="U93" s="8" t="n"/>
    </row>
    <row r="94">
      <c r="A94" s="7" t="n">
        <v>10</v>
      </c>
      <c r="B94" s="7" t="n">
        <v>3</v>
      </c>
      <c r="C94" s="7" t="inlineStr">
        <is>
          <t>Decision Making</t>
        </is>
      </c>
      <c r="D94" s="7" t="inlineStr">
        <is>
          <t>Scored</t>
        </is>
      </c>
      <c r="E94" s="8" t="inlineStr">
        <is>
          <t>You have 41 minutes. prepare your resume takes 16 minutes, submit your internship application takes 25 minutes, and register for placement drive takes 35 minutes. You must skip exactly one of them to fit the other two into your 41 minutes. Which should you skip?</t>
        </is>
      </c>
      <c r="F94" s="8" t="inlineStr">
        <is>
          <t>It's impossible to fit any two</t>
        </is>
      </c>
      <c r="G94" s="8" t="inlineStr">
        <is>
          <t>submit your internship application</t>
        </is>
      </c>
      <c r="H94" s="8" t="inlineStr">
        <is>
          <t>register for placement drive</t>
        </is>
      </c>
      <c r="I94" s="8" t="inlineStr">
        <is>
          <t>prepare your resume</t>
        </is>
      </c>
      <c r="J94" s="7" t="n"/>
      <c r="K94" s="7" t="n"/>
      <c r="L94" s="7" t="n"/>
      <c r="M94" s="7" t="n"/>
      <c r="N94" s="7" t="inlineStr">
        <is>
          <t>C</t>
        </is>
      </c>
      <c r="O94" s="7" t="n"/>
      <c r="P94" s="7" t="n"/>
      <c r="Q94" s="7" t="n"/>
      <c r="R94" s="7" t="n"/>
      <c r="S94" s="7" t="n"/>
      <c r="T94" s="7">
        <f>IF(O94="","",IF(O94=N94,1,0))</f>
        <v/>
      </c>
      <c r="U94" s="8" t="n"/>
    </row>
    <row r="95">
      <c r="A95" s="7" t="n">
        <v>10</v>
      </c>
      <c r="B95" s="7" t="n">
        <v>4</v>
      </c>
      <c r="C95" s="7" t="inlineStr">
        <is>
          <t>Mental Math</t>
        </is>
      </c>
      <c r="D95" s="7" t="inlineStr">
        <is>
          <t>Scored</t>
        </is>
      </c>
      <c r="E95" s="8" t="inlineStr">
        <is>
          <t>I'm thinking of a number. If you triple it, then add 34, then subtract 2, you get 104. What's my number?</t>
        </is>
      </c>
      <c r="F95" s="8" t="inlineStr">
        <is>
          <t>23</t>
        </is>
      </c>
      <c r="G95" s="8" t="inlineStr">
        <is>
          <t>24</t>
        </is>
      </c>
      <c r="H95" s="8" t="inlineStr">
        <is>
          <t>26</t>
        </is>
      </c>
      <c r="I95" s="8" t="inlineStr">
        <is>
          <t>25</t>
        </is>
      </c>
      <c r="J95" s="7" t="n"/>
      <c r="K95" s="7" t="n"/>
      <c r="L95" s="7" t="n"/>
      <c r="M95" s="7" t="n"/>
      <c r="N95" s="7" t="inlineStr">
        <is>
          <t>B</t>
        </is>
      </c>
      <c r="O95" s="7" t="n"/>
      <c r="P95" s="7" t="n"/>
      <c r="Q95" s="7" t="n"/>
      <c r="R95" s="7" t="n"/>
      <c r="S95" s="7" t="n"/>
      <c r="T95" s="7">
        <f>IF(O95="","",IF(O95=N95,1,0))</f>
        <v/>
      </c>
      <c r="U95" s="8" t="n"/>
    </row>
    <row r="96">
      <c r="A96" s="7" t="n">
        <v>10</v>
      </c>
      <c r="B96" s="7" t="n">
        <v>5</v>
      </c>
      <c r="C96" s="7" t="inlineStr">
        <is>
          <t>Cognitive Academia</t>
        </is>
      </c>
      <c r="D96" s="7" t="inlineStr">
        <is>
          <t>Scored</t>
        </is>
      </c>
      <c r="E96" s="8" t="inlineStr">
        <is>
          <t>What comes next in this pattern: 1, 3, 6, 10, ?</t>
        </is>
      </c>
      <c r="F96" s="8" t="inlineStr">
        <is>
          <t>18</t>
        </is>
      </c>
      <c r="G96" s="8" t="inlineStr">
        <is>
          <t>15</t>
        </is>
      </c>
      <c r="H96" s="8" t="inlineStr">
        <is>
          <t>16</t>
        </is>
      </c>
      <c r="I96" s="8" t="inlineStr">
        <is>
          <t>12</t>
        </is>
      </c>
      <c r="J96" s="7" t="n"/>
      <c r="K96" s="7" t="n"/>
      <c r="L96" s="7" t="n"/>
      <c r="M96" s="7" t="n"/>
      <c r="N96" s="7" t="inlineStr">
        <is>
          <t>B</t>
        </is>
      </c>
      <c r="O96" s="7" t="n"/>
      <c r="P96" s="7" t="n"/>
      <c r="Q96" s="7" t="n"/>
      <c r="R96" s="7" t="n"/>
      <c r="S96" s="7" t="n"/>
      <c r="T96" s="7">
        <f>IF(O96="","",IF(O96=N96,1,0))</f>
        <v/>
      </c>
      <c r="U96" s="8" t="n"/>
    </row>
    <row r="97">
      <c r="A97" s="7" t="n">
        <v>10</v>
      </c>
      <c r="B97" s="7" t="n">
        <v>6</v>
      </c>
      <c r="C97" s="7" t="inlineStr">
        <is>
          <t>Leadership / Communication / Emotional &amp; Social</t>
        </is>
      </c>
      <c r="D97" s="7" t="inlineStr">
        <is>
          <t>Self-report (most/least)</t>
        </is>
      </c>
      <c r="E97" s="8" t="inlineStr">
        <is>
          <t>You're the only one on your team who thinks the group's chosen direction is a mistake.</t>
        </is>
      </c>
      <c r="F97" s="8" t="inlineStr">
        <is>
          <t>You think about how a decision might affect others</t>
        </is>
      </c>
      <c r="G97" s="8" t="inlineStr">
        <is>
          <t>You enjoy discussing ideas with classmates or colleagues</t>
        </is>
      </c>
      <c r="H97" s="8" t="inlineStr">
        <is>
          <t>You'd need more time before reacting at all</t>
        </is>
      </c>
      <c r="I97" s="8" t="inlineStr">
        <is>
          <t>You feel confident making decisions under time pressure</t>
        </is>
      </c>
      <c r="J97" s="7" t="inlineStr">
        <is>
          <t>ES</t>
        </is>
      </c>
      <c r="K97" s="7" t="inlineStr">
        <is>
          <t>CM</t>
        </is>
      </c>
      <c r="L97" s="7" t="inlineStr"/>
      <c r="M97" s="7" t="inlineStr">
        <is>
          <t>LD</t>
        </is>
      </c>
      <c r="N97" s="7" t="n"/>
      <c r="O97" s="7" t="n"/>
      <c r="P97" s="7" t="n"/>
      <c r="Q97" s="7" t="n"/>
      <c r="R97" s="7">
        <f>IFERROR(INDEX(J97:M97,MATCH(P97,{"A","B","C","D"},0)),"")</f>
        <v/>
      </c>
      <c r="S97" s="7">
        <f>IFERROR(INDEX(J97:M97,MATCH(Q97,{"A","B","C","D"},0)),"")</f>
        <v/>
      </c>
      <c r="T97" s="7" t="n"/>
      <c r="U97" s="8" t="n"/>
    </row>
    <row r="98">
      <c r="A98" s="7" t="n">
        <v>10</v>
      </c>
      <c r="B98" s="7" t="n">
        <v>7</v>
      </c>
      <c r="C98" s="7" t="inlineStr">
        <is>
          <t>Leadership / Communication / Emotional &amp; Social</t>
        </is>
      </c>
      <c r="D98" s="7" t="inlineStr">
        <is>
          <t>Self-report (most/least)</t>
        </is>
      </c>
      <c r="E98" s="8" t="inlineStr">
        <is>
          <t>Your project partner wants to submit slightly altered data to make the results look stronger.</t>
        </is>
      </c>
      <c r="F98" s="8" t="inlineStr">
        <is>
          <t>You naturally end up being the one who decides</t>
        </is>
      </c>
      <c r="G98" s="8" t="inlineStr">
        <is>
          <t>You'd rather wait and see what others do first</t>
        </is>
      </c>
      <c r="H98" s="8" t="inlineStr">
        <is>
          <t>You like structuring your thoughts before speaking</t>
        </is>
      </c>
      <c r="I98" s="8" t="inlineStr">
        <is>
          <t>You enjoy helping a peer work through a tough problem</t>
        </is>
      </c>
      <c r="J98" s="7" t="inlineStr">
        <is>
          <t>LD</t>
        </is>
      </c>
      <c r="K98" s="7" t="inlineStr"/>
      <c r="L98" s="7" t="inlineStr">
        <is>
          <t>CM</t>
        </is>
      </c>
      <c r="M98" s="7" t="inlineStr">
        <is>
          <t>ES</t>
        </is>
      </c>
      <c r="N98" s="7" t="n"/>
      <c r="O98" s="7" t="n"/>
      <c r="P98" s="7" t="n"/>
      <c r="Q98" s="7" t="n"/>
      <c r="R98" s="7">
        <f>IFERROR(INDEX(J98:M98,MATCH(P98,{"A","B","C","D"},0)),"")</f>
        <v/>
      </c>
      <c r="S98" s="7">
        <f>IFERROR(INDEX(J98:M98,MATCH(Q98,{"A","B","C","D"},0)),"")</f>
        <v/>
      </c>
      <c r="T98" s="7" t="n"/>
      <c r="U98" s="8" t="n"/>
    </row>
    <row r="99">
      <c r="A99" s="7" t="n">
        <v>10</v>
      </c>
      <c r="B99" s="7" t="n">
        <v>8</v>
      </c>
      <c r="C99" s="7" t="inlineStr">
        <is>
          <t>Leadership / Communication / Emotional &amp; Social</t>
        </is>
      </c>
      <c r="D99" s="7" t="inlineStr">
        <is>
          <t>Self-report (most/least)</t>
        </is>
      </c>
      <c r="E99" s="8" t="inlineStr">
        <is>
          <t>You're asked to represent your batch in a decision you personally disagree with.</t>
        </is>
      </c>
      <c r="F99" s="8" t="inlineStr">
        <is>
          <t>You'd step back and observe before choosing any of these</t>
        </is>
      </c>
      <c r="G99" s="8" t="inlineStr">
        <is>
          <t>You naturally take charge when a project lacks direction</t>
        </is>
      </c>
      <c r="H99" s="8" t="inlineStr">
        <is>
          <t>You notice when a peer is under pressure</t>
        </is>
      </c>
      <c r="I99" s="8" t="inlineStr">
        <is>
          <t>You explain your reasoning clearly so others follow it</t>
        </is>
      </c>
      <c r="J99" s="7" t="inlineStr"/>
      <c r="K99" s="7" t="inlineStr">
        <is>
          <t>LD</t>
        </is>
      </c>
      <c r="L99" s="7" t="inlineStr">
        <is>
          <t>ES</t>
        </is>
      </c>
      <c r="M99" s="7" t="inlineStr">
        <is>
          <t>CM</t>
        </is>
      </c>
      <c r="N99" s="7" t="n"/>
      <c r="O99" s="7" t="n"/>
      <c r="P99" s="7" t="n"/>
      <c r="Q99" s="7" t="n"/>
      <c r="R99" s="7">
        <f>IFERROR(INDEX(J99:M99,MATCH(P99,{"A","B","C","D"},0)),"")</f>
        <v/>
      </c>
      <c r="S99" s="7">
        <f>IFERROR(INDEX(J99:M99,MATCH(Q99,{"A","B","C","D"},0)),"")</f>
        <v/>
      </c>
      <c r="T99" s="7" t="n"/>
      <c r="U99" s="8" t="n"/>
    </row>
    <row r="100">
      <c r="A100" s="7" t="n">
        <v>10</v>
      </c>
      <c r="B100" s="7" t="n">
        <v>9</v>
      </c>
      <c r="C100" s="7" t="inlineStr">
        <is>
          <t>Creative Skills</t>
        </is>
      </c>
      <c r="D100" s="7" t="inlineStr">
        <is>
          <t>Open-ended (not auto-scored)</t>
        </is>
      </c>
      <c r="E100" s="8" t="inlineStr">
        <is>
          <t>Design a new kind of student club built around a skill nobody else is teaching on campus.</t>
        </is>
      </c>
      <c r="F100" s="8" t="n"/>
      <c r="G100" s="8" t="n"/>
      <c r="H100" s="8" t="n"/>
      <c r="I100" s="8" t="n"/>
      <c r="J100" s="7" t="n"/>
      <c r="K100" s="7" t="n"/>
      <c r="L100" s="7" t="n"/>
      <c r="M100" s="7" t="n"/>
      <c r="N100" s="7" t="n"/>
      <c r="O100" s="7" t="n"/>
      <c r="P100" s="7" t="n"/>
      <c r="Q100" s="7" t="n"/>
      <c r="R100" s="7" t="n"/>
      <c r="S100" s="7" t="n"/>
      <c r="T100" s="7" t="n"/>
      <c r="U100" s="8" t="n"/>
    </row>
    <row r="101">
      <c r="A101" s="7" t="n">
        <v>10</v>
      </c>
      <c r="B101" s="7" t="n">
        <v>10</v>
      </c>
      <c r="C101" s="7" t="inlineStr">
        <is>
          <t>Listening Skills</t>
        </is>
      </c>
      <c r="D101" s="7" t="inlineStr">
        <is>
          <t>Scored</t>
        </is>
      </c>
      <c r="E101" s="8" t="inlineStr">
        <is>
          <t>[Read once, then answer without re-reading] “Ahead of the scholarship deadline, Lena drafted her personal statement, requested two references, and then submitted the full application.”  ||  What happened last?</t>
        </is>
      </c>
      <c r="F101" s="8" t="inlineStr">
        <is>
          <t>submitted the full application</t>
        </is>
      </c>
      <c r="G101" s="8" t="inlineStr">
        <is>
          <t>attended a graduation ceremony</t>
        </is>
      </c>
      <c r="H101" s="8" t="inlineStr">
        <is>
          <t>drafted her personal statement</t>
        </is>
      </c>
      <c r="I101" s="8" t="inlineStr">
        <is>
          <t>requested two references</t>
        </is>
      </c>
      <c r="J101" s="7" t="n"/>
      <c r="K101" s="7" t="n"/>
      <c r="L101" s="7" t="n"/>
      <c r="M101" s="7" t="n"/>
      <c r="N101" s="7" t="inlineStr">
        <is>
          <t>A</t>
        </is>
      </c>
      <c r="O101" s="7" t="n"/>
      <c r="P101" s="7" t="n"/>
      <c r="Q101" s="7" t="n"/>
      <c r="R101" s="7" t="n"/>
      <c r="S101" s="7" t="n"/>
      <c r="T101" s="7">
        <f>IF(O101="","",IF(O101=N101,1,0))</f>
        <v/>
      </c>
      <c r="U101" s="8" t="n"/>
    </row>
    <row r="104">
      <c r="A104" s="9" t="inlineStr">
        <is>
          <t>Scoring summary — fill answers above, then read results below. Creative (last column) is for manual review.</t>
        </is>
      </c>
    </row>
    <row r="105">
      <c r="A105" s="10" t="inlineStr">
        <is>
          <t>Set</t>
        </is>
      </c>
      <c r="B105" s="10" t="inlineStr">
        <is>
          <t>Problem Solving</t>
        </is>
      </c>
      <c r="C105" s="10" t="inlineStr">
        <is>
          <t>Critical Thinking</t>
        </is>
      </c>
      <c r="D105" s="10" t="inlineStr">
        <is>
          <t>Decision Making</t>
        </is>
      </c>
      <c r="E105" s="10" t="inlineStr">
        <is>
          <t>Mental Math</t>
        </is>
      </c>
      <c r="F105" s="10" t="inlineStr">
        <is>
          <t>Cognitive Academia</t>
        </is>
      </c>
      <c r="G105" s="10" t="inlineStr">
        <is>
          <t>Listening</t>
        </is>
      </c>
      <c r="H105" s="10" t="inlineStr">
        <is>
          <t>Leadership</t>
        </is>
      </c>
      <c r="I105" s="10" t="inlineStr">
        <is>
          <t>Communication</t>
        </is>
      </c>
      <c r="J105" s="10" t="inlineStr">
        <is>
          <t>Emotional &amp; Social</t>
        </is>
      </c>
      <c r="K105" s="10" t="inlineStr">
        <is>
          <t>Top strength</t>
        </is>
      </c>
    </row>
    <row r="106">
      <c r="A106" s="11" t="n">
        <v>1</v>
      </c>
      <c r="B106" s="12">
        <f>IF(O2="",0,IF(O2=N2,100,0))</f>
        <v/>
      </c>
      <c r="C106" s="12">
        <f>IF(O3="",0,IF(O3=N3,100,0))</f>
        <v/>
      </c>
      <c r="D106" s="12">
        <f>IF(O4="",0,IF(O4=N4,100,0))</f>
        <v/>
      </c>
      <c r="E106" s="12">
        <f>IF(O5="",0,IF(O5=N5,100,0))</f>
        <v/>
      </c>
      <c r="F106" s="12">
        <f>IF(O6="",0,IF(O6=N6,100,0))</f>
        <v/>
      </c>
      <c r="G106" s="12">
        <f>IF(O11="",0,IF(O11=N11,100,0))</f>
        <v/>
      </c>
      <c r="H106" s="12">
        <f>((((--(R7="LD"))-(--(S7="LD")))+((--(R8="LD"))-(--(S8="LD")))+((--(R9="LD"))-(--(S9="LD"))))+3)/6*100</f>
        <v/>
      </c>
      <c r="I106" s="12">
        <f>((((--(R7="CM"))-(--(S7="CM")))+((--(R8="CM"))-(--(S8="CM")))+((--(R9="CM"))-(--(S9="CM"))))+3)/6*100</f>
        <v/>
      </c>
      <c r="J106" s="12">
        <f>((((--(R7="ES"))-(--(S7="ES")))+((--(R8="ES"))-(--(S8="ES")))+((--(R9="ES"))-(--(S9="ES"))))+3)/6*100</f>
        <v/>
      </c>
      <c r="K106" s="12">
        <f>INDEX({"Problem Solving";"Critical Thinking";"Decision Making";"Mental Math";"Cognitive Academia";"Listening";"Leadership";"Communication";"Emotional &amp; Social"},MATCH(MAX(B106:J106),B106:J106,0))</f>
        <v/>
      </c>
    </row>
    <row r="107">
      <c r="A107" s="11" t="n">
        <v>2</v>
      </c>
      <c r="B107" s="12">
        <f>IF(O12="",0,IF(O12=N12,100,0))</f>
        <v/>
      </c>
      <c r="C107" s="12">
        <f>IF(O13="",0,IF(O13=N13,100,0))</f>
        <v/>
      </c>
      <c r="D107" s="12">
        <f>IF(O14="",0,IF(O14=N14,100,0))</f>
        <v/>
      </c>
      <c r="E107" s="12">
        <f>IF(O15="",0,IF(O15=N15,100,0))</f>
        <v/>
      </c>
      <c r="F107" s="12">
        <f>IF(O16="",0,IF(O16=N16,100,0))</f>
        <v/>
      </c>
      <c r="G107" s="12">
        <f>IF(O21="",0,IF(O21=N21,100,0))</f>
        <v/>
      </c>
      <c r="H107" s="12">
        <f>((((--(R17="LD"))-(--(S17="LD")))+((--(R18="LD"))-(--(S18="LD")))+((--(R19="LD"))-(--(S19="LD"))))+3)/6*100</f>
        <v/>
      </c>
      <c r="I107" s="12">
        <f>((((--(R17="CM"))-(--(S17="CM")))+((--(R18="CM"))-(--(S18="CM")))+((--(R19="CM"))-(--(S19="CM"))))+3)/6*100</f>
        <v/>
      </c>
      <c r="J107" s="12">
        <f>((((--(R17="ES"))-(--(S17="ES")))+((--(R18="ES"))-(--(S18="ES")))+((--(R19="ES"))-(--(S19="ES"))))+3)/6*100</f>
        <v/>
      </c>
      <c r="K107" s="12">
        <f>INDEX({"Problem Solving";"Critical Thinking";"Decision Making";"Mental Math";"Cognitive Academia";"Listening";"Leadership";"Communication";"Emotional &amp; Social"},MATCH(MAX(B107:J107),B107:J107,0))</f>
        <v/>
      </c>
    </row>
    <row r="108">
      <c r="A108" s="11" t="n">
        <v>3</v>
      </c>
      <c r="B108" s="12">
        <f>IF(O22="",0,IF(O22=N22,100,0))</f>
        <v/>
      </c>
      <c r="C108" s="12">
        <f>IF(O23="",0,IF(O23=N23,100,0))</f>
        <v/>
      </c>
      <c r="D108" s="12">
        <f>IF(O24="",0,IF(O24=N24,100,0))</f>
        <v/>
      </c>
      <c r="E108" s="12">
        <f>IF(O25="",0,IF(O25=N25,100,0))</f>
        <v/>
      </c>
      <c r="F108" s="12">
        <f>IF(O26="",0,IF(O26=N26,100,0))</f>
        <v/>
      </c>
      <c r="G108" s="12">
        <f>IF(O31="",0,IF(O31=N31,100,0))</f>
        <v/>
      </c>
      <c r="H108" s="12">
        <f>((((--(R27="LD"))-(--(S27="LD")))+((--(R28="LD"))-(--(S28="LD")))+((--(R29="LD"))-(--(S29="LD"))))+3)/6*100</f>
        <v/>
      </c>
      <c r="I108" s="12">
        <f>((((--(R27="CM"))-(--(S27="CM")))+((--(R28="CM"))-(--(S28="CM")))+((--(R29="CM"))-(--(S29="CM"))))+3)/6*100</f>
        <v/>
      </c>
      <c r="J108" s="12">
        <f>((((--(R27="ES"))-(--(S27="ES")))+((--(R28="ES"))-(--(S28="ES")))+((--(R29="ES"))-(--(S29="ES"))))+3)/6*100</f>
        <v/>
      </c>
      <c r="K108" s="12">
        <f>INDEX({"Problem Solving";"Critical Thinking";"Decision Making";"Mental Math";"Cognitive Academia";"Listening";"Leadership";"Communication";"Emotional &amp; Social"},MATCH(MAX(B108:J108),B108:J108,0))</f>
        <v/>
      </c>
    </row>
    <row r="109">
      <c r="A109" s="11" t="n">
        <v>4</v>
      </c>
      <c r="B109" s="12">
        <f>IF(O32="",0,IF(O32=N32,100,0))</f>
        <v/>
      </c>
      <c r="C109" s="12">
        <f>IF(O33="",0,IF(O33=N33,100,0))</f>
        <v/>
      </c>
      <c r="D109" s="12">
        <f>IF(O34="",0,IF(O34=N34,100,0))</f>
        <v/>
      </c>
      <c r="E109" s="12">
        <f>IF(O35="",0,IF(O35=N35,100,0))</f>
        <v/>
      </c>
      <c r="F109" s="12">
        <f>IF(O36="",0,IF(O36=N36,100,0))</f>
        <v/>
      </c>
      <c r="G109" s="12">
        <f>IF(O41="",0,IF(O41=N41,100,0))</f>
        <v/>
      </c>
      <c r="H109" s="12">
        <f>((((--(R37="LD"))-(--(S37="LD")))+((--(R38="LD"))-(--(S38="LD")))+((--(R39="LD"))-(--(S39="LD"))))+3)/6*100</f>
        <v/>
      </c>
      <c r="I109" s="12">
        <f>((((--(R37="CM"))-(--(S37="CM")))+((--(R38="CM"))-(--(S38="CM")))+((--(R39="CM"))-(--(S39="CM"))))+3)/6*100</f>
        <v/>
      </c>
      <c r="J109" s="12">
        <f>((((--(R37="ES"))-(--(S37="ES")))+((--(R38="ES"))-(--(S38="ES")))+((--(R39="ES"))-(--(S39="ES"))))+3)/6*100</f>
        <v/>
      </c>
      <c r="K109" s="12">
        <f>INDEX({"Problem Solving";"Critical Thinking";"Decision Making";"Mental Math";"Cognitive Academia";"Listening";"Leadership";"Communication";"Emotional &amp; Social"},MATCH(MAX(B109:J109),B109:J109,0))</f>
        <v/>
      </c>
    </row>
    <row r="110">
      <c r="A110" s="11" t="n">
        <v>5</v>
      </c>
      <c r="B110" s="12">
        <f>IF(O42="",0,IF(O42=N42,100,0))</f>
        <v/>
      </c>
      <c r="C110" s="12">
        <f>IF(O43="",0,IF(O43=N43,100,0))</f>
        <v/>
      </c>
      <c r="D110" s="12">
        <f>IF(O44="",0,IF(O44=N44,100,0))</f>
        <v/>
      </c>
      <c r="E110" s="12">
        <f>IF(O45="",0,IF(O45=N45,100,0))</f>
        <v/>
      </c>
      <c r="F110" s="12">
        <f>IF(O46="",0,IF(O46=N46,100,0))</f>
        <v/>
      </c>
      <c r="G110" s="12">
        <f>IF(O51="",0,IF(O51=N51,100,0))</f>
        <v/>
      </c>
      <c r="H110" s="12">
        <f>((((--(R47="LD"))-(--(S47="LD")))+((--(R48="LD"))-(--(S48="LD")))+((--(R49="LD"))-(--(S49="LD"))))+3)/6*100</f>
        <v/>
      </c>
      <c r="I110" s="12">
        <f>((((--(R47="CM"))-(--(S47="CM")))+((--(R48="CM"))-(--(S48="CM")))+((--(R49="CM"))-(--(S49="CM"))))+3)/6*100</f>
        <v/>
      </c>
      <c r="J110" s="12">
        <f>((((--(R47="ES"))-(--(S47="ES")))+((--(R48="ES"))-(--(S48="ES")))+((--(R49="ES"))-(--(S49="ES"))))+3)/6*100</f>
        <v/>
      </c>
      <c r="K110" s="12">
        <f>INDEX({"Problem Solving";"Critical Thinking";"Decision Making";"Mental Math";"Cognitive Academia";"Listening";"Leadership";"Communication";"Emotional &amp; Social"},MATCH(MAX(B110:J110),B110:J110,0))</f>
        <v/>
      </c>
    </row>
    <row r="111">
      <c r="A111" s="11" t="n">
        <v>6</v>
      </c>
      <c r="B111" s="12">
        <f>IF(O52="",0,IF(O52=N52,100,0))</f>
        <v/>
      </c>
      <c r="C111" s="12">
        <f>IF(O53="",0,IF(O53=N53,100,0))</f>
        <v/>
      </c>
      <c r="D111" s="12">
        <f>IF(O54="",0,IF(O54=N54,100,0))</f>
        <v/>
      </c>
      <c r="E111" s="12">
        <f>IF(O55="",0,IF(O55=N55,100,0))</f>
        <v/>
      </c>
      <c r="F111" s="12">
        <f>IF(O56="",0,IF(O56=N56,100,0))</f>
        <v/>
      </c>
      <c r="G111" s="12">
        <f>IF(O61="",0,IF(O61=N61,100,0))</f>
        <v/>
      </c>
      <c r="H111" s="12">
        <f>((((--(R57="LD"))-(--(S57="LD")))+((--(R58="LD"))-(--(S58="LD")))+((--(R59="LD"))-(--(S59="LD"))))+3)/6*100</f>
        <v/>
      </c>
      <c r="I111" s="12">
        <f>((((--(R57="CM"))-(--(S57="CM")))+((--(R58="CM"))-(--(S58="CM")))+((--(R59="CM"))-(--(S59="CM"))))+3)/6*100</f>
        <v/>
      </c>
      <c r="J111" s="12">
        <f>((((--(R57="ES"))-(--(S57="ES")))+((--(R58="ES"))-(--(S58="ES")))+((--(R59="ES"))-(--(S59="ES"))))+3)/6*100</f>
        <v/>
      </c>
      <c r="K111" s="12">
        <f>INDEX({"Problem Solving";"Critical Thinking";"Decision Making";"Mental Math";"Cognitive Academia";"Listening";"Leadership";"Communication";"Emotional &amp; Social"},MATCH(MAX(B111:J111),B111:J111,0))</f>
        <v/>
      </c>
    </row>
    <row r="112">
      <c r="A112" s="11" t="n">
        <v>7</v>
      </c>
      <c r="B112" s="12">
        <f>IF(O62="",0,IF(O62=N62,100,0))</f>
        <v/>
      </c>
      <c r="C112" s="12">
        <f>IF(O63="",0,IF(O63=N63,100,0))</f>
        <v/>
      </c>
      <c r="D112" s="12">
        <f>IF(O64="",0,IF(O64=N64,100,0))</f>
        <v/>
      </c>
      <c r="E112" s="12">
        <f>IF(O65="",0,IF(O65=N65,100,0))</f>
        <v/>
      </c>
      <c r="F112" s="12">
        <f>IF(O66="",0,IF(O66=N66,100,0))</f>
        <v/>
      </c>
      <c r="G112" s="12">
        <f>IF(O71="",0,IF(O71=N71,100,0))</f>
        <v/>
      </c>
      <c r="H112" s="12">
        <f>((((--(R67="LD"))-(--(S67="LD")))+((--(R68="LD"))-(--(S68="LD")))+((--(R69="LD"))-(--(S69="LD"))))+3)/6*100</f>
        <v/>
      </c>
      <c r="I112" s="12">
        <f>((((--(R67="CM"))-(--(S67="CM")))+((--(R68="CM"))-(--(S68="CM")))+((--(R69="CM"))-(--(S69="CM"))))+3)/6*100</f>
        <v/>
      </c>
      <c r="J112" s="12">
        <f>((((--(R67="ES"))-(--(S67="ES")))+((--(R68="ES"))-(--(S68="ES")))+((--(R69="ES"))-(--(S69="ES"))))+3)/6*100</f>
        <v/>
      </c>
      <c r="K112" s="12">
        <f>INDEX({"Problem Solving";"Critical Thinking";"Decision Making";"Mental Math";"Cognitive Academia";"Listening";"Leadership";"Communication";"Emotional &amp; Social"},MATCH(MAX(B112:J112),B112:J112,0))</f>
        <v/>
      </c>
    </row>
    <row r="113">
      <c r="A113" s="11" t="n">
        <v>8</v>
      </c>
      <c r="B113" s="12">
        <f>IF(O72="",0,IF(O72=N72,100,0))</f>
        <v/>
      </c>
      <c r="C113" s="12">
        <f>IF(O73="",0,IF(O73=N73,100,0))</f>
        <v/>
      </c>
      <c r="D113" s="12">
        <f>IF(O74="",0,IF(O74=N74,100,0))</f>
        <v/>
      </c>
      <c r="E113" s="12">
        <f>IF(O75="",0,IF(O75=N75,100,0))</f>
        <v/>
      </c>
      <c r="F113" s="12">
        <f>IF(O76="",0,IF(O76=N76,100,0))</f>
        <v/>
      </c>
      <c r="G113" s="12">
        <f>IF(O81="",0,IF(O81=N81,100,0))</f>
        <v/>
      </c>
      <c r="H113" s="12">
        <f>((((--(R77="LD"))-(--(S77="LD")))+((--(R78="LD"))-(--(S78="LD")))+((--(R79="LD"))-(--(S79="LD"))))+3)/6*100</f>
        <v/>
      </c>
      <c r="I113" s="12">
        <f>((((--(R77="CM"))-(--(S77="CM")))+((--(R78="CM"))-(--(S78="CM")))+((--(R79="CM"))-(--(S79="CM"))))+3)/6*100</f>
        <v/>
      </c>
      <c r="J113" s="12">
        <f>((((--(R77="ES"))-(--(S77="ES")))+((--(R78="ES"))-(--(S78="ES")))+((--(R79="ES"))-(--(S79="ES"))))+3)/6*100</f>
        <v/>
      </c>
      <c r="K113" s="12">
        <f>INDEX({"Problem Solving";"Critical Thinking";"Decision Making";"Mental Math";"Cognitive Academia";"Listening";"Leadership";"Communication";"Emotional &amp; Social"},MATCH(MAX(B113:J113),B113:J113,0))</f>
        <v/>
      </c>
    </row>
    <row r="114">
      <c r="A114" s="11" t="n">
        <v>9</v>
      </c>
      <c r="B114" s="12">
        <f>IF(O82="",0,IF(O82=N82,100,0))</f>
        <v/>
      </c>
      <c r="C114" s="12">
        <f>IF(O83="",0,IF(O83=N83,100,0))</f>
        <v/>
      </c>
      <c r="D114" s="12">
        <f>IF(O84="",0,IF(O84=N84,100,0))</f>
        <v/>
      </c>
      <c r="E114" s="12">
        <f>IF(O85="",0,IF(O85=N85,100,0))</f>
        <v/>
      </c>
      <c r="F114" s="12">
        <f>IF(O86="",0,IF(O86=N86,100,0))</f>
        <v/>
      </c>
      <c r="G114" s="12">
        <f>IF(O91="",0,IF(O91=N91,100,0))</f>
        <v/>
      </c>
      <c r="H114" s="12">
        <f>((((--(R87="LD"))-(--(S87="LD")))+((--(R88="LD"))-(--(S88="LD")))+((--(R89="LD"))-(--(S89="LD"))))+3)/6*100</f>
        <v/>
      </c>
      <c r="I114" s="12">
        <f>((((--(R87="CM"))-(--(S87="CM")))+((--(R88="CM"))-(--(S88="CM")))+((--(R89="CM"))-(--(S89="CM"))))+3)/6*100</f>
        <v/>
      </c>
      <c r="J114" s="12">
        <f>((((--(R87="ES"))-(--(S87="ES")))+((--(R88="ES"))-(--(S88="ES")))+((--(R89="ES"))-(--(S89="ES"))))+3)/6*100</f>
        <v/>
      </c>
      <c r="K114" s="12">
        <f>INDEX({"Problem Solving";"Critical Thinking";"Decision Making";"Mental Math";"Cognitive Academia";"Listening";"Leadership";"Communication";"Emotional &amp; Social"},MATCH(MAX(B114:J114),B114:J114,0))</f>
        <v/>
      </c>
    </row>
    <row r="115">
      <c r="A115" s="11" t="n">
        <v>10</v>
      </c>
      <c r="B115" s="12">
        <f>IF(O92="",0,IF(O92=N92,100,0))</f>
        <v/>
      </c>
      <c r="C115" s="12">
        <f>IF(O93="",0,IF(O93=N93,100,0))</f>
        <v/>
      </c>
      <c r="D115" s="12">
        <f>IF(O94="",0,IF(O94=N94,100,0))</f>
        <v/>
      </c>
      <c r="E115" s="12">
        <f>IF(O95="",0,IF(O95=N95,100,0))</f>
        <v/>
      </c>
      <c r="F115" s="12">
        <f>IF(O96="",0,IF(O96=N96,100,0))</f>
        <v/>
      </c>
      <c r="G115" s="12">
        <f>IF(O101="",0,IF(O101=N101,100,0))</f>
        <v/>
      </c>
      <c r="H115" s="12">
        <f>((((--(R97="LD"))-(--(S97="LD")))+((--(R98="LD"))-(--(S98="LD")))+((--(R99="LD"))-(--(S99="LD"))))+3)/6*100</f>
        <v/>
      </c>
      <c r="I115" s="12">
        <f>((((--(R97="CM"))-(--(S97="CM")))+((--(R98="CM"))-(--(S98="CM")))+((--(R99="CM"))-(--(S99="CM"))))+3)/6*100</f>
        <v/>
      </c>
      <c r="J115" s="12">
        <f>((((--(R97="ES"))-(--(S97="ES")))+((--(R98="ES"))-(--(S98="ES")))+((--(R99="ES"))-(--(S99="ES"))))+3)/6*100</f>
        <v/>
      </c>
      <c r="K115" s="12">
        <f>INDEX({"Problem Solving";"Critical Thinking";"Decision Making";"Mental Math";"Cognitive Academia";"Listening";"Leadership";"Communication";"Emotional &amp; Social"},MATCH(MAX(B115:J115),B115:J115,0))</f>
        <v/>
      </c>
    </row>
  </sheetData>
  <mergeCells count="1">
    <mergeCell ref="A104:K104"/>
  </mergeCells>
  <dataValidations count="1">
    <dataValidation sqref="O2 O3 O4 O5 O6 O11 O12 O13 O14 O15 O16 O21 O22 O23 O24 O25 O26 O31 O32 O33 O34 O35 O36 O41 O42 O43 O44 O45 O46 O51 O52 O53 O54 O55 O56 O61 O62 O63 O64 O65 O66 O71 O72 O73 O74 O75 O76 O81 O82 O83 O84 O85 O86 O91 O92 O93 O94 O95 O96 O101 P7 P8 P9 P17 P18 P19 P27 P28 P29 P37 P38 P39 P47 P48 P49 P57 P58 P59 P67 P68 P69 P77 P78 P79 P87 P88 P89 P97 P98 P99 Q7 Q8 Q9 Q17 Q18 Q19 Q27 Q28 Q29 Q37 Q38 Q39 Q47 Q48 Q49 Q57 Q58 Q59 Q67 Q68 Q69 Q77 Q78 Q79 Q87 Q88 Q89 Q97 Q98 Q99" showDropDown="0" showInputMessage="0" showErrorMessage="0" allowBlank="1" type="list">
      <formula1>"A,B,C,D"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15"/>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4" customWidth="1" min="2" max="2"/>
    <col width="16" customWidth="1" min="3" max="3"/>
    <col width="20" customWidth="1" min="4" max="4"/>
    <col width="44" customWidth="1" min="5" max="5"/>
    <col width="26" customWidth="1" min="6" max="6"/>
    <col width="26" customWidth="1" min="7" max="7"/>
    <col width="26" customWidth="1" min="8" max="8"/>
    <col width="26" customWidth="1" min="9" max="9"/>
    <col width="9" customWidth="1" min="10" max="10"/>
    <col width="9" customWidth="1" min="11" max="11"/>
    <col width="9" customWidth="1" min="12" max="12"/>
    <col width="9" customWidth="1" min="13" max="13"/>
    <col width="9" customWidth="1" min="14" max="14"/>
    <col width="11" customWidth="1" min="15" max="15"/>
    <col width="9" customWidth="1" min="16" max="16"/>
    <col width="9" customWidth="1" min="17" max="17"/>
    <col width="11" customWidth="1" min="18" max="18"/>
    <col width="11" customWidth="1" min="19" max="19"/>
    <col width="9" customWidth="1" min="20" max="20"/>
    <col width="34" customWidth="1" min="21" max="21"/>
  </cols>
  <sheetData>
    <row r="1">
      <c r="A1" s="4" t="inlineStr">
        <is>
          <t>Set</t>
        </is>
      </c>
      <c r="B1" s="4" t="inlineStr">
        <is>
          <t>Q</t>
        </is>
      </c>
      <c r="C1" s="4" t="inlineStr">
        <is>
          <t>Domain</t>
        </is>
      </c>
      <c r="D1" s="4" t="inlineStr">
        <is>
          <t>Type</t>
        </is>
      </c>
      <c r="E1" s="4" t="inlineStr">
        <is>
          <t>Prompt / Situation</t>
        </is>
      </c>
      <c r="F1" s="4" t="inlineStr">
        <is>
          <t>Option A</t>
        </is>
      </c>
      <c r="G1" s="4" t="inlineStr">
        <is>
          <t>Option B</t>
        </is>
      </c>
      <c r="H1" s="4" t="inlineStr">
        <is>
          <t>Option C</t>
        </is>
      </c>
      <c r="I1" s="4" t="inlineStr">
        <is>
          <t>Option D</t>
        </is>
      </c>
      <c r="J1" s="4" t="inlineStr">
        <is>
          <t>Domain A</t>
        </is>
      </c>
      <c r="K1" s="4" t="inlineStr">
        <is>
          <t>Domain B</t>
        </is>
      </c>
      <c r="L1" s="4" t="inlineStr">
        <is>
          <t>Domain C</t>
        </is>
      </c>
      <c r="M1" s="4" t="inlineStr">
        <is>
          <t>Domain D</t>
        </is>
      </c>
      <c r="N1" s="4" t="inlineStr">
        <is>
          <t>Correct answer</t>
        </is>
      </c>
      <c r="O1" s="4" t="inlineStr">
        <is>
          <t>Your answer (scored items)</t>
        </is>
      </c>
      <c r="P1" s="4" t="inlineStr">
        <is>
          <t>Most (self-report)</t>
        </is>
      </c>
      <c r="Q1" s="4" t="inlineStr">
        <is>
          <t>Least (self-report)</t>
        </is>
      </c>
      <c r="R1" s="4" t="inlineStr">
        <is>
          <t>Most domain</t>
        </is>
      </c>
      <c r="S1" s="4" t="inlineStr">
        <is>
          <t>Least domain</t>
        </is>
      </c>
      <c r="T1" s="4" t="inlineStr">
        <is>
          <t>Correct? (0/1)</t>
        </is>
      </c>
      <c r="U1" s="4" t="inlineStr">
        <is>
          <t>Open response (creative — not auto-scored)</t>
        </is>
      </c>
    </row>
    <row r="2">
      <c r="A2" s="5" t="n">
        <v>1</v>
      </c>
      <c r="B2" s="5" t="n">
        <v>1</v>
      </c>
      <c r="C2" s="5" t="inlineStr">
        <is>
          <t>Problem Solving</t>
        </is>
      </c>
      <c r="D2" s="5" t="inlineStr">
        <is>
          <t>Scored</t>
        </is>
      </c>
      <c r="E2" s="6" t="inlineStr">
        <is>
          <t>Three colleagues — Ishaan, Diya, Priya — are presenting to the client in order. Ishaan is not first. Priya is not in the middle. Diya is not last. Priya is not last. Who is in the middle?</t>
        </is>
      </c>
      <c r="F2" s="6" t="inlineStr">
        <is>
          <t>Cannot be determined</t>
        </is>
      </c>
      <c r="G2" s="6" t="inlineStr">
        <is>
          <t>Priya</t>
        </is>
      </c>
      <c r="H2" s="6" t="inlineStr">
        <is>
          <t>Diya</t>
        </is>
      </c>
      <c r="I2" s="6" t="inlineStr">
        <is>
          <t>Ishaan</t>
        </is>
      </c>
      <c r="J2" s="5" t="n"/>
      <c r="K2" s="5" t="n"/>
      <c r="L2" s="5" t="n"/>
      <c r="M2" s="5" t="n"/>
      <c r="N2" s="5" t="inlineStr">
        <is>
          <t>C</t>
        </is>
      </c>
      <c r="O2" s="5" t="n"/>
      <c r="P2" s="5" t="n"/>
      <c r="Q2" s="5" t="n"/>
      <c r="R2" s="5" t="n"/>
      <c r="S2" s="5" t="n"/>
      <c r="T2" s="5">
        <f>IF(O2="","",IF(O2=N2,1,0))</f>
        <v/>
      </c>
      <c r="U2" s="6" t="n"/>
    </row>
    <row r="3">
      <c r="A3" s="5" t="n">
        <v>1</v>
      </c>
      <c r="B3" s="5" t="n">
        <v>2</v>
      </c>
      <c r="C3" s="5" t="inlineStr">
        <is>
          <t>Critical Thinking</t>
        </is>
      </c>
      <c r="D3" s="5" t="inlineStr">
        <is>
          <t>Scored</t>
        </is>
      </c>
      <c r="E3" s="6" t="inlineStr">
        <is>
          <t>A manager notices teams with more meetings hit more deadlines, and concludes meetings cause the deadlines to be met. What's the actual flaw in this reasoning?</t>
        </is>
      </c>
      <c r="F3" s="6" t="inlineStr">
        <is>
          <t>Deadlines cannot be affected by process</t>
        </is>
      </c>
      <c r="G3" s="6" t="inlineStr">
        <is>
          <t>No team has ever held a meeting</t>
        </is>
      </c>
      <c r="H3" s="6" t="inlineStr">
        <is>
          <t>Meetings are proven to hurt deadlines</t>
        </is>
      </c>
      <c r="I3" s="6" t="inlineStr">
        <is>
          <t>It ignores other factors, like team experience, that could explain both</t>
        </is>
      </c>
      <c r="J3" s="5" t="n"/>
      <c r="K3" s="5" t="n"/>
      <c r="L3" s="5" t="n"/>
      <c r="M3" s="5" t="n"/>
      <c r="N3" s="5" t="inlineStr">
        <is>
          <t>D</t>
        </is>
      </c>
      <c r="O3" s="5" t="n"/>
      <c r="P3" s="5" t="n"/>
      <c r="Q3" s="5" t="n"/>
      <c r="R3" s="5" t="n"/>
      <c r="S3" s="5" t="n"/>
      <c r="T3" s="5">
        <f>IF(O3="","",IF(O3=N3,1,0))</f>
        <v/>
      </c>
      <c r="U3" s="6" t="n"/>
    </row>
    <row r="4">
      <c r="A4" s="5" t="n">
        <v>1</v>
      </c>
      <c r="B4" s="5" t="n">
        <v>3</v>
      </c>
      <c r="C4" s="5" t="inlineStr">
        <is>
          <t>Decision Making</t>
        </is>
      </c>
      <c r="D4" s="5" t="inlineStr">
        <is>
          <t>Scored</t>
        </is>
      </c>
      <c r="E4" s="6" t="inlineStr">
        <is>
          <t>You only have time for ONE of these right now. Which gives the best value for the effort it takes?</t>
        </is>
      </c>
      <c r="F4" s="6" t="inlineStr">
        <is>
          <t>finish the internal report (effort 6, value 6)</t>
        </is>
      </c>
      <c r="G4" s="6" t="inlineStr">
        <is>
          <t>complete the code review (effort 3, value 6)</t>
        </is>
      </c>
      <c r="H4" s="6" t="inlineStr">
        <is>
          <t>They are all equally good choices</t>
        </is>
      </c>
      <c r="I4" s="6" t="inlineStr">
        <is>
          <t>submit the client deliverable (effort 8, value 11)</t>
        </is>
      </c>
      <c r="J4" s="5" t="n"/>
      <c r="K4" s="5" t="n"/>
      <c r="L4" s="5" t="n"/>
      <c r="M4" s="5" t="n"/>
      <c r="N4" s="5" t="inlineStr">
        <is>
          <t>B</t>
        </is>
      </c>
      <c r="O4" s="5" t="n"/>
      <c r="P4" s="5" t="n"/>
      <c r="Q4" s="5" t="n"/>
      <c r="R4" s="5" t="n"/>
      <c r="S4" s="5" t="n"/>
      <c r="T4" s="5">
        <f>IF(O4="","",IF(O4=N4,1,0))</f>
        <v/>
      </c>
      <c r="U4" s="6" t="n"/>
    </row>
    <row r="5">
      <c r="A5" s="5" t="n">
        <v>1</v>
      </c>
      <c r="B5" s="5" t="n">
        <v>4</v>
      </c>
      <c r="C5" s="5" t="inlineStr">
        <is>
          <t>Mental Math</t>
        </is>
      </c>
      <c r="D5" s="5" t="inlineStr">
        <is>
          <t>Scored</t>
        </is>
      </c>
      <c r="E5" s="6" t="inlineStr">
        <is>
          <t>I'm thinking of a number. If you triple it, then double it, then subtract 110, you get 172. What's my number?</t>
        </is>
      </c>
      <c r="F5" s="6" t="inlineStr">
        <is>
          <t>49</t>
        </is>
      </c>
      <c r="G5" s="6" t="inlineStr">
        <is>
          <t>47</t>
        </is>
      </c>
      <c r="H5" s="6" t="inlineStr">
        <is>
          <t>46</t>
        </is>
      </c>
      <c r="I5" s="6" t="inlineStr">
        <is>
          <t>48</t>
        </is>
      </c>
      <c r="J5" s="5" t="n"/>
      <c r="K5" s="5" t="n"/>
      <c r="L5" s="5" t="n"/>
      <c r="M5" s="5" t="n"/>
      <c r="N5" s="5" t="inlineStr">
        <is>
          <t>B</t>
        </is>
      </c>
      <c r="O5" s="5" t="n"/>
      <c r="P5" s="5" t="n"/>
      <c r="Q5" s="5" t="n"/>
      <c r="R5" s="5" t="n"/>
      <c r="S5" s="5" t="n"/>
      <c r="T5" s="5">
        <f>IF(O5="","",IF(O5=N5,1,0))</f>
        <v/>
      </c>
      <c r="U5" s="6" t="n"/>
    </row>
    <row r="6">
      <c r="A6" s="5" t="n">
        <v>1</v>
      </c>
      <c r="B6" s="5" t="n">
        <v>5</v>
      </c>
      <c r="C6" s="5" t="inlineStr">
        <is>
          <t>Cognitive Academia</t>
        </is>
      </c>
      <c r="D6" s="5" t="inlineStr">
        <is>
          <t>Scored</t>
        </is>
      </c>
      <c r="E6" s="6" t="inlineStr">
        <is>
          <t>What comes next in this pattern: 5, 15, 45, 135, ?</t>
        </is>
      </c>
      <c r="F6" s="6" t="inlineStr">
        <is>
          <t>138</t>
        </is>
      </c>
      <c r="G6" s="6" t="inlineStr">
        <is>
          <t>225</t>
        </is>
      </c>
      <c r="H6" s="6" t="inlineStr">
        <is>
          <t>405</t>
        </is>
      </c>
      <c r="I6" s="6" t="inlineStr">
        <is>
          <t>408</t>
        </is>
      </c>
      <c r="J6" s="5" t="n"/>
      <c r="K6" s="5" t="n"/>
      <c r="L6" s="5" t="n"/>
      <c r="M6" s="5" t="n"/>
      <c r="N6" s="5" t="inlineStr">
        <is>
          <t>C</t>
        </is>
      </c>
      <c r="O6" s="5" t="n"/>
      <c r="P6" s="5" t="n"/>
      <c r="Q6" s="5" t="n"/>
      <c r="R6" s="5" t="n"/>
      <c r="S6" s="5" t="n"/>
      <c r="T6" s="5">
        <f>IF(O6="","",IF(O6=N6,1,0))</f>
        <v/>
      </c>
      <c r="U6" s="6" t="n"/>
    </row>
    <row r="7">
      <c r="A7" s="5" t="n">
        <v>1</v>
      </c>
      <c r="B7" s="5" t="n">
        <v>6</v>
      </c>
      <c r="C7" s="5" t="inlineStr">
        <is>
          <t>Leadership / Communication / Emotional &amp; Social</t>
        </is>
      </c>
      <c r="D7" s="5" t="inlineStr">
        <is>
          <t>Self-report (most/least)</t>
        </is>
      </c>
      <c r="E7" s="6" t="inlineStr">
        <is>
          <t>Your teammate has gone quiet for two days right before a critical client deadline.</t>
        </is>
      </c>
      <c r="F7" s="6" t="inlineStr">
        <is>
          <t>None of these feel like you in this moment</t>
        </is>
      </c>
      <c r="G7" s="6" t="inlineStr">
        <is>
          <t>You can sense how a teammate feels without them saying it</t>
        </is>
      </c>
      <c r="H7" s="6" t="inlineStr">
        <is>
          <t>You enjoy being chosen to head an initiative</t>
        </is>
      </c>
      <c r="I7" s="6" t="inlineStr">
        <is>
          <t>You make sure your point comes across persuasively to stakeholders</t>
        </is>
      </c>
      <c r="J7" s="5" t="inlineStr"/>
      <c r="K7" s="5" t="inlineStr">
        <is>
          <t>ES</t>
        </is>
      </c>
      <c r="L7" s="5" t="inlineStr">
        <is>
          <t>LD</t>
        </is>
      </c>
      <c r="M7" s="5" t="inlineStr">
        <is>
          <t>CM</t>
        </is>
      </c>
      <c r="N7" s="5" t="n"/>
      <c r="O7" s="5" t="n"/>
      <c r="P7" s="5" t="n"/>
      <c r="Q7" s="5" t="n"/>
      <c r="R7" s="5">
        <f>IFERROR(INDEX(J7:M7,MATCH(P7,{"A","B","C","D"},0)),"")</f>
        <v/>
      </c>
      <c r="S7" s="5">
        <f>IFERROR(INDEX(J7:M7,MATCH(Q7,{"A","B","C","D"},0)),"")</f>
        <v/>
      </c>
      <c r="T7" s="5" t="n"/>
      <c r="U7" s="6" t="n"/>
    </row>
    <row r="8">
      <c r="A8" s="5" t="n">
        <v>1</v>
      </c>
      <c r="B8" s="5" t="n">
        <v>7</v>
      </c>
      <c r="C8" s="5" t="inlineStr">
        <is>
          <t>Leadership / Communication / Emotional &amp; Social</t>
        </is>
      </c>
      <c r="D8" s="5" t="inlineStr">
        <is>
          <t>Self-report (most/least)</t>
        </is>
      </c>
      <c r="E8" s="6" t="inlineStr">
        <is>
          <t>You're mid-presentation to leadership and realize a key number in your slide is wrong.</t>
        </is>
      </c>
      <c r="F8" s="6" t="inlineStr">
        <is>
          <t>You'd need more time before reacting at all</t>
        </is>
      </c>
      <c r="G8" s="6" t="inlineStr">
        <is>
          <t>You're comfortable meeting new colleagues or clients</t>
        </is>
      </c>
      <c r="H8" s="6" t="inlineStr">
        <is>
          <t>You find the right words to explain something technical to a non-expert</t>
        </is>
      </c>
      <c r="I8" s="6" t="inlineStr">
        <is>
          <t>You like setting clear goals for your team</t>
        </is>
      </c>
      <c r="J8" s="5" t="inlineStr"/>
      <c r="K8" s="5" t="inlineStr">
        <is>
          <t>ES</t>
        </is>
      </c>
      <c r="L8" s="5" t="inlineStr">
        <is>
          <t>CM</t>
        </is>
      </c>
      <c r="M8" s="5" t="inlineStr">
        <is>
          <t>LD</t>
        </is>
      </c>
      <c r="N8" s="5" t="n"/>
      <c r="O8" s="5" t="n"/>
      <c r="P8" s="5" t="n"/>
      <c r="Q8" s="5" t="n"/>
      <c r="R8" s="5">
        <f>IFERROR(INDEX(J8:M8,MATCH(P8,{"A","B","C","D"},0)),"")</f>
        <v/>
      </c>
      <c r="S8" s="5">
        <f>IFERROR(INDEX(J8:M8,MATCH(Q8,{"A","B","C","D"},0)),"")</f>
        <v/>
      </c>
      <c r="T8" s="5" t="n"/>
      <c r="U8" s="6" t="n"/>
    </row>
    <row r="9">
      <c r="A9" s="5" t="n">
        <v>1</v>
      </c>
      <c r="B9" s="5" t="n">
        <v>8</v>
      </c>
      <c r="C9" s="5" t="inlineStr">
        <is>
          <t>Leadership / Communication / Emotional &amp; Social</t>
        </is>
      </c>
      <c r="D9" s="5" t="inlineStr">
        <is>
          <t>Self-report (most/least)</t>
        </is>
      </c>
      <c r="E9" s="6" t="inlineStr">
        <is>
          <t>A new hire is clearly overwhelmed and keeps asking you questions during your busiest week.</t>
        </is>
      </c>
      <c r="F9" s="6" t="inlineStr">
        <is>
          <t>You stay patient even under pressure at work</t>
        </is>
      </c>
      <c r="G9" s="6" t="inlineStr">
        <is>
          <t>You check that your audience understood your point</t>
        </is>
      </c>
      <c r="H9" s="6" t="inlineStr">
        <is>
          <t>You enjoy leading during team projects or launches</t>
        </is>
      </c>
      <c r="I9" s="6" t="inlineStr">
        <is>
          <t>You'd rather wait and see what others do first</t>
        </is>
      </c>
      <c r="J9" s="5" t="inlineStr">
        <is>
          <t>ES</t>
        </is>
      </c>
      <c r="K9" s="5" t="inlineStr">
        <is>
          <t>CM</t>
        </is>
      </c>
      <c r="L9" s="5" t="inlineStr">
        <is>
          <t>LD</t>
        </is>
      </c>
      <c r="M9" s="5" t="inlineStr"/>
      <c r="N9" s="5" t="n"/>
      <c r="O9" s="5" t="n"/>
      <c r="P9" s="5" t="n"/>
      <c r="Q9" s="5" t="n"/>
      <c r="R9" s="5">
        <f>IFERROR(INDEX(J9:M9,MATCH(P9,{"A","B","C","D"},0)),"")</f>
        <v/>
      </c>
      <c r="S9" s="5">
        <f>IFERROR(INDEX(J9:M9,MATCH(Q9,{"A","B","C","D"},0)),"")</f>
        <v/>
      </c>
      <c r="T9" s="5" t="n"/>
      <c r="U9" s="6" t="n"/>
    </row>
    <row r="10">
      <c r="A10" s="5" t="n">
        <v>1</v>
      </c>
      <c r="B10" s="5" t="n">
        <v>9</v>
      </c>
      <c r="C10" s="5" t="inlineStr">
        <is>
          <t>Creative Skills</t>
        </is>
      </c>
      <c r="D10" s="5" t="inlineStr">
        <is>
          <t>Open-ended (not auto-scored)</t>
        </is>
      </c>
      <c r="E10" s="6" t="inlineStr">
        <is>
          <t>Propose one unconventional idea to make your team's weekly meeting more useful. Describe it briefly.</t>
        </is>
      </c>
      <c r="F10" s="6" t="n"/>
      <c r="G10" s="6" t="n"/>
      <c r="H10" s="6" t="n"/>
      <c r="I10" s="6" t="n"/>
      <c r="J10" s="5" t="n"/>
      <c r="K10" s="5" t="n"/>
      <c r="L10" s="5" t="n"/>
      <c r="M10" s="5" t="n"/>
      <c r="N10" s="5" t="n"/>
      <c r="O10" s="5" t="n"/>
      <c r="P10" s="5" t="n"/>
      <c r="Q10" s="5" t="n"/>
      <c r="R10" s="5" t="n"/>
      <c r="S10" s="5" t="n"/>
      <c r="T10" s="5" t="n"/>
      <c r="U10" s="6" t="n"/>
    </row>
    <row r="11">
      <c r="A11" s="5" t="n">
        <v>1</v>
      </c>
      <c r="B11" s="5" t="n">
        <v>10</v>
      </c>
      <c r="C11" s="5" t="inlineStr">
        <is>
          <t>Listening Skills</t>
        </is>
      </c>
      <c r="D11" s="5" t="inlineStr">
        <is>
          <t>Scored</t>
        </is>
      </c>
      <c r="E11" s="6" t="inlineStr">
        <is>
          <t>[Read once, then answer without re-reading] “Before the client call, Noor reviewed the account history, prepared three talking points, and finally tested the video link.”  ||  What happened right after the first thing mentioned?</t>
        </is>
      </c>
      <c r="F11" s="6" t="inlineStr">
        <is>
          <t>tested the video link</t>
        </is>
      </c>
      <c r="G11" s="6" t="inlineStr">
        <is>
          <t>signed the contract</t>
        </is>
      </c>
      <c r="H11" s="6" t="inlineStr">
        <is>
          <t>reviewed the account history</t>
        </is>
      </c>
      <c r="I11" s="6" t="inlineStr">
        <is>
          <t>prepared three talking points</t>
        </is>
      </c>
      <c r="J11" s="5" t="n"/>
      <c r="K11" s="5" t="n"/>
      <c r="L11" s="5" t="n"/>
      <c r="M11" s="5" t="n"/>
      <c r="N11" s="5" t="inlineStr">
        <is>
          <t>D</t>
        </is>
      </c>
      <c r="O11" s="5" t="n"/>
      <c r="P11" s="5" t="n"/>
      <c r="Q11" s="5" t="n"/>
      <c r="R11" s="5" t="n"/>
      <c r="S11" s="5" t="n"/>
      <c r="T11" s="5">
        <f>IF(O11="","",IF(O11=N11,1,0))</f>
        <v/>
      </c>
      <c r="U11" s="6" t="n"/>
    </row>
    <row r="12">
      <c r="A12" s="7" t="n">
        <v>2</v>
      </c>
      <c r="B12" s="7" t="n">
        <v>1</v>
      </c>
      <c r="C12" s="7" t="inlineStr">
        <is>
          <t>Problem Solving</t>
        </is>
      </c>
      <c r="D12" s="7" t="inlineStr">
        <is>
          <t>Scored</t>
        </is>
      </c>
      <c r="E12" s="8" t="inlineStr">
        <is>
          <t>Three colleagues — Priya, Rhea, Wei — are presenting to the client in order. Priya is not first. Rhea is not in the middle. Rhea is not last. Priya is not in the middle. Who is last?</t>
        </is>
      </c>
      <c r="F12" s="8" t="inlineStr">
        <is>
          <t>Wei</t>
        </is>
      </c>
      <c r="G12" s="8" t="inlineStr">
        <is>
          <t>Priya</t>
        </is>
      </c>
      <c r="H12" s="8" t="inlineStr">
        <is>
          <t>Rhea</t>
        </is>
      </c>
      <c r="I12" s="8" t="inlineStr">
        <is>
          <t>Cannot be determined</t>
        </is>
      </c>
      <c r="J12" s="7" t="n"/>
      <c r="K12" s="7" t="n"/>
      <c r="L12" s="7" t="n"/>
      <c r="M12" s="7" t="n"/>
      <c r="N12" s="7" t="inlineStr">
        <is>
          <t>B</t>
        </is>
      </c>
      <c r="O12" s="7" t="n"/>
      <c r="P12" s="7" t="n"/>
      <c r="Q12" s="7" t="n"/>
      <c r="R12" s="7" t="n"/>
      <c r="S12" s="7" t="n"/>
      <c r="T12" s="7">
        <f>IF(O12="","",IF(O12=N12,1,0))</f>
        <v/>
      </c>
      <c r="U12" s="8" t="n"/>
    </row>
    <row r="13">
      <c r="A13" s="7" t="n">
        <v>2</v>
      </c>
      <c r="B13" s="7" t="n">
        <v>2</v>
      </c>
      <c r="C13" s="7" t="inlineStr">
        <is>
          <t>Critical Thinking</t>
        </is>
      </c>
      <c r="D13" s="7" t="inlineStr">
        <is>
          <t>Scored</t>
        </is>
      </c>
      <c r="E13" s="8" t="inlineStr">
        <is>
          <t>After two vendors gave slow responses, an employee says: 'All vendors in this industry are slow.' What's the actual flaw in this reasoning?</t>
        </is>
      </c>
      <c r="F13" s="8" t="inlineStr">
        <is>
          <t>The claim generalizes from too small a sample to the whole industry</t>
        </is>
      </c>
      <c r="G13" s="8" t="inlineStr">
        <is>
          <t>Every vendor has been personally tested</t>
        </is>
      </c>
      <c r="H13" s="8" t="inlineStr">
        <is>
          <t>Vendors cannot respond quickly</t>
        </is>
      </c>
      <c r="I13" s="8" t="inlineStr">
        <is>
          <t>Two data points prove certainty</t>
        </is>
      </c>
      <c r="J13" s="7" t="n"/>
      <c r="K13" s="7" t="n"/>
      <c r="L13" s="7" t="n"/>
      <c r="M13" s="7" t="n"/>
      <c r="N13" s="7" t="inlineStr">
        <is>
          <t>A</t>
        </is>
      </c>
      <c r="O13" s="7" t="n"/>
      <c r="P13" s="7" t="n"/>
      <c r="Q13" s="7" t="n"/>
      <c r="R13" s="7" t="n"/>
      <c r="S13" s="7" t="n"/>
      <c r="T13" s="7">
        <f>IF(O13="","",IF(O13=N13,1,0))</f>
        <v/>
      </c>
      <c r="U13" s="8" t="n"/>
    </row>
    <row r="14">
      <c r="A14" s="7" t="n">
        <v>2</v>
      </c>
      <c r="B14" s="7" t="n">
        <v>3</v>
      </c>
      <c r="C14" s="7" t="inlineStr">
        <is>
          <t>Decision Making</t>
        </is>
      </c>
      <c r="D14" s="7" t="inlineStr">
        <is>
          <t>Scored</t>
        </is>
      </c>
      <c r="E14" s="8" t="inlineStr">
        <is>
          <t>You have 42 minutes. complete the code review takes 20 minutes, prepare the team presentation takes 22 minutes, and finish the internal report takes 30 minutes. You must skip exactly one of them to fit the other two into your 42 minutes. Which should you skip?</t>
        </is>
      </c>
      <c r="F14" s="8" t="inlineStr">
        <is>
          <t>complete the code review</t>
        </is>
      </c>
      <c r="G14" s="8" t="inlineStr">
        <is>
          <t>finish the internal report</t>
        </is>
      </c>
      <c r="H14" s="8" t="inlineStr">
        <is>
          <t>prepare the team presentation</t>
        </is>
      </c>
      <c r="I14" s="8" t="inlineStr">
        <is>
          <t>It's impossible to fit any two</t>
        </is>
      </c>
      <c r="J14" s="7" t="n"/>
      <c r="K14" s="7" t="n"/>
      <c r="L14" s="7" t="n"/>
      <c r="M14" s="7" t="n"/>
      <c r="N14" s="7" t="inlineStr">
        <is>
          <t>B</t>
        </is>
      </c>
      <c r="O14" s="7" t="n"/>
      <c r="P14" s="7" t="n"/>
      <c r="Q14" s="7" t="n"/>
      <c r="R14" s="7" t="n"/>
      <c r="S14" s="7" t="n"/>
      <c r="T14" s="7">
        <f>IF(O14="","",IF(O14=N14,1,0))</f>
        <v/>
      </c>
      <c r="U14" s="8" t="n"/>
    </row>
    <row r="15">
      <c r="A15" s="7" t="n">
        <v>2</v>
      </c>
      <c r="B15" s="7" t="n">
        <v>4</v>
      </c>
      <c r="C15" s="7" t="inlineStr">
        <is>
          <t>Mental Math</t>
        </is>
      </c>
      <c r="D15" s="7" t="inlineStr">
        <is>
          <t>Scored</t>
        </is>
      </c>
      <c r="E15" s="8" t="inlineStr">
        <is>
          <t>After spending 18 and later receiving 28 as a gift, Tara has 66. How much did Tara start with?</t>
        </is>
      </c>
      <c r="F15" s="8" t="inlineStr">
        <is>
          <t>56</t>
        </is>
      </c>
      <c r="G15" s="8" t="inlineStr">
        <is>
          <t>74</t>
        </is>
      </c>
      <c r="H15" s="8" t="inlineStr">
        <is>
          <t>28</t>
        </is>
      </c>
      <c r="I15" s="8" t="inlineStr">
        <is>
          <t>66</t>
        </is>
      </c>
      <c r="J15" s="7" t="n"/>
      <c r="K15" s="7" t="n"/>
      <c r="L15" s="7" t="n"/>
      <c r="M15" s="7" t="n"/>
      <c r="N15" s="7" t="inlineStr">
        <is>
          <t>A</t>
        </is>
      </c>
      <c r="O15" s="7" t="n"/>
      <c r="P15" s="7" t="n"/>
      <c r="Q15" s="7" t="n"/>
      <c r="R15" s="7" t="n"/>
      <c r="S15" s="7" t="n"/>
      <c r="T15" s="7">
        <f>IF(O15="","",IF(O15=N15,1,0))</f>
        <v/>
      </c>
      <c r="U15" s="8" t="n"/>
    </row>
    <row r="16">
      <c r="A16" s="7" t="n">
        <v>2</v>
      </c>
      <c r="B16" s="7" t="n">
        <v>5</v>
      </c>
      <c r="C16" s="7" t="inlineStr">
        <is>
          <t>Cognitive Academia</t>
        </is>
      </c>
      <c r="D16" s="7" t="inlineStr">
        <is>
          <t>Scored</t>
        </is>
      </c>
      <c r="E16" s="8" t="inlineStr">
        <is>
          <t>What comes next in this pattern: 6, 8, 11, 15, 20, ?</t>
        </is>
      </c>
      <c r="F16" s="8" t="inlineStr">
        <is>
          <t>25</t>
        </is>
      </c>
      <c r="G16" s="8" t="inlineStr">
        <is>
          <t>28</t>
        </is>
      </c>
      <c r="H16" s="8" t="inlineStr">
        <is>
          <t>27</t>
        </is>
      </c>
      <c r="I16" s="8" t="inlineStr">
        <is>
          <t>26</t>
        </is>
      </c>
      <c r="J16" s="7" t="n"/>
      <c r="K16" s="7" t="n"/>
      <c r="L16" s="7" t="n"/>
      <c r="M16" s="7" t="n"/>
      <c r="N16" s="7" t="inlineStr">
        <is>
          <t>D</t>
        </is>
      </c>
      <c r="O16" s="7" t="n"/>
      <c r="P16" s="7" t="n"/>
      <c r="Q16" s="7" t="n"/>
      <c r="R16" s="7" t="n"/>
      <c r="S16" s="7" t="n"/>
      <c r="T16" s="7">
        <f>IF(O16="","",IF(O16=N16,1,0))</f>
        <v/>
      </c>
      <c r="U16" s="8" t="n"/>
    </row>
    <row r="17">
      <c r="A17" s="7" t="n">
        <v>2</v>
      </c>
      <c r="B17" s="7" t="n">
        <v>6</v>
      </c>
      <c r="C17" s="7" t="inlineStr">
        <is>
          <t>Leadership / Communication / Emotional &amp; Social</t>
        </is>
      </c>
      <c r="D17" s="7" t="inlineStr">
        <is>
          <t>Self-report (most/least)</t>
        </is>
      </c>
      <c r="E17" s="8" t="inlineStr">
        <is>
          <t>Your project team is split on the final recommendation two hours before the client call.</t>
        </is>
      </c>
      <c r="F17" s="8" t="inlineStr">
        <is>
          <t>You explain your reasoning clearly so colleagues follow it</t>
        </is>
      </c>
      <c r="G17" s="8" t="inlineStr">
        <is>
          <t>You'd need more time before reacting at all</t>
        </is>
      </c>
      <c r="H17" s="8" t="inlineStr">
        <is>
          <t>You naturally take charge when a project lacks direction</t>
        </is>
      </c>
      <c r="I17" s="8" t="inlineStr">
        <is>
          <t>You notice when a colleague is under pressure</t>
        </is>
      </c>
      <c r="J17" s="7" t="inlineStr">
        <is>
          <t>CM</t>
        </is>
      </c>
      <c r="K17" s="7" t="inlineStr"/>
      <c r="L17" s="7" t="inlineStr">
        <is>
          <t>LD</t>
        </is>
      </c>
      <c r="M17" s="7" t="inlineStr">
        <is>
          <t>ES</t>
        </is>
      </c>
      <c r="N17" s="7" t="n"/>
      <c r="O17" s="7" t="n"/>
      <c r="P17" s="7" t="n"/>
      <c r="Q17" s="7" t="n"/>
      <c r="R17" s="7">
        <f>IFERROR(INDEX(J17:M17,MATCH(P17,{"A","B","C","D"},0)),"")</f>
        <v/>
      </c>
      <c r="S17" s="7">
        <f>IFERROR(INDEX(J17:M17,MATCH(Q17,{"A","B","C","D"},0)),"")</f>
        <v/>
      </c>
      <c r="T17" s="7" t="n"/>
      <c r="U17" s="8" t="n"/>
    </row>
    <row r="18">
      <c r="A18" s="7" t="n">
        <v>2</v>
      </c>
      <c r="B18" s="7" t="n">
        <v>7</v>
      </c>
      <c r="C18" s="7" t="inlineStr">
        <is>
          <t>Leadership / Communication / Emotional &amp; Social</t>
        </is>
      </c>
      <c r="D18" s="7" t="inlineStr">
        <is>
          <t>Self-report (most/least)</t>
        </is>
      </c>
      <c r="E18" s="8" t="inlineStr">
        <is>
          <t>You discover an error in the report the night before it's due to your manager.</t>
        </is>
      </c>
      <c r="F18" s="8" t="inlineStr">
        <is>
          <t>You step up to lead when no one else volunteers</t>
        </is>
      </c>
      <c r="G18" s="8" t="inlineStr">
        <is>
          <t>You're good at helping a stressed colleague feel better</t>
        </is>
      </c>
      <c r="H18" s="8" t="inlineStr">
        <is>
          <t>You enjoy writing reports or giving structured presentations</t>
        </is>
      </c>
      <c r="I18" s="8" t="inlineStr">
        <is>
          <t>You'd rather wait and see what others do first</t>
        </is>
      </c>
      <c r="J18" s="7" t="inlineStr">
        <is>
          <t>LD</t>
        </is>
      </c>
      <c r="K18" s="7" t="inlineStr">
        <is>
          <t>ES</t>
        </is>
      </c>
      <c r="L18" s="7" t="inlineStr">
        <is>
          <t>CM</t>
        </is>
      </c>
      <c r="M18" s="7" t="inlineStr"/>
      <c r="N18" s="7" t="n"/>
      <c r="O18" s="7" t="n"/>
      <c r="P18" s="7" t="n"/>
      <c r="Q18" s="7" t="n"/>
      <c r="R18" s="7">
        <f>IFERROR(INDEX(J18:M18,MATCH(P18,{"A","B","C","D"},0)),"")</f>
        <v/>
      </c>
      <c r="S18" s="7">
        <f>IFERROR(INDEX(J18:M18,MATCH(Q18,{"A","B","C","D"},0)),"")</f>
        <v/>
      </c>
      <c r="T18" s="7" t="n"/>
      <c r="U18" s="8" t="n"/>
    </row>
    <row r="19">
      <c r="A19" s="7" t="n">
        <v>2</v>
      </c>
      <c r="B19" s="7" t="n">
        <v>8</v>
      </c>
      <c r="C19" s="7" t="inlineStr">
        <is>
          <t>Leadership / Communication / Emotional &amp; Social</t>
        </is>
      </c>
      <c r="D19" s="7" t="inlineStr">
        <is>
          <t>Self-report (most/least)</t>
        </is>
      </c>
      <c r="E19" s="8" t="inlineStr">
        <is>
          <t>A close colleague just got passed over for a promotion and is visibly upset at their desk.</t>
        </is>
      </c>
      <c r="F19" s="8" t="inlineStr">
        <is>
          <t>You handle workplace disagreements without letting them escalate</t>
        </is>
      </c>
      <c r="G19" s="8" t="inlineStr">
        <is>
          <t>You take ownership when something goes wrong on your team</t>
        </is>
      </c>
      <c r="H19" s="8" t="inlineStr">
        <is>
          <t>You like presenting your ideas confidently in meetings</t>
        </is>
      </c>
      <c r="I19" s="8" t="inlineStr">
        <is>
          <t>You'd step back and observe before choosing any of these</t>
        </is>
      </c>
      <c r="J19" s="7" t="inlineStr">
        <is>
          <t>ES</t>
        </is>
      </c>
      <c r="K19" s="7" t="inlineStr">
        <is>
          <t>LD</t>
        </is>
      </c>
      <c r="L19" s="7" t="inlineStr">
        <is>
          <t>CM</t>
        </is>
      </c>
      <c r="M19" s="7" t="inlineStr"/>
      <c r="N19" s="7" t="n"/>
      <c r="O19" s="7" t="n"/>
      <c r="P19" s="7" t="n"/>
      <c r="Q19" s="7" t="n"/>
      <c r="R19" s="7">
        <f>IFERROR(INDEX(J19:M19,MATCH(P19,{"A","B","C","D"},0)),"")</f>
        <v/>
      </c>
      <c r="S19" s="7">
        <f>IFERROR(INDEX(J19:M19,MATCH(Q19,{"A","B","C","D"},0)),"")</f>
        <v/>
      </c>
      <c r="T19" s="7" t="n"/>
      <c r="U19" s="8" t="n"/>
    </row>
    <row r="20">
      <c r="A20" s="7" t="n">
        <v>2</v>
      </c>
      <c r="B20" s="7" t="n">
        <v>9</v>
      </c>
      <c r="C20" s="7" t="inlineStr">
        <is>
          <t>Creative Skills</t>
        </is>
      </c>
      <c r="D20" s="7" t="inlineStr">
        <is>
          <t>Open-ended (not auto-scored)</t>
        </is>
      </c>
      <c r="E20" s="8" t="inlineStr">
        <is>
          <t>Design an onboarding experience that would make a new hire's first week genuinely great.</t>
        </is>
      </c>
      <c r="F20" s="8" t="n"/>
      <c r="G20" s="8" t="n"/>
      <c r="H20" s="8" t="n"/>
      <c r="I20" s="8" t="n"/>
      <c r="J20" s="7" t="n"/>
      <c r="K20" s="7" t="n"/>
      <c r="L20" s="7" t="n"/>
      <c r="M20" s="7" t="n"/>
      <c r="N20" s="7" t="n"/>
      <c r="O20" s="7" t="n"/>
      <c r="P20" s="7" t="n"/>
      <c r="Q20" s="7" t="n"/>
      <c r="R20" s="7" t="n"/>
      <c r="S20" s="7" t="n"/>
      <c r="T20" s="7" t="n"/>
      <c r="U20" s="8" t="n"/>
    </row>
    <row r="21">
      <c r="A21" s="7" t="n">
        <v>2</v>
      </c>
      <c r="B21" s="7" t="n">
        <v>10</v>
      </c>
      <c r="C21" s="7" t="inlineStr">
        <is>
          <t>Listening Skills</t>
        </is>
      </c>
      <c r="D21" s="7" t="inlineStr">
        <is>
          <t>Scored</t>
        </is>
      </c>
      <c r="E21" s="8" t="inlineStr">
        <is>
          <t>[Read once, then answer without re-reading] “Ahead of the sprint review, the team updated the task board, drafted the demo script, and then rehearsed the walkthrough once.”  ||  What happened first?</t>
        </is>
      </c>
      <c r="F21" s="8" t="inlineStr">
        <is>
          <t>drafted the demo script</t>
        </is>
      </c>
      <c r="G21" s="8" t="inlineStr">
        <is>
          <t>released the product</t>
        </is>
      </c>
      <c r="H21" s="8" t="inlineStr">
        <is>
          <t>rehearsed the walkthrough</t>
        </is>
      </c>
      <c r="I21" s="8" t="inlineStr">
        <is>
          <t>updated the task board</t>
        </is>
      </c>
      <c r="J21" s="7" t="n"/>
      <c r="K21" s="7" t="n"/>
      <c r="L21" s="7" t="n"/>
      <c r="M21" s="7" t="n"/>
      <c r="N21" s="7" t="inlineStr">
        <is>
          <t>D</t>
        </is>
      </c>
      <c r="O21" s="7" t="n"/>
      <c r="P21" s="7" t="n"/>
      <c r="Q21" s="7" t="n"/>
      <c r="R21" s="7" t="n"/>
      <c r="S21" s="7" t="n"/>
      <c r="T21" s="7">
        <f>IF(O21="","",IF(O21=N21,1,0))</f>
        <v/>
      </c>
      <c r="U21" s="8" t="n"/>
    </row>
    <row r="22">
      <c r="A22" s="5" t="n">
        <v>3</v>
      </c>
      <c r="B22" s="5" t="n">
        <v>1</v>
      </c>
      <c r="C22" s="5" t="inlineStr">
        <is>
          <t>Problem Solving</t>
        </is>
      </c>
      <c r="D22" s="5" t="inlineStr">
        <is>
          <t>Scored</t>
        </is>
      </c>
      <c r="E22" s="6" t="inlineStr">
        <is>
          <t>Three colleagues — Ishaan, Zara, Leo — are presenting to the client in order. Zara is not last. Zara is not in the middle. Ishaan is not in the middle. Who is first?</t>
        </is>
      </c>
      <c r="F22" s="6" t="inlineStr">
        <is>
          <t>Zara</t>
        </is>
      </c>
      <c r="G22" s="6" t="inlineStr">
        <is>
          <t>Ishaan</t>
        </is>
      </c>
      <c r="H22" s="6" t="inlineStr">
        <is>
          <t>Leo</t>
        </is>
      </c>
      <c r="I22" s="6" t="inlineStr">
        <is>
          <t>Cannot be determined</t>
        </is>
      </c>
      <c r="J22" s="5" t="n"/>
      <c r="K22" s="5" t="n"/>
      <c r="L22" s="5" t="n"/>
      <c r="M22" s="5" t="n"/>
      <c r="N22" s="5" t="inlineStr">
        <is>
          <t>A</t>
        </is>
      </c>
      <c r="O22" s="5" t="n"/>
      <c r="P22" s="5" t="n"/>
      <c r="Q22" s="5" t="n"/>
      <c r="R22" s="5" t="n"/>
      <c r="S22" s="5" t="n"/>
      <c r="T22" s="5">
        <f>IF(O22="","",IF(O22=N22,1,0))</f>
        <v/>
      </c>
      <c r="U22" s="6" t="n"/>
    </row>
    <row r="23">
      <c r="A23" s="5" t="n">
        <v>3</v>
      </c>
      <c r="B23" s="5" t="n">
        <v>2</v>
      </c>
      <c r="C23" s="5" t="inlineStr">
        <is>
          <t>Critical Thinking</t>
        </is>
      </c>
      <c r="D23" s="5" t="inlineStr">
        <is>
          <t>Scored</t>
        </is>
      </c>
      <c r="E23" s="6" t="inlineStr">
        <is>
          <t>A colleague says: 'Either we automate this entire process now, or the team will fall apart.' What's the actual flaw in this reasoning?</t>
        </is>
      </c>
      <c r="F23" s="6" t="inlineStr">
        <is>
          <t>No process exists to automate</t>
        </is>
      </c>
      <c r="G23" s="6" t="inlineStr">
        <is>
          <t>The team has already dissolved</t>
        </is>
      </c>
      <c r="H23" s="6" t="inlineStr">
        <is>
          <t>It ignores realistic middle-ground options like partial automation</t>
        </is>
      </c>
      <c r="I23" s="6" t="inlineStr">
        <is>
          <t>Automation is already complete</t>
        </is>
      </c>
      <c r="J23" s="5" t="n"/>
      <c r="K23" s="5" t="n"/>
      <c r="L23" s="5" t="n"/>
      <c r="M23" s="5" t="n"/>
      <c r="N23" s="5" t="inlineStr">
        <is>
          <t>C</t>
        </is>
      </c>
      <c r="O23" s="5" t="n"/>
      <c r="P23" s="5" t="n"/>
      <c r="Q23" s="5" t="n"/>
      <c r="R23" s="5" t="n"/>
      <c r="S23" s="5" t="n"/>
      <c r="T23" s="5">
        <f>IF(O23="","",IF(O23=N23,1,0))</f>
        <v/>
      </c>
      <c r="U23" s="6" t="n"/>
    </row>
    <row r="24">
      <c r="A24" s="5" t="n">
        <v>3</v>
      </c>
      <c r="B24" s="5" t="n">
        <v>3</v>
      </c>
      <c r="C24" s="5" t="inlineStr">
        <is>
          <t>Decision Making</t>
        </is>
      </c>
      <c r="D24" s="5" t="inlineStr">
        <is>
          <t>Scored</t>
        </is>
      </c>
      <c r="E24" s="6" t="inlineStr">
        <is>
          <t>You only have time for ONE of these right now. Which gives the best value for the effort it takes?</t>
        </is>
      </c>
      <c r="F24" s="6" t="inlineStr">
        <is>
          <t>submit the client deliverable (effort 3, value 10)</t>
        </is>
      </c>
      <c r="G24" s="6" t="inlineStr">
        <is>
          <t>finish the internal report (effort 5, value 6)</t>
        </is>
      </c>
      <c r="H24" s="6" t="inlineStr">
        <is>
          <t>They are all equally good choices</t>
        </is>
      </c>
      <c r="I24" s="6" t="inlineStr">
        <is>
          <t>complete the code review (effort 2, value 7)</t>
        </is>
      </c>
      <c r="J24" s="5" t="n"/>
      <c r="K24" s="5" t="n"/>
      <c r="L24" s="5" t="n"/>
      <c r="M24" s="5" t="n"/>
      <c r="N24" s="5" t="inlineStr">
        <is>
          <t>D</t>
        </is>
      </c>
      <c r="O24" s="5" t="n"/>
      <c r="P24" s="5" t="n"/>
      <c r="Q24" s="5" t="n"/>
      <c r="R24" s="5" t="n"/>
      <c r="S24" s="5" t="n"/>
      <c r="T24" s="5">
        <f>IF(O24="","",IF(O24=N24,1,0))</f>
        <v/>
      </c>
      <c r="U24" s="6" t="n"/>
    </row>
    <row r="25">
      <c r="A25" s="5" t="n">
        <v>3</v>
      </c>
      <c r="B25" s="5" t="n">
        <v>4</v>
      </c>
      <c r="C25" s="5" t="inlineStr">
        <is>
          <t>Mental Math</t>
        </is>
      </c>
      <c r="D25" s="5" t="inlineStr">
        <is>
          <t>Scored</t>
        </is>
      </c>
      <c r="E25" s="6" t="inlineStr">
        <is>
          <t>A recipe mixes flour and sugar in a 5:2 ratio. If you use 10 units of flour, how much sugar do you need?</t>
        </is>
      </c>
      <c r="F25" s="6" t="inlineStr">
        <is>
          <t>2</t>
        </is>
      </c>
      <c r="G25" s="6" t="inlineStr">
        <is>
          <t>6</t>
        </is>
      </c>
      <c r="H25" s="6" t="inlineStr">
        <is>
          <t>4</t>
        </is>
      </c>
      <c r="I25" s="6" t="inlineStr">
        <is>
          <t>10</t>
        </is>
      </c>
      <c r="J25" s="5" t="n"/>
      <c r="K25" s="5" t="n"/>
      <c r="L25" s="5" t="n"/>
      <c r="M25" s="5" t="n"/>
      <c r="N25" s="5" t="inlineStr">
        <is>
          <t>C</t>
        </is>
      </c>
      <c r="O25" s="5" t="n"/>
      <c r="P25" s="5" t="n"/>
      <c r="Q25" s="5" t="n"/>
      <c r="R25" s="5" t="n"/>
      <c r="S25" s="5" t="n"/>
      <c r="T25" s="5">
        <f>IF(O25="","",IF(O25=N25,1,0))</f>
        <v/>
      </c>
      <c r="U25" s="6" t="n"/>
    </row>
    <row r="26">
      <c r="A26" s="5" t="n">
        <v>3</v>
      </c>
      <c r="B26" s="5" t="n">
        <v>5</v>
      </c>
      <c r="C26" s="5" t="inlineStr">
        <is>
          <t>Cognitive Academia</t>
        </is>
      </c>
      <c r="D26" s="5" t="inlineStr">
        <is>
          <t>Scored</t>
        </is>
      </c>
      <c r="E26" s="6" t="inlineStr">
        <is>
          <t>What comes next in this pattern: 3, 6, 12, 15, 30, ?</t>
        </is>
      </c>
      <c r="F26" s="6" t="inlineStr">
        <is>
          <t>36</t>
        </is>
      </c>
      <c r="G26" s="6" t="inlineStr">
        <is>
          <t>27</t>
        </is>
      </c>
      <c r="H26" s="6" t="inlineStr">
        <is>
          <t>33</t>
        </is>
      </c>
      <c r="I26" s="6" t="inlineStr">
        <is>
          <t>32</t>
        </is>
      </c>
      <c r="J26" s="5" t="n"/>
      <c r="K26" s="5" t="n"/>
      <c r="L26" s="5" t="n"/>
      <c r="M26" s="5" t="n"/>
      <c r="N26" s="5" t="inlineStr">
        <is>
          <t>C</t>
        </is>
      </c>
      <c r="O26" s="5" t="n"/>
      <c r="P26" s="5" t="n"/>
      <c r="Q26" s="5" t="n"/>
      <c r="R26" s="5" t="n"/>
      <c r="S26" s="5" t="n"/>
      <c r="T26" s="5">
        <f>IF(O26="","",IF(O26=N26,1,0))</f>
        <v/>
      </c>
      <c r="U26" s="6" t="n"/>
    </row>
    <row r="27">
      <c r="A27" s="5" t="n">
        <v>3</v>
      </c>
      <c r="B27" s="5" t="n">
        <v>6</v>
      </c>
      <c r="C27" s="5" t="inlineStr">
        <is>
          <t>Leadership / Communication / Emotional &amp; Social</t>
        </is>
      </c>
      <c r="D27" s="5" t="inlineStr">
        <is>
          <t>Self-report (most/least)</t>
        </is>
      </c>
      <c r="E27" s="6" t="inlineStr">
        <is>
          <t>Your proposal just got a tough, pointed question from a stakeholder you don't have a good answer for.</t>
        </is>
      </c>
      <c r="F27" s="6" t="inlineStr">
        <is>
          <t>You'd rather wait and see what others do first</t>
        </is>
      </c>
      <c r="G27" s="6" t="inlineStr">
        <is>
          <t>You enjoy leading during team projects or launches</t>
        </is>
      </c>
      <c r="H27" s="6" t="inlineStr">
        <is>
          <t>You stay patient even under pressure at work</t>
        </is>
      </c>
      <c r="I27" s="6" t="inlineStr">
        <is>
          <t>You check that your audience understood your point</t>
        </is>
      </c>
      <c r="J27" s="5" t="inlineStr"/>
      <c r="K27" s="5" t="inlineStr">
        <is>
          <t>LD</t>
        </is>
      </c>
      <c r="L27" s="5" t="inlineStr">
        <is>
          <t>ES</t>
        </is>
      </c>
      <c r="M27" s="5" t="inlineStr">
        <is>
          <t>CM</t>
        </is>
      </c>
      <c r="N27" s="5" t="n"/>
      <c r="O27" s="5" t="n"/>
      <c r="P27" s="5" t="n"/>
      <c r="Q27" s="5" t="n"/>
      <c r="R27" s="5">
        <f>IFERROR(INDEX(J27:M27,MATCH(P27,{"A","B","C","D"},0)),"")</f>
        <v/>
      </c>
      <c r="S27" s="5">
        <f>IFERROR(INDEX(J27:M27,MATCH(Q27,{"A","B","C","D"},0)),"")</f>
        <v/>
      </c>
      <c r="T27" s="5" t="n"/>
      <c r="U27" s="6" t="n"/>
    </row>
    <row r="28">
      <c r="A28" s="5" t="n">
        <v>3</v>
      </c>
      <c r="B28" s="5" t="n">
        <v>7</v>
      </c>
      <c r="C28" s="5" t="inlineStr">
        <is>
          <t>Leadership / Communication / Emotional &amp; Social</t>
        </is>
      </c>
      <c r="D28" s="5" t="inlineStr">
        <is>
          <t>Self-report (most/least)</t>
        </is>
      </c>
      <c r="E28" s="6" t="inlineStr">
        <is>
          <t>You're the only one on your team who thinks the current project direction is a mistake.</t>
        </is>
      </c>
      <c r="F28" s="6" t="inlineStr">
        <is>
          <t>You'd step back and observe before choosing any of these</t>
        </is>
      </c>
      <c r="G28" s="6" t="inlineStr">
        <is>
          <t>You like guiding your team toward a shared outcome</t>
        </is>
      </c>
      <c r="H28" s="6" t="inlineStr">
        <is>
          <t>You notice subtle changes in a colleague's mood</t>
        </is>
      </c>
      <c r="I28" s="6" t="inlineStr">
        <is>
          <t>You enjoy explaining your reasoning to your manager or peers</t>
        </is>
      </c>
      <c r="J28" s="5" t="inlineStr"/>
      <c r="K28" s="5" t="inlineStr">
        <is>
          <t>LD</t>
        </is>
      </c>
      <c r="L28" s="5" t="inlineStr">
        <is>
          <t>ES</t>
        </is>
      </c>
      <c r="M28" s="5" t="inlineStr">
        <is>
          <t>CM</t>
        </is>
      </c>
      <c r="N28" s="5" t="n"/>
      <c r="O28" s="5" t="n"/>
      <c r="P28" s="5" t="n"/>
      <c r="Q28" s="5" t="n"/>
      <c r="R28" s="5">
        <f>IFERROR(INDEX(J28:M28,MATCH(P28,{"A","B","C","D"},0)),"")</f>
        <v/>
      </c>
      <c r="S28" s="5">
        <f>IFERROR(INDEX(J28:M28,MATCH(Q28,{"A","B","C","D"},0)),"")</f>
        <v/>
      </c>
      <c r="T28" s="5" t="n"/>
      <c r="U28" s="6" t="n"/>
    </row>
    <row r="29">
      <c r="A29" s="5" t="n">
        <v>3</v>
      </c>
      <c r="B29" s="5" t="n">
        <v>8</v>
      </c>
      <c r="C29" s="5" t="inlineStr">
        <is>
          <t>Leadership / Communication / Emotional &amp; Social</t>
        </is>
      </c>
      <c r="D29" s="5" t="inlineStr">
        <is>
          <t>Self-report (most/least)</t>
        </is>
      </c>
      <c r="E29" s="6" t="inlineStr">
        <is>
          <t>A teammate wants to quietly adjust a number to make the weekly report look better than it is.</t>
        </is>
      </c>
      <c r="F29" s="6" t="inlineStr">
        <is>
          <t>You stay calm even during high-stakes deadlines</t>
        </is>
      </c>
      <c r="G29" s="6" t="inlineStr">
        <is>
          <t>You like asking clarifying questions in unfamiliar topics</t>
        </is>
      </c>
      <c r="H29" s="6" t="inlineStr">
        <is>
          <t>None of these feel like you in this moment</t>
        </is>
      </c>
      <c r="I29" s="6" t="inlineStr">
        <is>
          <t>You like organizing a plan of action for your team</t>
        </is>
      </c>
      <c r="J29" s="5" t="inlineStr">
        <is>
          <t>ES</t>
        </is>
      </c>
      <c r="K29" s="5" t="inlineStr">
        <is>
          <t>CM</t>
        </is>
      </c>
      <c r="L29" s="5" t="inlineStr"/>
      <c r="M29" s="5" t="inlineStr">
        <is>
          <t>LD</t>
        </is>
      </c>
      <c r="N29" s="5" t="n"/>
      <c r="O29" s="5" t="n"/>
      <c r="P29" s="5" t="n"/>
      <c r="Q29" s="5" t="n"/>
      <c r="R29" s="5">
        <f>IFERROR(INDEX(J29:M29,MATCH(P29,{"A","B","C","D"},0)),"")</f>
        <v/>
      </c>
      <c r="S29" s="5">
        <f>IFERROR(INDEX(J29:M29,MATCH(Q29,{"A","B","C","D"},0)),"")</f>
        <v/>
      </c>
      <c r="T29" s="5" t="n"/>
      <c r="U29" s="6" t="n"/>
    </row>
    <row r="30">
      <c r="A30" s="5" t="n">
        <v>3</v>
      </c>
      <c r="B30" s="5" t="n">
        <v>9</v>
      </c>
      <c r="C30" s="5" t="inlineStr">
        <is>
          <t>Creative Skills</t>
        </is>
      </c>
      <c r="D30" s="5" t="inlineStr">
        <is>
          <t>Open-ended (not auto-scored)</t>
        </is>
      </c>
      <c r="E30" s="6" t="inlineStr">
        <is>
          <t>Invent a low-cost way to boost morale on a stressed-out team.</t>
        </is>
      </c>
      <c r="F30" s="6" t="n"/>
      <c r="G30" s="6" t="n"/>
      <c r="H30" s="6" t="n"/>
      <c r="I30" s="6" t="n"/>
      <c r="J30" s="5" t="n"/>
      <c r="K30" s="5" t="n"/>
      <c r="L30" s="5" t="n"/>
      <c r="M30" s="5" t="n"/>
      <c r="N30" s="5" t="n"/>
      <c r="O30" s="5" t="n"/>
      <c r="P30" s="5" t="n"/>
      <c r="Q30" s="5" t="n"/>
      <c r="R30" s="5" t="n"/>
      <c r="S30" s="5" t="n"/>
      <c r="T30" s="5" t="n"/>
      <c r="U30" s="6" t="n"/>
    </row>
    <row r="31">
      <c r="A31" s="5" t="n">
        <v>3</v>
      </c>
      <c r="B31" s="5" t="n">
        <v>10</v>
      </c>
      <c r="C31" s="5" t="inlineStr">
        <is>
          <t>Listening Skills</t>
        </is>
      </c>
      <c r="D31" s="5" t="inlineStr">
        <is>
          <t>Scored</t>
        </is>
      </c>
      <c r="E31" s="6" t="inlineStr">
        <is>
          <t>[Read once, then answer without re-reading] “Before the performance review, Ravi listed his key achievements, gathered peer feedback, and finally drafted his self-assessment.”  ||  What happened first?</t>
        </is>
      </c>
      <c r="F31" s="6" t="inlineStr">
        <is>
          <t>listed his key achievements</t>
        </is>
      </c>
      <c r="G31" s="6" t="inlineStr">
        <is>
          <t>gathered peer feedback</t>
        </is>
      </c>
      <c r="H31" s="6" t="inlineStr">
        <is>
          <t>requested a promotion</t>
        </is>
      </c>
      <c r="I31" s="6" t="inlineStr">
        <is>
          <t>drafted his self-assessment</t>
        </is>
      </c>
      <c r="J31" s="5" t="n"/>
      <c r="K31" s="5" t="n"/>
      <c r="L31" s="5" t="n"/>
      <c r="M31" s="5" t="n"/>
      <c r="N31" s="5" t="inlineStr">
        <is>
          <t>A</t>
        </is>
      </c>
      <c r="O31" s="5" t="n"/>
      <c r="P31" s="5" t="n"/>
      <c r="Q31" s="5" t="n"/>
      <c r="R31" s="5" t="n"/>
      <c r="S31" s="5" t="n"/>
      <c r="T31" s="5">
        <f>IF(O31="","",IF(O31=N31,1,0))</f>
        <v/>
      </c>
      <c r="U31" s="6" t="n"/>
    </row>
    <row r="32">
      <c r="A32" s="7" t="n">
        <v>4</v>
      </c>
      <c r="B32" s="7" t="n">
        <v>1</v>
      </c>
      <c r="C32" s="7" t="inlineStr">
        <is>
          <t>Problem Solving</t>
        </is>
      </c>
      <c r="D32" s="7" t="inlineStr">
        <is>
          <t>Scored</t>
        </is>
      </c>
      <c r="E32" s="8" t="inlineStr">
        <is>
          <t>Three colleagues — Kabir, Ben, Maya — are presenting to the client in order. Maya is not last. Kabir is not first. Maya is not in the middle. Ben is not in the middle. Who is last?</t>
        </is>
      </c>
      <c r="F32" s="8" t="inlineStr">
        <is>
          <t>Maya</t>
        </is>
      </c>
      <c r="G32" s="8" t="inlineStr">
        <is>
          <t>Ben</t>
        </is>
      </c>
      <c r="H32" s="8" t="inlineStr">
        <is>
          <t>Cannot be determined</t>
        </is>
      </c>
      <c r="I32" s="8" t="inlineStr">
        <is>
          <t>Kabir</t>
        </is>
      </c>
      <c r="J32" s="7" t="n"/>
      <c r="K32" s="7" t="n"/>
      <c r="L32" s="7" t="n"/>
      <c r="M32" s="7" t="n"/>
      <c r="N32" s="7" t="inlineStr">
        <is>
          <t>B</t>
        </is>
      </c>
      <c r="O32" s="7" t="n"/>
      <c r="P32" s="7" t="n"/>
      <c r="Q32" s="7" t="n"/>
      <c r="R32" s="7" t="n"/>
      <c r="S32" s="7" t="n"/>
      <c r="T32" s="7">
        <f>IF(O32="","",IF(O32=N32,1,0))</f>
        <v/>
      </c>
      <c r="U32" s="8" t="n"/>
    </row>
    <row r="33">
      <c r="A33" s="7" t="n">
        <v>4</v>
      </c>
      <c r="B33" s="7" t="n">
        <v>2</v>
      </c>
      <c r="C33" s="7" t="inlineStr">
        <is>
          <t>Critical Thinking</t>
        </is>
      </c>
      <c r="D33" s="7" t="inlineStr">
        <is>
          <t>Scored</t>
        </is>
      </c>
      <c r="E33" s="8" t="inlineStr">
        <is>
          <t>A teammate says: 'This plan is solid because it's a solid plan.' What's the actual flaw in this reasoning?</t>
        </is>
      </c>
      <c r="F33" s="8" t="inlineStr">
        <is>
          <t>The statement just restates the claim instead of giving a reason</t>
        </is>
      </c>
      <c r="G33" s="8" t="inlineStr">
        <is>
          <t>Solid and reliable are unrelated ideas</t>
        </is>
      </c>
      <c r="H33" s="8" t="inlineStr">
        <is>
          <t>The plan was scrapped</t>
        </is>
      </c>
      <c r="I33" s="8" t="inlineStr">
        <is>
          <t>No plan was proposed</t>
        </is>
      </c>
      <c r="J33" s="7" t="n"/>
      <c r="K33" s="7" t="n"/>
      <c r="L33" s="7" t="n"/>
      <c r="M33" s="7" t="n"/>
      <c r="N33" s="7" t="inlineStr">
        <is>
          <t>A</t>
        </is>
      </c>
      <c r="O33" s="7" t="n"/>
      <c r="P33" s="7" t="n"/>
      <c r="Q33" s="7" t="n"/>
      <c r="R33" s="7" t="n"/>
      <c r="S33" s="7" t="n"/>
      <c r="T33" s="7">
        <f>IF(O33="","",IF(O33=N33,1,0))</f>
        <v/>
      </c>
      <c r="U33" s="8" t="n"/>
    </row>
    <row r="34">
      <c r="A34" s="7" t="n">
        <v>4</v>
      </c>
      <c r="B34" s="7" t="n">
        <v>3</v>
      </c>
      <c r="C34" s="7" t="inlineStr">
        <is>
          <t>Decision Making</t>
        </is>
      </c>
      <c r="D34" s="7" t="inlineStr">
        <is>
          <t>Scored</t>
        </is>
      </c>
      <c r="E34" s="8" t="inlineStr">
        <is>
          <t>You have 29 minutes. submit the client deliverable takes 17 minutes, finish the internal report takes 12 minutes, and prepare the team presentation takes 20 minutes. You must skip exactly one of them to fit the other two into your 29 minutes. Which should you skip?</t>
        </is>
      </c>
      <c r="F34" s="8" t="inlineStr">
        <is>
          <t>prepare the team presentation</t>
        </is>
      </c>
      <c r="G34" s="8" t="inlineStr">
        <is>
          <t>submit the client deliverable</t>
        </is>
      </c>
      <c r="H34" s="8" t="inlineStr">
        <is>
          <t>finish the internal report</t>
        </is>
      </c>
      <c r="I34" s="8" t="inlineStr">
        <is>
          <t>It's impossible to fit any two</t>
        </is>
      </c>
      <c r="J34" s="7" t="n"/>
      <c r="K34" s="7" t="n"/>
      <c r="L34" s="7" t="n"/>
      <c r="M34" s="7" t="n"/>
      <c r="N34" s="7" t="inlineStr">
        <is>
          <t>A</t>
        </is>
      </c>
      <c r="O34" s="7" t="n"/>
      <c r="P34" s="7" t="n"/>
      <c r="Q34" s="7" t="n"/>
      <c r="R34" s="7" t="n"/>
      <c r="S34" s="7" t="n"/>
      <c r="T34" s="7">
        <f>IF(O34="","",IF(O34=N34,1,0))</f>
        <v/>
      </c>
      <c r="U34" s="8" t="n"/>
    </row>
    <row r="35">
      <c r="A35" s="7" t="n">
        <v>4</v>
      </c>
      <c r="B35" s="7" t="n">
        <v>4</v>
      </c>
      <c r="C35" s="7" t="inlineStr">
        <is>
          <t>Mental Math</t>
        </is>
      </c>
      <c r="D35" s="7" t="inlineStr">
        <is>
          <t>Scored</t>
        </is>
      </c>
      <c r="E35" s="8" t="inlineStr">
        <is>
          <t>I'm thinking of a number. If you double it, then add 53, then triple it, you get 285. What's my number?</t>
        </is>
      </c>
      <c r="F35" s="8" t="inlineStr">
        <is>
          <t>21</t>
        </is>
      </c>
      <c r="G35" s="8" t="inlineStr">
        <is>
          <t>22</t>
        </is>
      </c>
      <c r="H35" s="8" t="inlineStr">
        <is>
          <t>20</t>
        </is>
      </c>
      <c r="I35" s="8" t="inlineStr">
        <is>
          <t>23</t>
        </is>
      </c>
      <c r="J35" s="7" t="n"/>
      <c r="K35" s="7" t="n"/>
      <c r="L35" s="7" t="n"/>
      <c r="M35" s="7" t="n"/>
      <c r="N35" s="7" t="inlineStr">
        <is>
          <t>A</t>
        </is>
      </c>
      <c r="O35" s="7" t="n"/>
      <c r="P35" s="7" t="n"/>
      <c r="Q35" s="7" t="n"/>
      <c r="R35" s="7" t="n"/>
      <c r="S35" s="7" t="n"/>
      <c r="T35" s="7">
        <f>IF(O35="","",IF(O35=N35,1,0))</f>
        <v/>
      </c>
      <c r="U35" s="8" t="n"/>
    </row>
    <row r="36">
      <c r="A36" s="7" t="n">
        <v>4</v>
      </c>
      <c r="B36" s="7" t="n">
        <v>5</v>
      </c>
      <c r="C36" s="7" t="inlineStr">
        <is>
          <t>Cognitive Academia</t>
        </is>
      </c>
      <c r="D36" s="7" t="inlineStr">
        <is>
          <t>Scored</t>
        </is>
      </c>
      <c r="E36" s="8" t="inlineStr">
        <is>
          <t>What comes next in this pattern: 2, 6, 11, 17, 24, ?</t>
        </is>
      </c>
      <c r="F36" s="8" t="inlineStr">
        <is>
          <t>32</t>
        </is>
      </c>
      <c r="G36" s="8" t="inlineStr">
        <is>
          <t>34</t>
        </is>
      </c>
      <c r="H36" s="8" t="inlineStr">
        <is>
          <t>31</t>
        </is>
      </c>
      <c r="I36" s="8" t="inlineStr">
        <is>
          <t>33</t>
        </is>
      </c>
      <c r="J36" s="7" t="n"/>
      <c r="K36" s="7" t="n"/>
      <c r="L36" s="7" t="n"/>
      <c r="M36" s="7" t="n"/>
      <c r="N36" s="7" t="inlineStr">
        <is>
          <t>A</t>
        </is>
      </c>
      <c r="O36" s="7" t="n"/>
      <c r="P36" s="7" t="n"/>
      <c r="Q36" s="7" t="n"/>
      <c r="R36" s="7" t="n"/>
      <c r="S36" s="7" t="n"/>
      <c r="T36" s="7">
        <f>IF(O36="","",IF(O36=N36,1,0))</f>
        <v/>
      </c>
      <c r="U36" s="8" t="n"/>
    </row>
    <row r="37">
      <c r="A37" s="7" t="n">
        <v>4</v>
      </c>
      <c r="B37" s="7" t="n">
        <v>6</v>
      </c>
      <c r="C37" s="7" t="inlineStr">
        <is>
          <t>Leadership / Communication / Emotional &amp; Social</t>
        </is>
      </c>
      <c r="D37" s="7" t="inlineStr">
        <is>
          <t>Self-report (most/least)</t>
        </is>
      </c>
      <c r="E37" s="8" t="inlineStr">
        <is>
          <t>You're asked to represent your team in a decision you personally disagree with.</t>
        </is>
      </c>
      <c r="F37" s="8" t="inlineStr">
        <is>
          <t>You take ownership when something goes wrong on your team</t>
        </is>
      </c>
      <c r="G37" s="8" t="inlineStr">
        <is>
          <t>You handle workplace disagreements without letting them escalate</t>
        </is>
      </c>
      <c r="H37" s="8" t="inlineStr">
        <is>
          <t>You'd step back and observe before choosing any of these</t>
        </is>
      </c>
      <c r="I37" s="8" t="inlineStr">
        <is>
          <t>You like presenting your ideas confidently in meetings</t>
        </is>
      </c>
      <c r="J37" s="7" t="inlineStr">
        <is>
          <t>LD</t>
        </is>
      </c>
      <c r="K37" s="7" t="inlineStr">
        <is>
          <t>ES</t>
        </is>
      </c>
      <c r="L37" s="7" t="inlineStr"/>
      <c r="M37" s="7" t="inlineStr">
        <is>
          <t>CM</t>
        </is>
      </c>
      <c r="N37" s="7" t="n"/>
      <c r="O37" s="7" t="n"/>
      <c r="P37" s="7" t="n"/>
      <c r="Q37" s="7" t="n"/>
      <c r="R37" s="7">
        <f>IFERROR(INDEX(J37:M37,MATCH(P37,{"A","B","C","D"},0)),"")</f>
        <v/>
      </c>
      <c r="S37" s="7">
        <f>IFERROR(INDEX(J37:M37,MATCH(Q37,{"A","B","C","D"},0)),"")</f>
        <v/>
      </c>
      <c r="T37" s="7" t="n"/>
      <c r="U37" s="8" t="n"/>
    </row>
    <row r="38">
      <c r="A38" s="7" t="n">
        <v>4</v>
      </c>
      <c r="B38" s="7" t="n">
        <v>7</v>
      </c>
      <c r="C38" s="7" t="inlineStr">
        <is>
          <t>Leadership / Communication / Emotional &amp; Social</t>
        </is>
      </c>
      <c r="D38" s="7" t="inlineStr">
        <is>
          <t>Self-report (most/least)</t>
        </is>
      </c>
      <c r="E38" s="8" t="inlineStr">
        <is>
          <t>Your teammate has gone quiet for two days right before a critical client deadline.</t>
        </is>
      </c>
      <c r="F38" s="8" t="inlineStr">
        <is>
          <t>None of these feel like you in this moment</t>
        </is>
      </c>
      <c r="G38" s="8" t="inlineStr">
        <is>
          <t>You enjoy discussing ideas openly with colleagues</t>
        </is>
      </c>
      <c r="H38" s="8" t="inlineStr">
        <is>
          <t>You think about how a decision might affect the team</t>
        </is>
      </c>
      <c r="I38" s="8" t="inlineStr">
        <is>
          <t>You feel confident making decisions under time pressure</t>
        </is>
      </c>
      <c r="J38" s="7" t="inlineStr"/>
      <c r="K38" s="7" t="inlineStr">
        <is>
          <t>CM</t>
        </is>
      </c>
      <c r="L38" s="7" t="inlineStr">
        <is>
          <t>ES</t>
        </is>
      </c>
      <c r="M38" s="7" t="inlineStr">
        <is>
          <t>LD</t>
        </is>
      </c>
      <c r="N38" s="7" t="n"/>
      <c r="O38" s="7" t="n"/>
      <c r="P38" s="7" t="n"/>
      <c r="Q38" s="7" t="n"/>
      <c r="R38" s="7">
        <f>IFERROR(INDEX(J38:M38,MATCH(P38,{"A","B","C","D"},0)),"")</f>
        <v/>
      </c>
      <c r="S38" s="7">
        <f>IFERROR(INDEX(J38:M38,MATCH(Q38,{"A","B","C","D"},0)),"")</f>
        <v/>
      </c>
      <c r="T38" s="7" t="n"/>
      <c r="U38" s="8" t="n"/>
    </row>
    <row r="39">
      <c r="A39" s="7" t="n">
        <v>4</v>
      </c>
      <c r="B39" s="7" t="n">
        <v>8</v>
      </c>
      <c r="C39" s="7" t="inlineStr">
        <is>
          <t>Leadership / Communication / Emotional &amp; Social</t>
        </is>
      </c>
      <c r="D39" s="7" t="inlineStr">
        <is>
          <t>Self-report (most/least)</t>
        </is>
      </c>
      <c r="E39" s="8" t="inlineStr">
        <is>
          <t>You're mid-presentation to leadership and realize a key number in your slide is wrong.</t>
        </is>
      </c>
      <c r="F39" s="8" t="inlineStr">
        <is>
          <t>You enjoy helping a colleague work through a tough problem</t>
        </is>
      </c>
      <c r="G39" s="8" t="inlineStr">
        <is>
          <t>You naturally end up being the one who decides</t>
        </is>
      </c>
      <c r="H39" s="8" t="inlineStr">
        <is>
          <t>You'd need more time before reacting at all</t>
        </is>
      </c>
      <c r="I39" s="8" t="inlineStr">
        <is>
          <t>You like structuring your thoughts before a meeting</t>
        </is>
      </c>
      <c r="J39" s="7" t="inlineStr">
        <is>
          <t>ES</t>
        </is>
      </c>
      <c r="K39" s="7" t="inlineStr">
        <is>
          <t>LD</t>
        </is>
      </c>
      <c r="L39" s="7" t="inlineStr"/>
      <c r="M39" s="7" t="inlineStr">
        <is>
          <t>CM</t>
        </is>
      </c>
      <c r="N39" s="7" t="n"/>
      <c r="O39" s="7" t="n"/>
      <c r="P39" s="7" t="n"/>
      <c r="Q39" s="7" t="n"/>
      <c r="R39" s="7">
        <f>IFERROR(INDEX(J39:M39,MATCH(P39,{"A","B","C","D"},0)),"")</f>
        <v/>
      </c>
      <c r="S39" s="7">
        <f>IFERROR(INDEX(J39:M39,MATCH(Q39,{"A","B","C","D"},0)),"")</f>
        <v/>
      </c>
      <c r="T39" s="7" t="n"/>
      <c r="U39" s="8" t="n"/>
    </row>
    <row r="40">
      <c r="A40" s="7" t="n">
        <v>4</v>
      </c>
      <c r="B40" s="7" t="n">
        <v>9</v>
      </c>
      <c r="C40" s="7" t="inlineStr">
        <is>
          <t>Creative Skills</t>
        </is>
      </c>
      <c r="D40" s="7" t="inlineStr">
        <is>
          <t>Open-ended (not auto-scored)</t>
        </is>
      </c>
      <c r="E40" s="8" t="inlineStr">
        <is>
          <t>If you could redesign one workplace ritual (standups, reviews, all-hands), what would you change and why?</t>
        </is>
      </c>
      <c r="F40" s="8" t="n"/>
      <c r="G40" s="8" t="n"/>
      <c r="H40" s="8" t="n"/>
      <c r="I40" s="8" t="n"/>
      <c r="J40" s="7" t="n"/>
      <c r="K40" s="7" t="n"/>
      <c r="L40" s="7" t="n"/>
      <c r="M40" s="7" t="n"/>
      <c r="N40" s="7" t="n"/>
      <c r="O40" s="7" t="n"/>
      <c r="P40" s="7" t="n"/>
      <c r="Q40" s="7" t="n"/>
      <c r="R40" s="7" t="n"/>
      <c r="S40" s="7" t="n"/>
      <c r="T40" s="7" t="n"/>
      <c r="U40" s="8" t="n"/>
    </row>
    <row r="41">
      <c r="A41" s="7" t="n">
        <v>4</v>
      </c>
      <c r="B41" s="7" t="n">
        <v>10</v>
      </c>
      <c r="C41" s="7" t="inlineStr">
        <is>
          <t>Listening Skills</t>
        </is>
      </c>
      <c r="D41" s="7" t="inlineStr">
        <is>
          <t>Scored</t>
        </is>
      </c>
      <c r="E41" s="8" t="inlineStr">
        <is>
          <t>[Read once, then answer without re-reading] “At the onboarding session, the new hire signed the paperwork, met the team, and then set up their laptop.”  ||  What happened first?</t>
        </is>
      </c>
      <c r="F41" s="8" t="inlineStr">
        <is>
          <t>set up their laptop</t>
        </is>
      </c>
      <c r="G41" s="8" t="inlineStr">
        <is>
          <t>met the team</t>
        </is>
      </c>
      <c r="H41" s="8" t="inlineStr">
        <is>
          <t>led a client meeting</t>
        </is>
      </c>
      <c r="I41" s="8" t="inlineStr">
        <is>
          <t>signed the paperwork</t>
        </is>
      </c>
      <c r="J41" s="7" t="n"/>
      <c r="K41" s="7" t="n"/>
      <c r="L41" s="7" t="n"/>
      <c r="M41" s="7" t="n"/>
      <c r="N41" s="7" t="inlineStr">
        <is>
          <t>D</t>
        </is>
      </c>
      <c r="O41" s="7" t="n"/>
      <c r="P41" s="7" t="n"/>
      <c r="Q41" s="7" t="n"/>
      <c r="R41" s="7" t="n"/>
      <c r="S41" s="7" t="n"/>
      <c r="T41" s="7">
        <f>IF(O41="","",IF(O41=N41,1,0))</f>
        <v/>
      </c>
      <c r="U41" s="8" t="n"/>
    </row>
    <row r="42">
      <c r="A42" s="5" t="n">
        <v>5</v>
      </c>
      <c r="B42" s="5" t="n">
        <v>1</v>
      </c>
      <c r="C42" s="5" t="inlineStr">
        <is>
          <t>Problem Solving</t>
        </is>
      </c>
      <c r="D42" s="5" t="inlineStr">
        <is>
          <t>Scored</t>
        </is>
      </c>
      <c r="E42" s="6" t="inlineStr">
        <is>
          <t>Three colleagues — Tariq, Ishaan, Rhea — are presenting to the client in order. Rhea is not first. Ishaan is not first. Rhea is not in the middle. Who is first?</t>
        </is>
      </c>
      <c r="F42" s="6" t="inlineStr">
        <is>
          <t>Cannot be determined</t>
        </is>
      </c>
      <c r="G42" s="6" t="inlineStr">
        <is>
          <t>Rhea</t>
        </is>
      </c>
      <c r="H42" s="6" t="inlineStr">
        <is>
          <t>Ishaan</t>
        </is>
      </c>
      <c r="I42" s="6" t="inlineStr">
        <is>
          <t>Tariq</t>
        </is>
      </c>
      <c r="J42" s="5" t="n"/>
      <c r="K42" s="5" t="n"/>
      <c r="L42" s="5" t="n"/>
      <c r="M42" s="5" t="n"/>
      <c r="N42" s="5" t="inlineStr">
        <is>
          <t>D</t>
        </is>
      </c>
      <c r="O42" s="5" t="n"/>
      <c r="P42" s="5" t="n"/>
      <c r="Q42" s="5" t="n"/>
      <c r="R42" s="5" t="n"/>
      <c r="S42" s="5" t="n"/>
      <c r="T42" s="5">
        <f>IF(O42="","",IF(O42=N42,1,0))</f>
        <v/>
      </c>
      <c r="U42" s="6" t="n"/>
    </row>
    <row r="43">
      <c r="A43" s="5" t="n">
        <v>5</v>
      </c>
      <c r="B43" s="5" t="n">
        <v>2</v>
      </c>
      <c r="C43" s="5" t="inlineStr">
        <is>
          <t>Critical Thinking</t>
        </is>
      </c>
      <c r="D43" s="5" t="inlineStr">
        <is>
          <t>Scored</t>
        </is>
      </c>
      <c r="E43" s="6" t="inlineStr">
        <is>
          <t>An employee says: 'Most people on my team think this tool is the best, so it must be.' What's the actual flaw in this reasoning?</t>
        </is>
      </c>
      <c r="F43" s="6" t="inlineStr">
        <is>
          <t>Best can't be evaluated for tools</t>
        </is>
      </c>
      <c r="G43" s="6" t="inlineStr">
        <is>
          <t>No one on the team uses the tool</t>
        </is>
      </c>
      <c r="H43" s="6" t="inlineStr">
        <is>
          <t>The team has only one member</t>
        </is>
      </c>
      <c r="I43" s="6" t="inlineStr">
        <is>
          <t>Popularity on the team isn't the same as evidence the tool is actually best</t>
        </is>
      </c>
      <c r="J43" s="5" t="n"/>
      <c r="K43" s="5" t="n"/>
      <c r="L43" s="5" t="n"/>
      <c r="M43" s="5" t="n"/>
      <c r="N43" s="5" t="inlineStr">
        <is>
          <t>D</t>
        </is>
      </c>
      <c r="O43" s="5" t="n"/>
      <c r="P43" s="5" t="n"/>
      <c r="Q43" s="5" t="n"/>
      <c r="R43" s="5" t="n"/>
      <c r="S43" s="5" t="n"/>
      <c r="T43" s="5">
        <f>IF(O43="","",IF(O43=N43,1,0))</f>
        <v/>
      </c>
      <c r="U43" s="6" t="n"/>
    </row>
    <row r="44">
      <c r="A44" s="5" t="n">
        <v>5</v>
      </c>
      <c r="B44" s="5" t="n">
        <v>3</v>
      </c>
      <c r="C44" s="5" t="inlineStr">
        <is>
          <t>Decision Making</t>
        </is>
      </c>
      <c r="D44" s="5" t="inlineStr">
        <is>
          <t>Scored</t>
        </is>
      </c>
      <c r="E44" s="6" t="inlineStr">
        <is>
          <t>You only have time for ONE of these right now. Which gives the best value for the effort it takes?</t>
        </is>
      </c>
      <c r="F44" s="6" t="inlineStr">
        <is>
          <t>complete the code review (effort 3, value 9)</t>
        </is>
      </c>
      <c r="G44" s="6" t="inlineStr">
        <is>
          <t>They are all equally good choices</t>
        </is>
      </c>
      <c r="H44" s="6" t="inlineStr">
        <is>
          <t>prepare the team presentation (effort 6, value 12)</t>
        </is>
      </c>
      <c r="I44" s="6" t="inlineStr">
        <is>
          <t>finish the internal report (effort 7, value 17)</t>
        </is>
      </c>
      <c r="J44" s="5" t="n"/>
      <c r="K44" s="5" t="n"/>
      <c r="L44" s="5" t="n"/>
      <c r="M44" s="5" t="n"/>
      <c r="N44" s="5" t="inlineStr">
        <is>
          <t>A</t>
        </is>
      </c>
      <c r="O44" s="5" t="n"/>
      <c r="P44" s="5" t="n"/>
      <c r="Q44" s="5" t="n"/>
      <c r="R44" s="5" t="n"/>
      <c r="S44" s="5" t="n"/>
      <c r="T44" s="5">
        <f>IF(O44="","",IF(O44=N44,1,0))</f>
        <v/>
      </c>
      <c r="U44" s="6" t="n"/>
    </row>
    <row r="45">
      <c r="A45" s="5" t="n">
        <v>5</v>
      </c>
      <c r="B45" s="5" t="n">
        <v>4</v>
      </c>
      <c r="C45" s="5" t="inlineStr">
        <is>
          <t>Mental Math</t>
        </is>
      </c>
      <c r="D45" s="5" t="inlineStr">
        <is>
          <t>Scored</t>
        </is>
      </c>
      <c r="E45" s="6" t="inlineStr">
        <is>
          <t>After spending 11 and later receiving 30 as a gift, Zara has 50. How much did Zara start with?</t>
        </is>
      </c>
      <c r="F45" s="6" t="inlineStr">
        <is>
          <t>1</t>
        </is>
      </c>
      <c r="G45" s="6" t="inlineStr">
        <is>
          <t>31</t>
        </is>
      </c>
      <c r="H45" s="6" t="inlineStr">
        <is>
          <t>42</t>
        </is>
      </c>
      <c r="I45" s="6" t="inlineStr">
        <is>
          <t>50</t>
        </is>
      </c>
      <c r="J45" s="5" t="n"/>
      <c r="K45" s="5" t="n"/>
      <c r="L45" s="5" t="n"/>
      <c r="M45" s="5" t="n"/>
      <c r="N45" s="5" t="inlineStr">
        <is>
          <t>B</t>
        </is>
      </c>
      <c r="O45" s="5" t="n"/>
      <c r="P45" s="5" t="n"/>
      <c r="Q45" s="5" t="n"/>
      <c r="R45" s="5" t="n"/>
      <c r="S45" s="5" t="n"/>
      <c r="T45" s="5">
        <f>IF(O45="","",IF(O45=N45,1,0))</f>
        <v/>
      </c>
      <c r="U45" s="6" t="n"/>
    </row>
    <row r="46">
      <c r="A46" s="5" t="n">
        <v>5</v>
      </c>
      <c r="B46" s="5" t="n">
        <v>5</v>
      </c>
      <c r="C46" s="5" t="inlineStr">
        <is>
          <t>Cognitive Academia</t>
        </is>
      </c>
      <c r="D46" s="5" t="inlineStr">
        <is>
          <t>Scored</t>
        </is>
      </c>
      <c r="E46" s="6" t="inlineStr">
        <is>
          <t>What comes next in this pattern: 5, 10, 20, 40, ?</t>
        </is>
      </c>
      <c r="F46" s="6" t="inlineStr">
        <is>
          <t>82</t>
        </is>
      </c>
      <c r="G46" s="6" t="inlineStr">
        <is>
          <t>80</t>
        </is>
      </c>
      <c r="H46" s="6" t="inlineStr">
        <is>
          <t>60</t>
        </is>
      </c>
      <c r="I46" s="6" t="inlineStr">
        <is>
          <t>43</t>
        </is>
      </c>
      <c r="J46" s="5" t="n"/>
      <c r="K46" s="5" t="n"/>
      <c r="L46" s="5" t="n"/>
      <c r="M46" s="5" t="n"/>
      <c r="N46" s="5" t="inlineStr">
        <is>
          <t>B</t>
        </is>
      </c>
      <c r="O46" s="5" t="n"/>
      <c r="P46" s="5" t="n"/>
      <c r="Q46" s="5" t="n"/>
      <c r="R46" s="5" t="n"/>
      <c r="S46" s="5" t="n"/>
      <c r="T46" s="5">
        <f>IF(O46="","",IF(O46=N46,1,0))</f>
        <v/>
      </c>
      <c r="U46" s="6" t="n"/>
    </row>
    <row r="47">
      <c r="A47" s="5" t="n">
        <v>5</v>
      </c>
      <c r="B47" s="5" t="n">
        <v>6</v>
      </c>
      <c r="C47" s="5" t="inlineStr">
        <is>
          <t>Leadership / Communication / Emotional &amp; Social</t>
        </is>
      </c>
      <c r="D47" s="5" t="inlineStr">
        <is>
          <t>Self-report (most/least)</t>
        </is>
      </c>
      <c r="E47" s="6" t="inlineStr">
        <is>
          <t>A new hire is clearly overwhelmed and keeps asking you questions during your busiest week.</t>
        </is>
      </c>
      <c r="F47" s="6" t="inlineStr">
        <is>
          <t>You like organizing a plan of action for your team</t>
        </is>
      </c>
      <c r="G47" s="6" t="inlineStr">
        <is>
          <t>None of these feel like you in this moment</t>
        </is>
      </c>
      <c r="H47" s="6" t="inlineStr">
        <is>
          <t>You stay calm even during high-stakes deadlines</t>
        </is>
      </c>
      <c r="I47" s="6" t="inlineStr">
        <is>
          <t>You like asking clarifying questions in unfamiliar topics</t>
        </is>
      </c>
      <c r="J47" s="5" t="inlineStr">
        <is>
          <t>LD</t>
        </is>
      </c>
      <c r="K47" s="5" t="inlineStr"/>
      <c r="L47" s="5" t="inlineStr">
        <is>
          <t>ES</t>
        </is>
      </c>
      <c r="M47" s="5" t="inlineStr">
        <is>
          <t>CM</t>
        </is>
      </c>
      <c r="N47" s="5" t="n"/>
      <c r="O47" s="5" t="n"/>
      <c r="P47" s="5" t="n"/>
      <c r="Q47" s="5" t="n"/>
      <c r="R47" s="5">
        <f>IFERROR(INDEX(J47:M47,MATCH(P47,{"A","B","C","D"},0)),"")</f>
        <v/>
      </c>
      <c r="S47" s="5">
        <f>IFERROR(INDEX(J47:M47,MATCH(Q47,{"A","B","C","D"},0)),"")</f>
        <v/>
      </c>
      <c r="T47" s="5" t="n"/>
      <c r="U47" s="6" t="n"/>
    </row>
    <row r="48">
      <c r="A48" s="5" t="n">
        <v>5</v>
      </c>
      <c r="B48" s="5" t="n">
        <v>7</v>
      </c>
      <c r="C48" s="5" t="inlineStr">
        <is>
          <t>Leadership / Communication / Emotional &amp; Social</t>
        </is>
      </c>
      <c r="D48" s="5" t="inlineStr">
        <is>
          <t>Self-report (most/least)</t>
        </is>
      </c>
      <c r="E48" s="6" t="inlineStr">
        <is>
          <t>Your project team is split on the final recommendation two hours before the client call.</t>
        </is>
      </c>
      <c r="F48" s="6" t="inlineStr">
        <is>
          <t>You make sure your point comes across persuasively to stakeholders</t>
        </is>
      </c>
      <c r="G48" s="6" t="inlineStr">
        <is>
          <t>You enjoy being chosen to head an initiative</t>
        </is>
      </c>
      <c r="H48" s="6" t="inlineStr">
        <is>
          <t>You can sense how a teammate feels without them saying it</t>
        </is>
      </c>
      <c r="I48" s="6" t="inlineStr">
        <is>
          <t>You'd need more time before reacting at all</t>
        </is>
      </c>
      <c r="J48" s="5" t="inlineStr">
        <is>
          <t>CM</t>
        </is>
      </c>
      <c r="K48" s="5" t="inlineStr">
        <is>
          <t>LD</t>
        </is>
      </c>
      <c r="L48" s="5" t="inlineStr">
        <is>
          <t>ES</t>
        </is>
      </c>
      <c r="M48" s="5" t="inlineStr"/>
      <c r="N48" s="5" t="n"/>
      <c r="O48" s="5" t="n"/>
      <c r="P48" s="5" t="n"/>
      <c r="Q48" s="5" t="n"/>
      <c r="R48" s="5">
        <f>IFERROR(INDEX(J48:M48,MATCH(P48,{"A","B","C","D"},0)),"")</f>
        <v/>
      </c>
      <c r="S48" s="5">
        <f>IFERROR(INDEX(J48:M48,MATCH(Q48,{"A","B","C","D"},0)),"")</f>
        <v/>
      </c>
      <c r="T48" s="5" t="n"/>
      <c r="U48" s="6" t="n"/>
    </row>
    <row r="49">
      <c r="A49" s="5" t="n">
        <v>5</v>
      </c>
      <c r="B49" s="5" t="n">
        <v>8</v>
      </c>
      <c r="C49" s="5" t="inlineStr">
        <is>
          <t>Leadership / Communication / Emotional &amp; Social</t>
        </is>
      </c>
      <c r="D49" s="5" t="inlineStr">
        <is>
          <t>Self-report (most/least)</t>
        </is>
      </c>
      <c r="E49" s="6" t="inlineStr">
        <is>
          <t>You discover an error in the report the night before it's due to your manager.</t>
        </is>
      </c>
      <c r="F49" s="6" t="inlineStr">
        <is>
          <t>You find the right words to explain something technical to a non-expert</t>
        </is>
      </c>
      <c r="G49" s="6" t="inlineStr">
        <is>
          <t>You'd rather wait and see what others do first</t>
        </is>
      </c>
      <c r="H49" s="6" t="inlineStr">
        <is>
          <t>You're comfortable meeting new colleagues or clients</t>
        </is>
      </c>
      <c r="I49" s="6" t="inlineStr">
        <is>
          <t>You like setting clear goals for your team</t>
        </is>
      </c>
      <c r="J49" s="5" t="inlineStr">
        <is>
          <t>CM</t>
        </is>
      </c>
      <c r="K49" s="5" t="inlineStr"/>
      <c r="L49" s="5" t="inlineStr">
        <is>
          <t>ES</t>
        </is>
      </c>
      <c r="M49" s="5" t="inlineStr">
        <is>
          <t>LD</t>
        </is>
      </c>
      <c r="N49" s="5" t="n"/>
      <c r="O49" s="5" t="n"/>
      <c r="P49" s="5" t="n"/>
      <c r="Q49" s="5" t="n"/>
      <c r="R49" s="5">
        <f>IFERROR(INDEX(J49:M49,MATCH(P49,{"A","B","C","D"},0)),"")</f>
        <v/>
      </c>
      <c r="S49" s="5">
        <f>IFERROR(INDEX(J49:M49,MATCH(Q49,{"A","B","C","D"},0)),"")</f>
        <v/>
      </c>
      <c r="T49" s="5" t="n"/>
      <c r="U49" s="6" t="n"/>
    </row>
    <row r="50">
      <c r="A50" s="5" t="n">
        <v>5</v>
      </c>
      <c r="B50" s="5" t="n">
        <v>9</v>
      </c>
      <c r="C50" s="5" t="inlineStr">
        <is>
          <t>Creative Skills</t>
        </is>
      </c>
      <c r="D50" s="5" t="inlineStr">
        <is>
          <t>Open-ended (not auto-scored)</t>
        </is>
      </c>
      <c r="E50" s="6" t="inlineStr">
        <is>
          <t>Pitch an idea for making remote collaboration feel less isolating.</t>
        </is>
      </c>
      <c r="F50" s="6" t="n"/>
      <c r="G50" s="6" t="n"/>
      <c r="H50" s="6" t="n"/>
      <c r="I50" s="6" t="n"/>
      <c r="J50" s="5" t="n"/>
      <c r="K50" s="5" t="n"/>
      <c r="L50" s="5" t="n"/>
      <c r="M50" s="5" t="n"/>
      <c r="N50" s="5" t="n"/>
      <c r="O50" s="5" t="n"/>
      <c r="P50" s="5" t="n"/>
      <c r="Q50" s="5" t="n"/>
      <c r="R50" s="5" t="n"/>
      <c r="S50" s="5" t="n"/>
      <c r="T50" s="5" t="n"/>
      <c r="U50" s="6" t="n"/>
    </row>
    <row r="51">
      <c r="A51" s="5" t="n">
        <v>5</v>
      </c>
      <c r="B51" s="5" t="n">
        <v>10</v>
      </c>
      <c r="C51" s="5" t="inlineStr">
        <is>
          <t>Listening Skills</t>
        </is>
      </c>
      <c r="D51" s="5" t="inlineStr">
        <is>
          <t>Scored</t>
        </is>
      </c>
      <c r="E51" s="6" t="inlineStr">
        <is>
          <t>[Read once, then answer without re-reading] “Before the product launch, the team finalised the copy, tested the checkout flow, and then scheduled the release announcement.”  ||  What happened last?</t>
        </is>
      </c>
      <c r="F51" s="6" t="inlineStr">
        <is>
          <t>finalised the copy</t>
        </is>
      </c>
      <c r="G51" s="6" t="inlineStr">
        <is>
          <t>closed the fiscal year</t>
        </is>
      </c>
      <c r="H51" s="6" t="inlineStr">
        <is>
          <t>scheduled the release announcement</t>
        </is>
      </c>
      <c r="I51" s="6" t="inlineStr">
        <is>
          <t>tested the checkout flow</t>
        </is>
      </c>
      <c r="J51" s="5" t="n"/>
      <c r="K51" s="5" t="n"/>
      <c r="L51" s="5" t="n"/>
      <c r="M51" s="5" t="n"/>
      <c r="N51" s="5" t="inlineStr">
        <is>
          <t>C</t>
        </is>
      </c>
      <c r="O51" s="5" t="n"/>
      <c r="P51" s="5" t="n"/>
      <c r="Q51" s="5" t="n"/>
      <c r="R51" s="5" t="n"/>
      <c r="S51" s="5" t="n"/>
      <c r="T51" s="5">
        <f>IF(O51="","",IF(O51=N51,1,0))</f>
        <v/>
      </c>
      <c r="U51" s="6" t="n"/>
    </row>
    <row r="52">
      <c r="A52" s="7" t="n">
        <v>6</v>
      </c>
      <c r="B52" s="7" t="n">
        <v>1</v>
      </c>
      <c r="C52" s="7" t="inlineStr">
        <is>
          <t>Problem Solving</t>
        </is>
      </c>
      <c r="D52" s="7" t="inlineStr">
        <is>
          <t>Scored</t>
        </is>
      </c>
      <c r="E52" s="8" t="inlineStr">
        <is>
          <t>Three colleagues — Ishaan, Noah, Omar — are presenting to the client in order. Ishaan is not in the middle. Omar is not first. Noah is not in the middle. Noah is not last. Who is in the middle?</t>
        </is>
      </c>
      <c r="F52" s="8" t="inlineStr">
        <is>
          <t>Noah</t>
        </is>
      </c>
      <c r="G52" s="8" t="inlineStr">
        <is>
          <t>Omar</t>
        </is>
      </c>
      <c r="H52" s="8" t="inlineStr">
        <is>
          <t>Ishaan</t>
        </is>
      </c>
      <c r="I52" s="8" t="inlineStr">
        <is>
          <t>Cannot be determined</t>
        </is>
      </c>
      <c r="J52" s="7" t="n"/>
      <c r="K52" s="7" t="n"/>
      <c r="L52" s="7" t="n"/>
      <c r="M52" s="7" t="n"/>
      <c r="N52" s="7" t="inlineStr">
        <is>
          <t>B</t>
        </is>
      </c>
      <c r="O52" s="7" t="n"/>
      <c r="P52" s="7" t="n"/>
      <c r="Q52" s="7" t="n"/>
      <c r="R52" s="7" t="n"/>
      <c r="S52" s="7" t="n"/>
      <c r="T52" s="7">
        <f>IF(O52="","",IF(O52=N52,1,0))</f>
        <v/>
      </c>
      <c r="U52" s="8" t="n"/>
    </row>
    <row r="53">
      <c r="A53" s="7" t="n">
        <v>6</v>
      </c>
      <c r="B53" s="7" t="n">
        <v>2</v>
      </c>
      <c r="C53" s="7" t="inlineStr">
        <is>
          <t>Critical Thinking</t>
        </is>
      </c>
      <c r="D53" s="7" t="inlineStr">
        <is>
          <t>Scored</t>
        </is>
      </c>
      <c r="E53" s="8" t="inlineStr">
        <is>
          <t>A manager warns: 'If we let one person work from home, soon no one will ever come to the office again.' What's the actual flaw in this reasoning?</t>
        </is>
      </c>
      <c r="F53" s="8" t="inlineStr">
        <is>
          <t>One exception guarantees total collapse</t>
        </is>
      </c>
      <c r="G53" s="8" t="inlineStr">
        <is>
          <t>No one currently works from home</t>
        </is>
      </c>
      <c r="H53" s="8" t="inlineStr">
        <is>
          <t>It assumes one exception inevitably snowballs into a total, extreme shift</t>
        </is>
      </c>
      <c r="I53" s="8" t="inlineStr">
        <is>
          <t>Remote work is already banned</t>
        </is>
      </c>
      <c r="J53" s="7" t="n"/>
      <c r="K53" s="7" t="n"/>
      <c r="L53" s="7" t="n"/>
      <c r="M53" s="7" t="n"/>
      <c r="N53" s="7" t="inlineStr">
        <is>
          <t>C</t>
        </is>
      </c>
      <c r="O53" s="7" t="n"/>
      <c r="P53" s="7" t="n"/>
      <c r="Q53" s="7" t="n"/>
      <c r="R53" s="7" t="n"/>
      <c r="S53" s="7" t="n"/>
      <c r="T53" s="7">
        <f>IF(O53="","",IF(O53=N53,1,0))</f>
        <v/>
      </c>
      <c r="U53" s="8" t="n"/>
    </row>
    <row r="54">
      <c r="A54" s="7" t="n">
        <v>6</v>
      </c>
      <c r="B54" s="7" t="n">
        <v>3</v>
      </c>
      <c r="C54" s="7" t="inlineStr">
        <is>
          <t>Decision Making</t>
        </is>
      </c>
      <c r="D54" s="7" t="inlineStr">
        <is>
          <t>Scored</t>
        </is>
      </c>
      <c r="E54" s="8" t="inlineStr">
        <is>
          <t>You have 27 minutes. finish the internal report takes 13 minutes, submit the client deliverable takes 14 minutes, and prepare the team presentation takes 23 minutes. You must skip exactly one of them to fit the other two into your 27 minutes. Which should you skip?</t>
        </is>
      </c>
      <c r="F54" s="8" t="inlineStr">
        <is>
          <t>It's impossible to fit any two</t>
        </is>
      </c>
      <c r="G54" s="8" t="inlineStr">
        <is>
          <t>finish the internal report</t>
        </is>
      </c>
      <c r="H54" s="8" t="inlineStr">
        <is>
          <t>submit the client deliverable</t>
        </is>
      </c>
      <c r="I54" s="8" t="inlineStr">
        <is>
          <t>prepare the team presentation</t>
        </is>
      </c>
      <c r="J54" s="7" t="n"/>
      <c r="K54" s="7" t="n"/>
      <c r="L54" s="7" t="n"/>
      <c r="M54" s="7" t="n"/>
      <c r="N54" s="7" t="inlineStr">
        <is>
          <t>D</t>
        </is>
      </c>
      <c r="O54" s="7" t="n"/>
      <c r="P54" s="7" t="n"/>
      <c r="Q54" s="7" t="n"/>
      <c r="R54" s="7" t="n"/>
      <c r="S54" s="7" t="n"/>
      <c r="T54" s="7">
        <f>IF(O54="","",IF(O54=N54,1,0))</f>
        <v/>
      </c>
      <c r="U54" s="8" t="n"/>
    </row>
    <row r="55">
      <c r="A55" s="7" t="n">
        <v>6</v>
      </c>
      <c r="B55" s="7" t="n">
        <v>4</v>
      </c>
      <c r="C55" s="7" t="inlineStr">
        <is>
          <t>Mental Math</t>
        </is>
      </c>
      <c r="D55" s="7" t="inlineStr">
        <is>
          <t>Scored</t>
        </is>
      </c>
      <c r="E55" s="8" t="inlineStr">
        <is>
          <t>A recipe mixes flour and sugar in a 2:3 ratio. If you use 10 units of flour, how much sugar do you need?</t>
        </is>
      </c>
      <c r="F55" s="8" t="inlineStr">
        <is>
          <t>10</t>
        </is>
      </c>
      <c r="G55" s="8" t="inlineStr">
        <is>
          <t>12</t>
        </is>
      </c>
      <c r="H55" s="8" t="inlineStr">
        <is>
          <t>18</t>
        </is>
      </c>
      <c r="I55" s="8" t="inlineStr">
        <is>
          <t>15</t>
        </is>
      </c>
      <c r="J55" s="7" t="n"/>
      <c r="K55" s="7" t="n"/>
      <c r="L55" s="7" t="n"/>
      <c r="M55" s="7" t="n"/>
      <c r="N55" s="7" t="inlineStr">
        <is>
          <t>D</t>
        </is>
      </c>
      <c r="O55" s="7" t="n"/>
      <c r="P55" s="7" t="n"/>
      <c r="Q55" s="7" t="n"/>
      <c r="R55" s="7" t="n"/>
      <c r="S55" s="7" t="n"/>
      <c r="T55" s="7">
        <f>IF(O55="","",IF(O55=N55,1,0))</f>
        <v/>
      </c>
      <c r="U55" s="8" t="n"/>
    </row>
    <row r="56">
      <c r="A56" s="7" t="n">
        <v>6</v>
      </c>
      <c r="B56" s="7" t="n">
        <v>5</v>
      </c>
      <c r="C56" s="7" t="inlineStr">
        <is>
          <t>Cognitive Academia</t>
        </is>
      </c>
      <c r="D56" s="7" t="inlineStr">
        <is>
          <t>Scored</t>
        </is>
      </c>
      <c r="E56" s="8" t="inlineStr">
        <is>
          <t>What comes next in this pattern: 4, 9, 17, 28, 42, ?</t>
        </is>
      </c>
      <c r="F56" s="8" t="inlineStr">
        <is>
          <t>56</t>
        </is>
      </c>
      <c r="G56" s="8" t="inlineStr">
        <is>
          <t>65</t>
        </is>
      </c>
      <c r="H56" s="8" t="inlineStr">
        <is>
          <t>62</t>
        </is>
      </c>
      <c r="I56" s="8" t="inlineStr">
        <is>
          <t>59</t>
        </is>
      </c>
      <c r="J56" s="7" t="n"/>
      <c r="K56" s="7" t="n"/>
      <c r="L56" s="7" t="n"/>
      <c r="M56" s="7" t="n"/>
      <c r="N56" s="7" t="inlineStr">
        <is>
          <t>D</t>
        </is>
      </c>
      <c r="O56" s="7" t="n"/>
      <c r="P56" s="7" t="n"/>
      <c r="Q56" s="7" t="n"/>
      <c r="R56" s="7" t="n"/>
      <c r="S56" s="7" t="n"/>
      <c r="T56" s="7">
        <f>IF(O56="","",IF(O56=N56,1,0))</f>
        <v/>
      </c>
      <c r="U56" s="8" t="n"/>
    </row>
    <row r="57">
      <c r="A57" s="7" t="n">
        <v>6</v>
      </c>
      <c r="B57" s="7" t="n">
        <v>6</v>
      </c>
      <c r="C57" s="7" t="inlineStr">
        <is>
          <t>Leadership / Communication / Emotional &amp; Social</t>
        </is>
      </c>
      <c r="D57" s="7" t="inlineStr">
        <is>
          <t>Self-report (most/least)</t>
        </is>
      </c>
      <c r="E57" s="8" t="inlineStr">
        <is>
          <t>A close colleague just got passed over for a promotion and is visibly upset at their desk.</t>
        </is>
      </c>
      <c r="F57" s="8" t="inlineStr">
        <is>
          <t>You'd need more time before reacting at all</t>
        </is>
      </c>
      <c r="G57" s="8" t="inlineStr">
        <is>
          <t>You like structuring your thoughts before a meeting</t>
        </is>
      </c>
      <c r="H57" s="8" t="inlineStr">
        <is>
          <t>You enjoy helping a colleague work through a tough problem</t>
        </is>
      </c>
      <c r="I57" s="8" t="inlineStr">
        <is>
          <t>You naturally end up being the one who decides</t>
        </is>
      </c>
      <c r="J57" s="7" t="inlineStr"/>
      <c r="K57" s="7" t="inlineStr">
        <is>
          <t>CM</t>
        </is>
      </c>
      <c r="L57" s="7" t="inlineStr">
        <is>
          <t>ES</t>
        </is>
      </c>
      <c r="M57" s="7" t="inlineStr">
        <is>
          <t>LD</t>
        </is>
      </c>
      <c r="N57" s="7" t="n"/>
      <c r="O57" s="7" t="n"/>
      <c r="P57" s="7" t="n"/>
      <c r="Q57" s="7" t="n"/>
      <c r="R57" s="7">
        <f>IFERROR(INDEX(J57:M57,MATCH(P57,{"A","B","C","D"},0)),"")</f>
        <v/>
      </c>
      <c r="S57" s="7">
        <f>IFERROR(INDEX(J57:M57,MATCH(Q57,{"A","B","C","D"},0)),"")</f>
        <v/>
      </c>
      <c r="T57" s="7" t="n"/>
      <c r="U57" s="8" t="n"/>
    </row>
    <row r="58">
      <c r="A58" s="7" t="n">
        <v>6</v>
      </c>
      <c r="B58" s="7" t="n">
        <v>7</v>
      </c>
      <c r="C58" s="7" t="inlineStr">
        <is>
          <t>Leadership / Communication / Emotional &amp; Social</t>
        </is>
      </c>
      <c r="D58" s="7" t="inlineStr">
        <is>
          <t>Self-report (most/least)</t>
        </is>
      </c>
      <c r="E58" s="8" t="inlineStr">
        <is>
          <t>Your proposal just got a tough, pointed question from a stakeholder you don't have a good answer for.</t>
        </is>
      </c>
      <c r="F58" s="8" t="inlineStr">
        <is>
          <t>You explain your reasoning clearly so colleagues follow it</t>
        </is>
      </c>
      <c r="G58" s="8" t="inlineStr">
        <is>
          <t>You'd rather wait and see what others do first</t>
        </is>
      </c>
      <c r="H58" s="8" t="inlineStr">
        <is>
          <t>You notice when a colleague is under pressure</t>
        </is>
      </c>
      <c r="I58" s="8" t="inlineStr">
        <is>
          <t>You naturally take charge when a project lacks direction</t>
        </is>
      </c>
      <c r="J58" s="7" t="inlineStr">
        <is>
          <t>CM</t>
        </is>
      </c>
      <c r="K58" s="7" t="inlineStr"/>
      <c r="L58" s="7" t="inlineStr">
        <is>
          <t>ES</t>
        </is>
      </c>
      <c r="M58" s="7" t="inlineStr">
        <is>
          <t>LD</t>
        </is>
      </c>
      <c r="N58" s="7" t="n"/>
      <c r="O58" s="7" t="n"/>
      <c r="P58" s="7" t="n"/>
      <c r="Q58" s="7" t="n"/>
      <c r="R58" s="7">
        <f>IFERROR(INDEX(J58:M58,MATCH(P58,{"A","B","C","D"},0)),"")</f>
        <v/>
      </c>
      <c r="S58" s="7">
        <f>IFERROR(INDEX(J58:M58,MATCH(Q58,{"A","B","C","D"},0)),"")</f>
        <v/>
      </c>
      <c r="T58" s="7" t="n"/>
      <c r="U58" s="8" t="n"/>
    </row>
    <row r="59">
      <c r="A59" s="7" t="n">
        <v>6</v>
      </c>
      <c r="B59" s="7" t="n">
        <v>8</v>
      </c>
      <c r="C59" s="7" t="inlineStr">
        <is>
          <t>Leadership / Communication / Emotional &amp; Social</t>
        </is>
      </c>
      <c r="D59" s="7" t="inlineStr">
        <is>
          <t>Self-report (most/least)</t>
        </is>
      </c>
      <c r="E59" s="8" t="inlineStr">
        <is>
          <t>You're the only one on your team who thinks the current project direction is a mistake.</t>
        </is>
      </c>
      <c r="F59" s="8" t="inlineStr">
        <is>
          <t>You enjoy writing reports or giving structured presentations</t>
        </is>
      </c>
      <c r="G59" s="8" t="inlineStr">
        <is>
          <t>You'd step back and observe before choosing any of these</t>
        </is>
      </c>
      <c r="H59" s="8" t="inlineStr">
        <is>
          <t>You're good at helping a stressed colleague feel better</t>
        </is>
      </c>
      <c r="I59" s="8" t="inlineStr">
        <is>
          <t>You step up to lead when no one else volunteers</t>
        </is>
      </c>
      <c r="J59" s="7" t="inlineStr">
        <is>
          <t>CM</t>
        </is>
      </c>
      <c r="K59" s="7" t="inlineStr"/>
      <c r="L59" s="7" t="inlineStr">
        <is>
          <t>ES</t>
        </is>
      </c>
      <c r="M59" s="7" t="inlineStr">
        <is>
          <t>LD</t>
        </is>
      </c>
      <c r="N59" s="7" t="n"/>
      <c r="O59" s="7" t="n"/>
      <c r="P59" s="7" t="n"/>
      <c r="Q59" s="7" t="n"/>
      <c r="R59" s="7">
        <f>IFERROR(INDEX(J59:M59,MATCH(P59,{"A","B","C","D"},0)),"")</f>
        <v/>
      </c>
      <c r="S59" s="7">
        <f>IFERROR(INDEX(J59:M59,MATCH(Q59,{"A","B","C","D"},0)),"")</f>
        <v/>
      </c>
      <c r="T59" s="7" t="n"/>
      <c r="U59" s="8" t="n"/>
    </row>
    <row r="60">
      <c r="A60" s="7" t="n">
        <v>6</v>
      </c>
      <c r="B60" s="7" t="n">
        <v>9</v>
      </c>
      <c r="C60" s="7" t="inlineStr">
        <is>
          <t>Creative Skills</t>
        </is>
      </c>
      <c r="D60" s="7" t="inlineStr">
        <is>
          <t>Open-ended (not auto-scored)</t>
        </is>
      </c>
      <c r="E60" s="8" t="inlineStr">
        <is>
          <t>Design a recognition system for great work that doesn't rely only on year-end bonuses.</t>
        </is>
      </c>
      <c r="F60" s="8" t="n"/>
      <c r="G60" s="8" t="n"/>
      <c r="H60" s="8" t="n"/>
      <c r="I60" s="8" t="n"/>
      <c r="J60" s="7" t="n"/>
      <c r="K60" s="7" t="n"/>
      <c r="L60" s="7" t="n"/>
      <c r="M60" s="7" t="n"/>
      <c r="N60" s="7" t="n"/>
      <c r="O60" s="7" t="n"/>
      <c r="P60" s="7" t="n"/>
      <c r="Q60" s="7" t="n"/>
      <c r="R60" s="7" t="n"/>
      <c r="S60" s="7" t="n"/>
      <c r="T60" s="7" t="n"/>
      <c r="U60" s="8" t="n"/>
    </row>
    <row r="61">
      <c r="A61" s="7" t="n">
        <v>6</v>
      </c>
      <c r="B61" s="7" t="n">
        <v>10</v>
      </c>
      <c r="C61" s="7" t="inlineStr">
        <is>
          <t>Listening Skills</t>
        </is>
      </c>
      <c r="D61" s="7" t="inlineStr">
        <is>
          <t>Scored</t>
        </is>
      </c>
      <c r="E61" s="8" t="inlineStr">
        <is>
          <t>[Read once, then answer without re-reading] “Ahead of the town hall, the organiser confirmed the speaker list, tested the microphones, and finally opened the doors to attendees.”  ||  What happened right after the first thing mentioned?</t>
        </is>
      </c>
      <c r="F61" s="8" t="inlineStr">
        <is>
          <t>opened the doors</t>
        </is>
      </c>
      <c r="G61" s="8" t="inlineStr">
        <is>
          <t>tested the microphones</t>
        </is>
      </c>
      <c r="H61" s="8" t="inlineStr">
        <is>
          <t>confirmed the speaker list</t>
        </is>
      </c>
      <c r="I61" s="8" t="inlineStr">
        <is>
          <t>printed annual reports</t>
        </is>
      </c>
      <c r="J61" s="7" t="n"/>
      <c r="K61" s="7" t="n"/>
      <c r="L61" s="7" t="n"/>
      <c r="M61" s="7" t="n"/>
      <c r="N61" s="7" t="inlineStr">
        <is>
          <t>B</t>
        </is>
      </c>
      <c r="O61" s="7" t="n"/>
      <c r="P61" s="7" t="n"/>
      <c r="Q61" s="7" t="n"/>
      <c r="R61" s="7" t="n"/>
      <c r="S61" s="7" t="n"/>
      <c r="T61" s="7">
        <f>IF(O61="","",IF(O61=N61,1,0))</f>
        <v/>
      </c>
      <c r="U61" s="8" t="n"/>
    </row>
    <row r="62">
      <c r="A62" s="5" t="n">
        <v>7</v>
      </c>
      <c r="B62" s="5" t="n">
        <v>1</v>
      </c>
      <c r="C62" s="5" t="inlineStr">
        <is>
          <t>Problem Solving</t>
        </is>
      </c>
      <c r="D62" s="5" t="inlineStr">
        <is>
          <t>Scored</t>
        </is>
      </c>
      <c r="E62" s="6" t="inlineStr">
        <is>
          <t>Three colleagues — Farah, Leo, Hana — are presenting to the client in order. Hana is not in the middle. Farah is not last. Hana is not first. Farah is not in the middle. Who is in the middle?</t>
        </is>
      </c>
      <c r="F62" s="6" t="inlineStr">
        <is>
          <t>Cannot be determined</t>
        </is>
      </c>
      <c r="G62" s="6" t="inlineStr">
        <is>
          <t>Farah</t>
        </is>
      </c>
      <c r="H62" s="6" t="inlineStr">
        <is>
          <t>Hana</t>
        </is>
      </c>
      <c r="I62" s="6" t="inlineStr">
        <is>
          <t>Leo</t>
        </is>
      </c>
      <c r="J62" s="5" t="n"/>
      <c r="K62" s="5" t="n"/>
      <c r="L62" s="5" t="n"/>
      <c r="M62" s="5" t="n"/>
      <c r="N62" s="5" t="inlineStr">
        <is>
          <t>D</t>
        </is>
      </c>
      <c r="O62" s="5" t="n"/>
      <c r="P62" s="5" t="n"/>
      <c r="Q62" s="5" t="n"/>
      <c r="R62" s="5" t="n"/>
      <c r="S62" s="5" t="n"/>
      <c r="T62" s="5">
        <f>IF(O62="","",IF(O62=N62,1,0))</f>
        <v/>
      </c>
      <c r="U62" s="6" t="n"/>
    </row>
    <row r="63">
      <c r="A63" s="5" t="n">
        <v>7</v>
      </c>
      <c r="B63" s="5" t="n">
        <v>2</v>
      </c>
      <c r="C63" s="5" t="inlineStr">
        <is>
          <t>Critical Thinking</t>
        </is>
      </c>
      <c r="D63" s="5" t="inlineStr">
        <is>
          <t>Scored</t>
        </is>
      </c>
      <c r="E63" s="6" t="inlineStr">
        <is>
          <t>An employee proposes a trial of flexible hours. A colleague replies: 'So you want no work schedule at all?' What's the actual flaw in this reasoning?</t>
        </is>
      </c>
      <c r="F63" s="6" t="inlineStr">
        <is>
          <t>The colleague is exaggerating a moderate proposal into an extreme one</t>
        </is>
      </c>
      <c r="G63" s="6" t="inlineStr">
        <is>
          <t>The colleague supports flexible hours</t>
        </is>
      </c>
      <c r="H63" s="6" t="inlineStr">
        <is>
          <t>The employee wants schedules abolished</t>
        </is>
      </c>
      <c r="I63" s="6" t="inlineStr">
        <is>
          <t>Flexible hours already exist for everyone</t>
        </is>
      </c>
      <c r="J63" s="5" t="n"/>
      <c r="K63" s="5" t="n"/>
      <c r="L63" s="5" t="n"/>
      <c r="M63" s="5" t="n"/>
      <c r="N63" s="5" t="inlineStr">
        <is>
          <t>A</t>
        </is>
      </c>
      <c r="O63" s="5" t="n"/>
      <c r="P63" s="5" t="n"/>
      <c r="Q63" s="5" t="n"/>
      <c r="R63" s="5" t="n"/>
      <c r="S63" s="5" t="n"/>
      <c r="T63" s="5">
        <f>IF(O63="","",IF(O63=N63,1,0))</f>
        <v/>
      </c>
      <c r="U63" s="6" t="n"/>
    </row>
    <row r="64">
      <c r="A64" s="5" t="n">
        <v>7</v>
      </c>
      <c r="B64" s="5" t="n">
        <v>3</v>
      </c>
      <c r="C64" s="5" t="inlineStr">
        <is>
          <t>Decision Making</t>
        </is>
      </c>
      <c r="D64" s="5" t="inlineStr">
        <is>
          <t>Scored</t>
        </is>
      </c>
      <c r="E64" s="6" t="inlineStr">
        <is>
          <t>You only have time for ONE of these right now. Which gives the best value for the effort it takes?</t>
        </is>
      </c>
      <c r="F64" s="6" t="inlineStr">
        <is>
          <t>They are all equally good choices</t>
        </is>
      </c>
      <c r="G64" s="6" t="inlineStr">
        <is>
          <t>finish the internal report (effort 8, value 27)</t>
        </is>
      </c>
      <c r="H64" s="6" t="inlineStr">
        <is>
          <t>prepare the team presentation (effort 2, value 5)</t>
        </is>
      </c>
      <c r="I64" s="6" t="inlineStr">
        <is>
          <t>complete the code review (effort 4, value 6)</t>
        </is>
      </c>
      <c r="J64" s="5" t="n"/>
      <c r="K64" s="5" t="n"/>
      <c r="L64" s="5" t="n"/>
      <c r="M64" s="5" t="n"/>
      <c r="N64" s="5" t="inlineStr">
        <is>
          <t>B</t>
        </is>
      </c>
      <c r="O64" s="5" t="n"/>
      <c r="P64" s="5" t="n"/>
      <c r="Q64" s="5" t="n"/>
      <c r="R64" s="5" t="n"/>
      <c r="S64" s="5" t="n"/>
      <c r="T64" s="5">
        <f>IF(O64="","",IF(O64=N64,1,0))</f>
        <v/>
      </c>
      <c r="U64" s="6" t="n"/>
    </row>
    <row r="65">
      <c r="A65" s="5" t="n">
        <v>7</v>
      </c>
      <c r="B65" s="5" t="n">
        <v>4</v>
      </c>
      <c r="C65" s="5" t="inlineStr">
        <is>
          <t>Mental Math</t>
        </is>
      </c>
      <c r="D65" s="5" t="inlineStr">
        <is>
          <t>Scored</t>
        </is>
      </c>
      <c r="E65" s="6" t="inlineStr">
        <is>
          <t>I'm thinking of a number. If you triple it, then double it, then triple it, you get 792. What's my number?</t>
        </is>
      </c>
      <c r="F65" s="6" t="inlineStr">
        <is>
          <t>43</t>
        </is>
      </c>
      <c r="G65" s="6" t="inlineStr">
        <is>
          <t>46</t>
        </is>
      </c>
      <c r="H65" s="6" t="inlineStr">
        <is>
          <t>44</t>
        </is>
      </c>
      <c r="I65" s="6" t="inlineStr">
        <is>
          <t>45</t>
        </is>
      </c>
      <c r="J65" s="5" t="n"/>
      <c r="K65" s="5" t="n"/>
      <c r="L65" s="5" t="n"/>
      <c r="M65" s="5" t="n"/>
      <c r="N65" s="5" t="inlineStr">
        <is>
          <t>C</t>
        </is>
      </c>
      <c r="O65" s="5" t="n"/>
      <c r="P65" s="5" t="n"/>
      <c r="Q65" s="5" t="n"/>
      <c r="R65" s="5" t="n"/>
      <c r="S65" s="5" t="n"/>
      <c r="T65" s="5">
        <f>IF(O65="","",IF(O65=N65,1,0))</f>
        <v/>
      </c>
      <c r="U65" s="6" t="n"/>
    </row>
    <row r="66">
      <c r="A66" s="5" t="n">
        <v>7</v>
      </c>
      <c r="B66" s="5" t="n">
        <v>5</v>
      </c>
      <c r="C66" s="5" t="inlineStr">
        <is>
          <t>Cognitive Academia</t>
        </is>
      </c>
      <c r="D66" s="5" t="inlineStr">
        <is>
          <t>Scored</t>
        </is>
      </c>
      <c r="E66" s="6" t="inlineStr">
        <is>
          <t>What comes next in this pattern: 2, 4, 8, 10, 20, ?</t>
        </is>
      </c>
      <c r="F66" s="6" t="inlineStr">
        <is>
          <t>18</t>
        </is>
      </c>
      <c r="G66" s="6" t="inlineStr">
        <is>
          <t>25</t>
        </is>
      </c>
      <c r="H66" s="6" t="inlineStr">
        <is>
          <t>30</t>
        </is>
      </c>
      <c r="I66" s="6" t="inlineStr">
        <is>
          <t>22</t>
        </is>
      </c>
      <c r="J66" s="5" t="n"/>
      <c r="K66" s="5" t="n"/>
      <c r="L66" s="5" t="n"/>
      <c r="M66" s="5" t="n"/>
      <c r="N66" s="5" t="inlineStr">
        <is>
          <t>D</t>
        </is>
      </c>
      <c r="O66" s="5" t="n"/>
      <c r="P66" s="5" t="n"/>
      <c r="Q66" s="5" t="n"/>
      <c r="R66" s="5" t="n"/>
      <c r="S66" s="5" t="n"/>
      <c r="T66" s="5">
        <f>IF(O66="","",IF(O66=N66,1,0))</f>
        <v/>
      </c>
      <c r="U66" s="6" t="n"/>
    </row>
    <row r="67">
      <c r="A67" s="5" t="n">
        <v>7</v>
      </c>
      <c r="B67" s="5" t="n">
        <v>6</v>
      </c>
      <c r="C67" s="5" t="inlineStr">
        <is>
          <t>Leadership / Communication / Emotional &amp; Social</t>
        </is>
      </c>
      <c r="D67" s="5" t="inlineStr">
        <is>
          <t>Self-report (most/least)</t>
        </is>
      </c>
      <c r="E67" s="6" t="inlineStr">
        <is>
          <t>A teammate wants to quietly adjust a number to make the weekly report look better than it is.</t>
        </is>
      </c>
      <c r="F67" s="6" t="inlineStr">
        <is>
          <t>You're comfortable meeting new colleagues or clients</t>
        </is>
      </c>
      <c r="G67" s="6" t="inlineStr">
        <is>
          <t>You'd rather wait and see what others do first</t>
        </is>
      </c>
      <c r="H67" s="6" t="inlineStr">
        <is>
          <t>You find the right words to explain something technical to a non-expert</t>
        </is>
      </c>
      <c r="I67" s="6" t="inlineStr">
        <is>
          <t>You like setting clear goals for your team</t>
        </is>
      </c>
      <c r="J67" s="5" t="inlineStr">
        <is>
          <t>ES</t>
        </is>
      </c>
      <c r="K67" s="5" t="inlineStr"/>
      <c r="L67" s="5" t="inlineStr">
        <is>
          <t>CM</t>
        </is>
      </c>
      <c r="M67" s="5" t="inlineStr">
        <is>
          <t>LD</t>
        </is>
      </c>
      <c r="N67" s="5" t="n"/>
      <c r="O67" s="5" t="n"/>
      <c r="P67" s="5" t="n"/>
      <c r="Q67" s="5" t="n"/>
      <c r="R67" s="5">
        <f>IFERROR(INDEX(J67:M67,MATCH(P67,{"A","B","C","D"},0)),"")</f>
        <v/>
      </c>
      <c r="S67" s="5">
        <f>IFERROR(INDEX(J67:M67,MATCH(Q67,{"A","B","C","D"},0)),"")</f>
        <v/>
      </c>
      <c r="T67" s="5" t="n"/>
      <c r="U67" s="6" t="n"/>
    </row>
    <row r="68">
      <c r="A68" s="5" t="n">
        <v>7</v>
      </c>
      <c r="B68" s="5" t="n">
        <v>7</v>
      </c>
      <c r="C68" s="5" t="inlineStr">
        <is>
          <t>Leadership / Communication / Emotional &amp; Social</t>
        </is>
      </c>
      <c r="D68" s="5" t="inlineStr">
        <is>
          <t>Self-report (most/least)</t>
        </is>
      </c>
      <c r="E68" s="6" t="inlineStr">
        <is>
          <t>You're asked to represent your team in a decision you personally disagree with.</t>
        </is>
      </c>
      <c r="F68" s="6" t="inlineStr">
        <is>
          <t>You check that your audience understood your point</t>
        </is>
      </c>
      <c r="G68" s="6" t="inlineStr">
        <is>
          <t>You stay patient even under pressure at work</t>
        </is>
      </c>
      <c r="H68" s="6" t="inlineStr">
        <is>
          <t>You'd step back and observe before choosing any of these</t>
        </is>
      </c>
      <c r="I68" s="6" t="inlineStr">
        <is>
          <t>You enjoy leading during team projects or launches</t>
        </is>
      </c>
      <c r="J68" s="5" t="inlineStr">
        <is>
          <t>CM</t>
        </is>
      </c>
      <c r="K68" s="5" t="inlineStr">
        <is>
          <t>ES</t>
        </is>
      </c>
      <c r="L68" s="5" t="inlineStr"/>
      <c r="M68" s="5" t="inlineStr">
        <is>
          <t>LD</t>
        </is>
      </c>
      <c r="N68" s="5" t="n"/>
      <c r="O68" s="5" t="n"/>
      <c r="P68" s="5" t="n"/>
      <c r="Q68" s="5" t="n"/>
      <c r="R68" s="5">
        <f>IFERROR(INDEX(J68:M68,MATCH(P68,{"A","B","C","D"},0)),"")</f>
        <v/>
      </c>
      <c r="S68" s="5">
        <f>IFERROR(INDEX(J68:M68,MATCH(Q68,{"A","B","C","D"},0)),"")</f>
        <v/>
      </c>
      <c r="T68" s="5" t="n"/>
      <c r="U68" s="6" t="n"/>
    </row>
    <row r="69">
      <c r="A69" s="5" t="n">
        <v>7</v>
      </c>
      <c r="B69" s="5" t="n">
        <v>8</v>
      </c>
      <c r="C69" s="5" t="inlineStr">
        <is>
          <t>Leadership / Communication / Emotional &amp; Social</t>
        </is>
      </c>
      <c r="D69" s="5" t="inlineStr">
        <is>
          <t>Self-report (most/least)</t>
        </is>
      </c>
      <c r="E69" s="6" t="inlineStr">
        <is>
          <t>Your teammate has gone quiet for two days right before a critical client deadline.</t>
        </is>
      </c>
      <c r="F69" s="6" t="inlineStr">
        <is>
          <t>You notice subtle changes in a colleague's mood</t>
        </is>
      </c>
      <c r="G69" s="6" t="inlineStr">
        <is>
          <t>None of these feel like you in this moment</t>
        </is>
      </c>
      <c r="H69" s="6" t="inlineStr">
        <is>
          <t>You enjoy explaining your reasoning to your manager or peers</t>
        </is>
      </c>
      <c r="I69" s="6" t="inlineStr">
        <is>
          <t>You like guiding your team toward a shared outcome</t>
        </is>
      </c>
      <c r="J69" s="5" t="inlineStr">
        <is>
          <t>ES</t>
        </is>
      </c>
      <c r="K69" s="5" t="inlineStr"/>
      <c r="L69" s="5" t="inlineStr">
        <is>
          <t>CM</t>
        </is>
      </c>
      <c r="M69" s="5" t="inlineStr">
        <is>
          <t>LD</t>
        </is>
      </c>
      <c r="N69" s="5" t="n"/>
      <c r="O69" s="5" t="n"/>
      <c r="P69" s="5" t="n"/>
      <c r="Q69" s="5" t="n"/>
      <c r="R69" s="5">
        <f>IFERROR(INDEX(J69:M69,MATCH(P69,{"A","B","C","D"},0)),"")</f>
        <v/>
      </c>
      <c r="S69" s="5">
        <f>IFERROR(INDEX(J69:M69,MATCH(Q69,{"A","B","C","D"},0)),"")</f>
        <v/>
      </c>
      <c r="T69" s="5" t="n"/>
      <c r="U69" s="6" t="n"/>
    </row>
    <row r="70">
      <c r="A70" s="5" t="n">
        <v>7</v>
      </c>
      <c r="B70" s="5" t="n">
        <v>9</v>
      </c>
      <c r="C70" s="5" t="inlineStr">
        <is>
          <t>Creative Skills</t>
        </is>
      </c>
      <c r="D70" s="5" t="inlineStr">
        <is>
          <t>Open-ended (not auto-scored)</t>
        </is>
      </c>
      <c r="E70" s="6" t="inlineStr">
        <is>
          <t>Invent an unconventional way to onboard a new tool or process without a boring training session.</t>
        </is>
      </c>
      <c r="F70" s="6" t="n"/>
      <c r="G70" s="6" t="n"/>
      <c r="H70" s="6" t="n"/>
      <c r="I70" s="6" t="n"/>
      <c r="J70" s="5" t="n"/>
      <c r="K70" s="5" t="n"/>
      <c r="L70" s="5" t="n"/>
      <c r="M70" s="5" t="n"/>
      <c r="N70" s="5" t="n"/>
      <c r="O70" s="5" t="n"/>
      <c r="P70" s="5" t="n"/>
      <c r="Q70" s="5" t="n"/>
      <c r="R70" s="5" t="n"/>
      <c r="S70" s="5" t="n"/>
      <c r="T70" s="5" t="n"/>
      <c r="U70" s="6" t="n"/>
    </row>
    <row r="71">
      <c r="A71" s="5" t="n">
        <v>7</v>
      </c>
      <c r="B71" s="5" t="n">
        <v>10</v>
      </c>
      <c r="C71" s="5" t="inlineStr">
        <is>
          <t>Listening Skills</t>
        </is>
      </c>
      <c r="D71" s="5" t="inlineStr">
        <is>
          <t>Scored</t>
        </is>
      </c>
      <c r="E71" s="6" t="inlineStr">
        <is>
          <t>[Read once, then answer without re-reading] “Before the budget meeting, Iris compiled last quarter's numbers, flagged two risks, and then prepared her recommendation slide.”  ||  What happened right after the first thing mentioned?</t>
        </is>
      </c>
      <c r="F71" s="6" t="inlineStr">
        <is>
          <t>approved next year's budget</t>
        </is>
      </c>
      <c r="G71" s="6" t="inlineStr">
        <is>
          <t>compiled last quarter's numbers</t>
        </is>
      </c>
      <c r="H71" s="6" t="inlineStr">
        <is>
          <t>flagged two risks</t>
        </is>
      </c>
      <c r="I71" s="6" t="inlineStr">
        <is>
          <t>prepared her recommendation slide</t>
        </is>
      </c>
      <c r="J71" s="5" t="n"/>
      <c r="K71" s="5" t="n"/>
      <c r="L71" s="5" t="n"/>
      <c r="M71" s="5" t="n"/>
      <c r="N71" s="5" t="inlineStr">
        <is>
          <t>C</t>
        </is>
      </c>
      <c r="O71" s="5" t="n"/>
      <c r="P71" s="5" t="n"/>
      <c r="Q71" s="5" t="n"/>
      <c r="R71" s="5" t="n"/>
      <c r="S71" s="5" t="n"/>
      <c r="T71" s="5">
        <f>IF(O71="","",IF(O71=N71,1,0))</f>
        <v/>
      </c>
      <c r="U71" s="6" t="n"/>
    </row>
    <row r="72">
      <c r="A72" s="7" t="n">
        <v>8</v>
      </c>
      <c r="B72" s="7" t="n">
        <v>1</v>
      </c>
      <c r="C72" s="7" t="inlineStr">
        <is>
          <t>Problem Solving</t>
        </is>
      </c>
      <c r="D72" s="7" t="inlineStr">
        <is>
          <t>Scored</t>
        </is>
      </c>
      <c r="E72" s="8" t="inlineStr">
        <is>
          <t>Three colleagues — Ben, Leo, Gopal — are presenting to the client in order. Gopal is not first. Ben is not last. Gopal is not last. Who is last?</t>
        </is>
      </c>
      <c r="F72" s="8" t="inlineStr">
        <is>
          <t>Gopal</t>
        </is>
      </c>
      <c r="G72" s="8" t="inlineStr">
        <is>
          <t>Leo</t>
        </is>
      </c>
      <c r="H72" s="8" t="inlineStr">
        <is>
          <t>Cannot be determined</t>
        </is>
      </c>
      <c r="I72" s="8" t="inlineStr">
        <is>
          <t>Ben</t>
        </is>
      </c>
      <c r="J72" s="7" t="n"/>
      <c r="K72" s="7" t="n"/>
      <c r="L72" s="7" t="n"/>
      <c r="M72" s="7" t="n"/>
      <c r="N72" s="7" t="inlineStr">
        <is>
          <t>B</t>
        </is>
      </c>
      <c r="O72" s="7" t="n"/>
      <c r="P72" s="7" t="n"/>
      <c r="Q72" s="7" t="n"/>
      <c r="R72" s="7" t="n"/>
      <c r="S72" s="7" t="n"/>
      <c r="T72" s="7">
        <f>IF(O72="","",IF(O72=N72,1,0))</f>
        <v/>
      </c>
      <c r="U72" s="8" t="n"/>
    </row>
    <row r="73">
      <c r="A73" s="7" t="n">
        <v>8</v>
      </c>
      <c r="B73" s="7" t="n">
        <v>2</v>
      </c>
      <c r="C73" s="7" t="inlineStr">
        <is>
          <t>Critical Thinking</t>
        </is>
      </c>
      <c r="D73" s="7" t="inlineStr">
        <is>
          <t>Scored</t>
        </is>
      </c>
      <c r="E73" s="8" t="inlineStr">
        <is>
          <t>A junior analyst trusts a stock tip because a popular podcaster, who isn't a financial expert, recommended it. What's the actual flaw in this reasoning?</t>
        </is>
      </c>
      <c r="F73" s="8" t="inlineStr">
        <is>
          <t>Stock tips cannot be shared publicly</t>
        </is>
      </c>
      <c r="G73" s="8" t="inlineStr">
        <is>
          <t>The podcaster manages the company</t>
        </is>
      </c>
      <c r="H73" s="8" t="inlineStr">
        <is>
          <t>The podcaster isn't actually qualified to give financial advice</t>
        </is>
      </c>
      <c r="I73" s="8" t="inlineStr">
        <is>
          <t>The podcaster is a licensed financial advisor</t>
        </is>
      </c>
      <c r="J73" s="7" t="n"/>
      <c r="K73" s="7" t="n"/>
      <c r="L73" s="7" t="n"/>
      <c r="M73" s="7" t="n"/>
      <c r="N73" s="7" t="inlineStr">
        <is>
          <t>C</t>
        </is>
      </c>
      <c r="O73" s="7" t="n"/>
      <c r="P73" s="7" t="n"/>
      <c r="Q73" s="7" t="n"/>
      <c r="R73" s="7" t="n"/>
      <c r="S73" s="7" t="n"/>
      <c r="T73" s="7">
        <f>IF(O73="","",IF(O73=N73,1,0))</f>
        <v/>
      </c>
      <c r="U73" s="8" t="n"/>
    </row>
    <row r="74">
      <c r="A74" s="7" t="n">
        <v>8</v>
      </c>
      <c r="B74" s="7" t="n">
        <v>3</v>
      </c>
      <c r="C74" s="7" t="inlineStr">
        <is>
          <t>Decision Making</t>
        </is>
      </c>
      <c r="D74" s="7" t="inlineStr">
        <is>
          <t>Scored</t>
        </is>
      </c>
      <c r="E74" s="8" t="inlineStr">
        <is>
          <t>You have 28 minutes. complete the code review takes 17 minutes, finish the internal report takes 11 minutes, and prepare the team presentation takes 25 minutes. You must skip exactly one of them to fit the other two into your 28 minutes. Which should you skip?</t>
        </is>
      </c>
      <c r="F74" s="8" t="inlineStr">
        <is>
          <t>finish the internal report</t>
        </is>
      </c>
      <c r="G74" s="8" t="inlineStr">
        <is>
          <t>complete the code review</t>
        </is>
      </c>
      <c r="H74" s="8" t="inlineStr">
        <is>
          <t>prepare the team presentation</t>
        </is>
      </c>
      <c r="I74" s="8" t="inlineStr">
        <is>
          <t>It's impossible to fit any two</t>
        </is>
      </c>
      <c r="J74" s="7" t="n"/>
      <c r="K74" s="7" t="n"/>
      <c r="L74" s="7" t="n"/>
      <c r="M74" s="7" t="n"/>
      <c r="N74" s="7" t="inlineStr">
        <is>
          <t>C</t>
        </is>
      </c>
      <c r="O74" s="7" t="n"/>
      <c r="P74" s="7" t="n"/>
      <c r="Q74" s="7" t="n"/>
      <c r="R74" s="7" t="n"/>
      <c r="S74" s="7" t="n"/>
      <c r="T74" s="7">
        <f>IF(O74="","",IF(O74=N74,1,0))</f>
        <v/>
      </c>
      <c r="U74" s="8" t="n"/>
    </row>
    <row r="75">
      <c r="A75" s="7" t="n">
        <v>8</v>
      </c>
      <c r="B75" s="7" t="n">
        <v>4</v>
      </c>
      <c r="C75" s="7" t="inlineStr">
        <is>
          <t>Mental Math</t>
        </is>
      </c>
      <c r="D75" s="7" t="inlineStr">
        <is>
          <t>Scored</t>
        </is>
      </c>
      <c r="E75" s="8" t="inlineStr">
        <is>
          <t>After spending 59 and later receiving 9 as a gift, Kabir has 39. How much did Kabir start with?</t>
        </is>
      </c>
      <c r="F75" s="8" t="inlineStr">
        <is>
          <t>89</t>
        </is>
      </c>
      <c r="G75" s="8" t="inlineStr">
        <is>
          <t>39</t>
        </is>
      </c>
      <c r="H75" s="8" t="inlineStr">
        <is>
          <t>80</t>
        </is>
      </c>
      <c r="I75" s="8" t="inlineStr">
        <is>
          <t>148</t>
        </is>
      </c>
      <c r="J75" s="7" t="n"/>
      <c r="K75" s="7" t="n"/>
      <c r="L75" s="7" t="n"/>
      <c r="M75" s="7" t="n"/>
      <c r="N75" s="7" t="inlineStr">
        <is>
          <t>A</t>
        </is>
      </c>
      <c r="O75" s="7" t="n"/>
      <c r="P75" s="7" t="n"/>
      <c r="Q75" s="7" t="n"/>
      <c r="R75" s="7" t="n"/>
      <c r="S75" s="7" t="n"/>
      <c r="T75" s="7">
        <f>IF(O75="","",IF(O75=N75,1,0))</f>
        <v/>
      </c>
      <c r="U75" s="8" t="n"/>
    </row>
    <row r="76">
      <c r="A76" s="7" t="n">
        <v>8</v>
      </c>
      <c r="B76" s="7" t="n">
        <v>5</v>
      </c>
      <c r="C76" s="7" t="inlineStr">
        <is>
          <t>Cognitive Academia</t>
        </is>
      </c>
      <c r="D76" s="7" t="inlineStr">
        <is>
          <t>Scored</t>
        </is>
      </c>
      <c r="E76" s="8" t="inlineStr">
        <is>
          <t>What comes next in this pattern: 3, 5, 8, 13, 21, ?</t>
        </is>
      </c>
      <c r="F76" s="8" t="inlineStr">
        <is>
          <t>42</t>
        </is>
      </c>
      <c r="G76" s="8" t="inlineStr">
        <is>
          <t>32</t>
        </is>
      </c>
      <c r="H76" s="8" t="inlineStr">
        <is>
          <t>34</t>
        </is>
      </c>
      <c r="I76" s="8" t="inlineStr">
        <is>
          <t>38</t>
        </is>
      </c>
      <c r="J76" s="7" t="n"/>
      <c r="K76" s="7" t="n"/>
      <c r="L76" s="7" t="n"/>
      <c r="M76" s="7" t="n"/>
      <c r="N76" s="7" t="inlineStr">
        <is>
          <t>C</t>
        </is>
      </c>
      <c r="O76" s="7" t="n"/>
      <c r="P76" s="7" t="n"/>
      <c r="Q76" s="7" t="n"/>
      <c r="R76" s="7" t="n"/>
      <c r="S76" s="7" t="n"/>
      <c r="T76" s="7">
        <f>IF(O76="","",IF(O76=N76,1,0))</f>
        <v/>
      </c>
      <c r="U76" s="8" t="n"/>
    </row>
    <row r="77">
      <c r="A77" s="7" t="n">
        <v>8</v>
      </c>
      <c r="B77" s="7" t="n">
        <v>6</v>
      </c>
      <c r="C77" s="7" t="inlineStr">
        <is>
          <t>Leadership / Communication / Emotional &amp; Social</t>
        </is>
      </c>
      <c r="D77" s="7" t="inlineStr">
        <is>
          <t>Self-report (most/least)</t>
        </is>
      </c>
      <c r="E77" s="8" t="inlineStr">
        <is>
          <t>You're mid-presentation to leadership and realize a key number in your slide is wrong.</t>
        </is>
      </c>
      <c r="F77" s="8" t="inlineStr">
        <is>
          <t>You're good at helping a stressed colleague feel better</t>
        </is>
      </c>
      <c r="G77" s="8" t="inlineStr">
        <is>
          <t>You'd step back and observe before choosing any of these</t>
        </is>
      </c>
      <c r="H77" s="8" t="inlineStr">
        <is>
          <t>You enjoy writing reports or giving structured presentations</t>
        </is>
      </c>
      <c r="I77" s="8" t="inlineStr">
        <is>
          <t>You step up to lead when no one else volunteers</t>
        </is>
      </c>
      <c r="J77" s="7" t="inlineStr">
        <is>
          <t>ES</t>
        </is>
      </c>
      <c r="K77" s="7" t="inlineStr"/>
      <c r="L77" s="7" t="inlineStr">
        <is>
          <t>CM</t>
        </is>
      </c>
      <c r="M77" s="7" t="inlineStr">
        <is>
          <t>LD</t>
        </is>
      </c>
      <c r="N77" s="7" t="n"/>
      <c r="O77" s="7" t="n"/>
      <c r="P77" s="7" t="n"/>
      <c r="Q77" s="7" t="n"/>
      <c r="R77" s="7">
        <f>IFERROR(INDEX(J77:M77,MATCH(P77,{"A","B","C","D"},0)),"")</f>
        <v/>
      </c>
      <c r="S77" s="7">
        <f>IFERROR(INDEX(J77:M77,MATCH(Q77,{"A","B","C","D"},0)),"")</f>
        <v/>
      </c>
      <c r="T77" s="7" t="n"/>
      <c r="U77" s="8" t="n"/>
    </row>
    <row r="78">
      <c r="A78" s="7" t="n">
        <v>8</v>
      </c>
      <c r="B78" s="7" t="n">
        <v>7</v>
      </c>
      <c r="C78" s="7" t="inlineStr">
        <is>
          <t>Leadership / Communication / Emotional &amp; Social</t>
        </is>
      </c>
      <c r="D78" s="7" t="inlineStr">
        <is>
          <t>Self-report (most/least)</t>
        </is>
      </c>
      <c r="E78" s="8" t="inlineStr">
        <is>
          <t>A new hire is clearly overwhelmed and keeps asking you questions during your busiest week.</t>
        </is>
      </c>
      <c r="F78" s="8" t="inlineStr">
        <is>
          <t>You like presenting your ideas confidently in meetings</t>
        </is>
      </c>
      <c r="G78" s="8" t="inlineStr">
        <is>
          <t>You handle workplace disagreements without letting them escalate</t>
        </is>
      </c>
      <c r="H78" s="8" t="inlineStr">
        <is>
          <t>You take ownership when something goes wrong on your team</t>
        </is>
      </c>
      <c r="I78" s="8" t="inlineStr">
        <is>
          <t>None of these feel like you in this moment</t>
        </is>
      </c>
      <c r="J78" s="7" t="inlineStr">
        <is>
          <t>CM</t>
        </is>
      </c>
      <c r="K78" s="7" t="inlineStr">
        <is>
          <t>ES</t>
        </is>
      </c>
      <c r="L78" s="7" t="inlineStr">
        <is>
          <t>LD</t>
        </is>
      </c>
      <c r="M78" s="7" t="inlineStr"/>
      <c r="N78" s="7" t="n"/>
      <c r="O78" s="7" t="n"/>
      <c r="P78" s="7" t="n"/>
      <c r="Q78" s="7" t="n"/>
      <c r="R78" s="7">
        <f>IFERROR(INDEX(J78:M78,MATCH(P78,{"A","B","C","D"},0)),"")</f>
        <v/>
      </c>
      <c r="S78" s="7">
        <f>IFERROR(INDEX(J78:M78,MATCH(Q78,{"A","B","C","D"},0)),"")</f>
        <v/>
      </c>
      <c r="T78" s="7" t="n"/>
      <c r="U78" s="8" t="n"/>
    </row>
    <row r="79">
      <c r="A79" s="7" t="n">
        <v>8</v>
      </c>
      <c r="B79" s="7" t="n">
        <v>8</v>
      </c>
      <c r="C79" s="7" t="inlineStr">
        <is>
          <t>Leadership / Communication / Emotional &amp; Social</t>
        </is>
      </c>
      <c r="D79" s="7" t="inlineStr">
        <is>
          <t>Self-report (most/least)</t>
        </is>
      </c>
      <c r="E79" s="8" t="inlineStr">
        <is>
          <t>Your project team is split on the final recommendation two hours before the client call.</t>
        </is>
      </c>
      <c r="F79" s="8" t="inlineStr">
        <is>
          <t>You feel confident making decisions under time pressure</t>
        </is>
      </c>
      <c r="G79" s="8" t="inlineStr">
        <is>
          <t>You think about how a decision might affect the team</t>
        </is>
      </c>
      <c r="H79" s="8" t="inlineStr">
        <is>
          <t>You'd need more time before reacting at all</t>
        </is>
      </c>
      <c r="I79" s="8" t="inlineStr">
        <is>
          <t>You enjoy discussing ideas openly with colleagues</t>
        </is>
      </c>
      <c r="J79" s="7" t="inlineStr">
        <is>
          <t>LD</t>
        </is>
      </c>
      <c r="K79" s="7" t="inlineStr">
        <is>
          <t>ES</t>
        </is>
      </c>
      <c r="L79" s="7" t="inlineStr"/>
      <c r="M79" s="7" t="inlineStr">
        <is>
          <t>CM</t>
        </is>
      </c>
      <c r="N79" s="7" t="n"/>
      <c r="O79" s="7" t="n"/>
      <c r="P79" s="7" t="n"/>
      <c r="Q79" s="7" t="n"/>
      <c r="R79" s="7">
        <f>IFERROR(INDEX(J79:M79,MATCH(P79,{"A","B","C","D"},0)),"")</f>
        <v/>
      </c>
      <c r="S79" s="7">
        <f>IFERROR(INDEX(J79:M79,MATCH(Q79,{"A","B","C","D"},0)),"")</f>
        <v/>
      </c>
      <c r="T79" s="7" t="n"/>
      <c r="U79" s="8" t="n"/>
    </row>
    <row r="80">
      <c r="A80" s="7" t="n">
        <v>8</v>
      </c>
      <c r="B80" s="7" t="n">
        <v>9</v>
      </c>
      <c r="C80" s="7" t="inlineStr">
        <is>
          <t>Creative Skills</t>
        </is>
      </c>
      <c r="D80" s="7" t="inlineStr">
        <is>
          <t>Open-ended (not auto-scored)</t>
        </is>
      </c>
      <c r="E80" s="8" t="inlineStr">
        <is>
          <t>If your team could try one experimental way of working for a month, what would it be?</t>
        </is>
      </c>
      <c r="F80" s="8" t="n"/>
      <c r="G80" s="8" t="n"/>
      <c r="H80" s="8" t="n"/>
      <c r="I80" s="8" t="n"/>
      <c r="J80" s="7" t="n"/>
      <c r="K80" s="7" t="n"/>
      <c r="L80" s="7" t="n"/>
      <c r="M80" s="7" t="n"/>
      <c r="N80" s="7" t="n"/>
      <c r="O80" s="7" t="n"/>
      <c r="P80" s="7" t="n"/>
      <c r="Q80" s="7" t="n"/>
      <c r="R80" s="7" t="n"/>
      <c r="S80" s="7" t="n"/>
      <c r="T80" s="7" t="n"/>
      <c r="U80" s="8" t="n"/>
    </row>
    <row r="81">
      <c r="A81" s="7" t="n">
        <v>8</v>
      </c>
      <c r="B81" s="7" t="n">
        <v>10</v>
      </c>
      <c r="C81" s="7" t="inlineStr">
        <is>
          <t>Listening Skills</t>
        </is>
      </c>
      <c r="D81" s="7" t="inlineStr">
        <is>
          <t>Scored</t>
        </is>
      </c>
      <c r="E81" s="8" t="inlineStr">
        <is>
          <t>[Read once, then answer without re-reading] “During the code review, the team checked the test coverage, flagged two issues, and then approved the merge.”  ||  What happened first?</t>
        </is>
      </c>
      <c r="F81" s="8" t="inlineStr">
        <is>
          <t>checked the test coverage</t>
        </is>
      </c>
      <c r="G81" s="8" t="inlineStr">
        <is>
          <t>flagged two issues</t>
        </is>
      </c>
      <c r="H81" s="8" t="inlineStr">
        <is>
          <t>approved the merge</t>
        </is>
      </c>
      <c r="I81" s="8" t="inlineStr">
        <is>
          <t>deployed to production</t>
        </is>
      </c>
      <c r="J81" s="7" t="n"/>
      <c r="K81" s="7" t="n"/>
      <c r="L81" s="7" t="n"/>
      <c r="M81" s="7" t="n"/>
      <c r="N81" s="7" t="inlineStr">
        <is>
          <t>A</t>
        </is>
      </c>
      <c r="O81" s="7" t="n"/>
      <c r="P81" s="7" t="n"/>
      <c r="Q81" s="7" t="n"/>
      <c r="R81" s="7" t="n"/>
      <c r="S81" s="7" t="n"/>
      <c r="T81" s="7">
        <f>IF(O81="","",IF(O81=N81,1,0))</f>
        <v/>
      </c>
      <c r="U81" s="8" t="n"/>
    </row>
    <row r="82">
      <c r="A82" s="5" t="n">
        <v>9</v>
      </c>
      <c r="B82" s="5" t="n">
        <v>1</v>
      </c>
      <c r="C82" s="5" t="inlineStr">
        <is>
          <t>Problem Solving</t>
        </is>
      </c>
      <c r="D82" s="5" t="inlineStr">
        <is>
          <t>Scored</t>
        </is>
      </c>
      <c r="E82" s="6" t="inlineStr">
        <is>
          <t>Three colleagues — Jyoti, Zara, Gopal — are presenting to the client in order. Zara is not first. Jyoti is not in the middle. Gopal is not in the middle. Gopal is not last. Who is first?</t>
        </is>
      </c>
      <c r="F82" s="6" t="inlineStr">
        <is>
          <t>Jyoti</t>
        </is>
      </c>
      <c r="G82" s="6" t="inlineStr">
        <is>
          <t>Zara</t>
        </is>
      </c>
      <c r="H82" s="6" t="inlineStr">
        <is>
          <t>Cannot be determined</t>
        </is>
      </c>
      <c r="I82" s="6" t="inlineStr">
        <is>
          <t>Gopal</t>
        </is>
      </c>
      <c r="J82" s="5" t="n"/>
      <c r="K82" s="5" t="n"/>
      <c r="L82" s="5" t="n"/>
      <c r="M82" s="5" t="n"/>
      <c r="N82" s="5" t="inlineStr">
        <is>
          <t>D</t>
        </is>
      </c>
      <c r="O82" s="5" t="n"/>
      <c r="P82" s="5" t="n"/>
      <c r="Q82" s="5" t="n"/>
      <c r="R82" s="5" t="n"/>
      <c r="S82" s="5" t="n"/>
      <c r="T82" s="5">
        <f>IF(O82="","",IF(O82=N82,1,0))</f>
        <v/>
      </c>
      <c r="U82" s="6" t="n"/>
    </row>
    <row r="83">
      <c r="A83" s="5" t="n">
        <v>9</v>
      </c>
      <c r="B83" s="5" t="n">
        <v>2</v>
      </c>
      <c r="C83" s="5" t="inlineStr">
        <is>
          <t>Critical Thinking</t>
        </is>
      </c>
      <c r="D83" s="5" t="inlineStr">
        <is>
          <t>Scored</t>
        </is>
      </c>
      <c r="E83" s="6" t="inlineStr">
        <is>
          <t>A post claims 'certifications don't matter' because one person got promoted without one. What's the actual flaw in this reasoning?</t>
        </is>
      </c>
      <c r="F83" s="6" t="inlineStr">
        <is>
          <t>A single unusual case is used instead of looking at typical outcomes</t>
        </is>
      </c>
      <c r="G83" s="6" t="inlineStr">
        <is>
          <t>The story is about a fictional employee</t>
        </is>
      </c>
      <c r="H83" s="6" t="inlineStr">
        <is>
          <t>No one is ever promoted without one</t>
        </is>
      </c>
      <c r="I83" s="6" t="inlineStr">
        <is>
          <t>The person actually holds several certifications</t>
        </is>
      </c>
      <c r="J83" s="5" t="n"/>
      <c r="K83" s="5" t="n"/>
      <c r="L83" s="5" t="n"/>
      <c r="M83" s="5" t="n"/>
      <c r="N83" s="5" t="inlineStr">
        <is>
          <t>A</t>
        </is>
      </c>
      <c r="O83" s="5" t="n"/>
      <c r="P83" s="5" t="n"/>
      <c r="Q83" s="5" t="n"/>
      <c r="R83" s="5" t="n"/>
      <c r="S83" s="5" t="n"/>
      <c r="T83" s="5">
        <f>IF(O83="","",IF(O83=N83,1,0))</f>
        <v/>
      </c>
      <c r="U83" s="6" t="n"/>
    </row>
    <row r="84">
      <c r="A84" s="5" t="n">
        <v>9</v>
      </c>
      <c r="B84" s="5" t="n">
        <v>3</v>
      </c>
      <c r="C84" s="5" t="inlineStr">
        <is>
          <t>Decision Making</t>
        </is>
      </c>
      <c r="D84" s="5" t="inlineStr">
        <is>
          <t>Scored</t>
        </is>
      </c>
      <c r="E84" s="6" t="inlineStr">
        <is>
          <t>You only have time for ONE of these right now. Which gives the best value for the effort it takes?</t>
        </is>
      </c>
      <c r="F84" s="6" t="inlineStr">
        <is>
          <t>finish the internal report (effort 8, value 8)</t>
        </is>
      </c>
      <c r="G84" s="6" t="inlineStr">
        <is>
          <t>complete the code review (effort 3, value 6)</t>
        </is>
      </c>
      <c r="H84" s="6" t="inlineStr">
        <is>
          <t>prepare the team presentation (effort 2, value 8)</t>
        </is>
      </c>
      <c r="I84" s="6" t="inlineStr">
        <is>
          <t>They are all equally good choices</t>
        </is>
      </c>
      <c r="J84" s="5" t="n"/>
      <c r="K84" s="5" t="n"/>
      <c r="L84" s="5" t="n"/>
      <c r="M84" s="5" t="n"/>
      <c r="N84" s="5" t="inlineStr">
        <is>
          <t>C</t>
        </is>
      </c>
      <c r="O84" s="5" t="n"/>
      <c r="P84" s="5" t="n"/>
      <c r="Q84" s="5" t="n"/>
      <c r="R84" s="5" t="n"/>
      <c r="S84" s="5" t="n"/>
      <c r="T84" s="5">
        <f>IF(O84="","",IF(O84=N84,1,0))</f>
        <v/>
      </c>
      <c r="U84" s="6" t="n"/>
    </row>
    <row r="85">
      <c r="A85" s="5" t="n">
        <v>9</v>
      </c>
      <c r="B85" s="5" t="n">
        <v>4</v>
      </c>
      <c r="C85" s="5" t="inlineStr">
        <is>
          <t>Mental Math</t>
        </is>
      </c>
      <c r="D85" s="5" t="inlineStr">
        <is>
          <t>Scored</t>
        </is>
      </c>
      <c r="E85" s="6" t="inlineStr">
        <is>
          <t>A recipe mixes cement and sand in a 5:4 ratio. If you use 15 units of cement, how much sand do you need?</t>
        </is>
      </c>
      <c r="F85" s="6" t="inlineStr">
        <is>
          <t>8</t>
        </is>
      </c>
      <c r="G85" s="6" t="inlineStr">
        <is>
          <t>12</t>
        </is>
      </c>
      <c r="H85" s="6" t="inlineStr">
        <is>
          <t>16</t>
        </is>
      </c>
      <c r="I85" s="6" t="inlineStr">
        <is>
          <t>15</t>
        </is>
      </c>
      <c r="J85" s="5" t="n"/>
      <c r="K85" s="5" t="n"/>
      <c r="L85" s="5" t="n"/>
      <c r="M85" s="5" t="n"/>
      <c r="N85" s="5" t="inlineStr">
        <is>
          <t>B</t>
        </is>
      </c>
      <c r="O85" s="5" t="n"/>
      <c r="P85" s="5" t="n"/>
      <c r="Q85" s="5" t="n"/>
      <c r="R85" s="5" t="n"/>
      <c r="S85" s="5" t="n"/>
      <c r="T85" s="5">
        <f>IF(O85="","",IF(O85=N85,1,0))</f>
        <v/>
      </c>
      <c r="U85" s="6" t="n"/>
    </row>
    <row r="86">
      <c r="A86" s="5" t="n">
        <v>9</v>
      </c>
      <c r="B86" s="5" t="n">
        <v>5</v>
      </c>
      <c r="C86" s="5" t="inlineStr">
        <is>
          <t>Cognitive Academia</t>
        </is>
      </c>
      <c r="D86" s="5" t="inlineStr">
        <is>
          <t>Scored</t>
        </is>
      </c>
      <c r="E86" s="6" t="inlineStr">
        <is>
          <t>What comes next in this pattern: 1, 5, 12, 22, 35, ?</t>
        </is>
      </c>
      <c r="F86" s="6" t="inlineStr">
        <is>
          <t>54</t>
        </is>
      </c>
      <c r="G86" s="6" t="inlineStr">
        <is>
          <t>51</t>
        </is>
      </c>
      <c r="H86" s="6" t="inlineStr">
        <is>
          <t>48</t>
        </is>
      </c>
      <c r="I86" s="6" t="inlineStr">
        <is>
          <t>57</t>
        </is>
      </c>
      <c r="J86" s="5" t="n"/>
      <c r="K86" s="5" t="n"/>
      <c r="L86" s="5" t="n"/>
      <c r="M86" s="5" t="n"/>
      <c r="N86" s="5" t="inlineStr">
        <is>
          <t>B</t>
        </is>
      </c>
      <c r="O86" s="5" t="n"/>
      <c r="P86" s="5" t="n"/>
      <c r="Q86" s="5" t="n"/>
      <c r="R86" s="5" t="n"/>
      <c r="S86" s="5" t="n"/>
      <c r="T86" s="5">
        <f>IF(O86="","",IF(O86=N86,1,0))</f>
        <v/>
      </c>
      <c r="U86" s="6" t="n"/>
    </row>
    <row r="87">
      <c r="A87" s="5" t="n">
        <v>9</v>
      </c>
      <c r="B87" s="5" t="n">
        <v>6</v>
      </c>
      <c r="C87" s="5" t="inlineStr">
        <is>
          <t>Leadership / Communication / Emotional &amp; Social</t>
        </is>
      </c>
      <c r="D87" s="5" t="inlineStr">
        <is>
          <t>Self-report (most/least)</t>
        </is>
      </c>
      <c r="E87" s="6" t="inlineStr">
        <is>
          <t>You discover an error in the report the night before it's due to your manager.</t>
        </is>
      </c>
      <c r="F87" s="6" t="inlineStr">
        <is>
          <t>You like guiding your team toward a shared outcome</t>
        </is>
      </c>
      <c r="G87" s="6" t="inlineStr">
        <is>
          <t>None of these feel like you in this moment</t>
        </is>
      </c>
      <c r="H87" s="6" t="inlineStr">
        <is>
          <t>You notice subtle changes in a colleague's mood</t>
        </is>
      </c>
      <c r="I87" s="6" t="inlineStr">
        <is>
          <t>You enjoy explaining your reasoning to your manager or peers</t>
        </is>
      </c>
      <c r="J87" s="5" t="inlineStr">
        <is>
          <t>LD</t>
        </is>
      </c>
      <c r="K87" s="5" t="inlineStr"/>
      <c r="L87" s="5" t="inlineStr">
        <is>
          <t>ES</t>
        </is>
      </c>
      <c r="M87" s="5" t="inlineStr">
        <is>
          <t>CM</t>
        </is>
      </c>
      <c r="N87" s="5" t="n"/>
      <c r="O87" s="5" t="n"/>
      <c r="P87" s="5" t="n"/>
      <c r="Q87" s="5" t="n"/>
      <c r="R87" s="5">
        <f>IFERROR(INDEX(J87:M87,MATCH(P87,{"A","B","C","D"},0)),"")</f>
        <v/>
      </c>
      <c r="S87" s="5">
        <f>IFERROR(INDEX(J87:M87,MATCH(Q87,{"A","B","C","D"},0)),"")</f>
        <v/>
      </c>
      <c r="T87" s="5" t="n"/>
      <c r="U87" s="6" t="n"/>
    </row>
    <row r="88">
      <c r="A88" s="5" t="n">
        <v>9</v>
      </c>
      <c r="B88" s="5" t="n">
        <v>7</v>
      </c>
      <c r="C88" s="5" t="inlineStr">
        <is>
          <t>Leadership / Communication / Emotional &amp; Social</t>
        </is>
      </c>
      <c r="D88" s="5" t="inlineStr">
        <is>
          <t>Self-report (most/least)</t>
        </is>
      </c>
      <c r="E88" s="6" t="inlineStr">
        <is>
          <t>A close colleague just got passed over for a promotion and is visibly upset at their desk.</t>
        </is>
      </c>
      <c r="F88" s="6" t="inlineStr">
        <is>
          <t>You like asking clarifying questions in unfamiliar topics</t>
        </is>
      </c>
      <c r="G88" s="6" t="inlineStr">
        <is>
          <t>You stay calm even during high-stakes deadlines</t>
        </is>
      </c>
      <c r="H88" s="6" t="inlineStr">
        <is>
          <t>You like organizing a plan of action for your team</t>
        </is>
      </c>
      <c r="I88" s="6" t="inlineStr">
        <is>
          <t>You'd need more time before reacting at all</t>
        </is>
      </c>
      <c r="J88" s="5" t="inlineStr">
        <is>
          <t>CM</t>
        </is>
      </c>
      <c r="K88" s="5" t="inlineStr">
        <is>
          <t>ES</t>
        </is>
      </c>
      <c r="L88" s="5" t="inlineStr">
        <is>
          <t>LD</t>
        </is>
      </c>
      <c r="M88" s="5" t="inlineStr"/>
      <c r="N88" s="5" t="n"/>
      <c r="O88" s="5" t="n"/>
      <c r="P88" s="5" t="n"/>
      <c r="Q88" s="5" t="n"/>
      <c r="R88" s="5">
        <f>IFERROR(INDEX(J88:M88,MATCH(P88,{"A","B","C","D"},0)),"")</f>
        <v/>
      </c>
      <c r="S88" s="5">
        <f>IFERROR(INDEX(J88:M88,MATCH(Q88,{"A","B","C","D"},0)),"")</f>
        <v/>
      </c>
      <c r="T88" s="5" t="n"/>
      <c r="U88" s="6" t="n"/>
    </row>
    <row r="89">
      <c r="A89" s="5" t="n">
        <v>9</v>
      </c>
      <c r="B89" s="5" t="n">
        <v>8</v>
      </c>
      <c r="C89" s="5" t="inlineStr">
        <is>
          <t>Leadership / Communication / Emotional &amp; Social</t>
        </is>
      </c>
      <c r="D89" s="5" t="inlineStr">
        <is>
          <t>Self-report (most/least)</t>
        </is>
      </c>
      <c r="E89" s="6" t="inlineStr">
        <is>
          <t>Your proposal just got a tough, pointed question from a stakeholder you don't have a good answer for.</t>
        </is>
      </c>
      <c r="F89" s="6" t="inlineStr">
        <is>
          <t>You can sense how a teammate feels without them saying it</t>
        </is>
      </c>
      <c r="G89" s="6" t="inlineStr">
        <is>
          <t>You'd rather wait and see what others do first</t>
        </is>
      </c>
      <c r="H89" s="6" t="inlineStr">
        <is>
          <t>You make sure your point comes across persuasively to stakeholders</t>
        </is>
      </c>
      <c r="I89" s="6" t="inlineStr">
        <is>
          <t>You enjoy being chosen to head an initiative</t>
        </is>
      </c>
      <c r="J89" s="5" t="inlineStr">
        <is>
          <t>ES</t>
        </is>
      </c>
      <c r="K89" s="5" t="inlineStr"/>
      <c r="L89" s="5" t="inlineStr">
        <is>
          <t>CM</t>
        </is>
      </c>
      <c r="M89" s="5" t="inlineStr">
        <is>
          <t>LD</t>
        </is>
      </c>
      <c r="N89" s="5" t="n"/>
      <c r="O89" s="5" t="n"/>
      <c r="P89" s="5" t="n"/>
      <c r="Q89" s="5" t="n"/>
      <c r="R89" s="5">
        <f>IFERROR(INDEX(J89:M89,MATCH(P89,{"A","B","C","D"},0)),"")</f>
        <v/>
      </c>
      <c r="S89" s="5">
        <f>IFERROR(INDEX(J89:M89,MATCH(Q89,{"A","B","C","D"},0)),"")</f>
        <v/>
      </c>
      <c r="T89" s="5" t="n"/>
      <c r="U89" s="6" t="n"/>
    </row>
    <row r="90">
      <c r="A90" s="5" t="n">
        <v>9</v>
      </c>
      <c r="B90" s="5" t="n">
        <v>9</v>
      </c>
      <c r="C90" s="5" t="inlineStr">
        <is>
          <t>Creative Skills</t>
        </is>
      </c>
      <c r="D90" s="5" t="inlineStr">
        <is>
          <t>Open-ended (not auto-scored)</t>
        </is>
      </c>
      <c r="E90" s="6" t="inlineStr">
        <is>
          <t>Propose a way to make cross-team collaboration less frustrating.</t>
        </is>
      </c>
      <c r="F90" s="6" t="n"/>
      <c r="G90" s="6" t="n"/>
      <c r="H90" s="6" t="n"/>
      <c r="I90" s="6" t="n"/>
      <c r="J90" s="5" t="n"/>
      <c r="K90" s="5" t="n"/>
      <c r="L90" s="5" t="n"/>
      <c r="M90" s="5" t="n"/>
      <c r="N90" s="5" t="n"/>
      <c r="O90" s="5" t="n"/>
      <c r="P90" s="5" t="n"/>
      <c r="Q90" s="5" t="n"/>
      <c r="R90" s="5" t="n"/>
      <c r="S90" s="5" t="n"/>
      <c r="T90" s="5" t="n"/>
      <c r="U90" s="6" t="n"/>
    </row>
    <row r="91">
      <c r="A91" s="5" t="n">
        <v>9</v>
      </c>
      <c r="B91" s="5" t="n">
        <v>10</v>
      </c>
      <c r="C91" s="5" t="inlineStr">
        <is>
          <t>Listening Skills</t>
        </is>
      </c>
      <c r="D91" s="5" t="inlineStr">
        <is>
          <t>Scored</t>
        </is>
      </c>
      <c r="E91" s="6" t="inlineStr">
        <is>
          <t>[Read once, then answer without re-reading] “Ahead of the client visit, the team cleaned the demo environment, rehearsed the pitch, and finally printed handouts for the room.”  ||  What happened right after the first thing mentioned?</t>
        </is>
      </c>
      <c r="F91" s="6" t="inlineStr">
        <is>
          <t>cleaned the demo environment</t>
        </is>
      </c>
      <c r="G91" s="6" t="inlineStr">
        <is>
          <t>printed handouts</t>
        </is>
      </c>
      <c r="H91" s="6" t="inlineStr">
        <is>
          <t>signed a renewal</t>
        </is>
      </c>
      <c r="I91" s="6" t="inlineStr">
        <is>
          <t>rehearsed the pitch</t>
        </is>
      </c>
      <c r="J91" s="5" t="n"/>
      <c r="K91" s="5" t="n"/>
      <c r="L91" s="5" t="n"/>
      <c r="M91" s="5" t="n"/>
      <c r="N91" s="5" t="inlineStr">
        <is>
          <t>D</t>
        </is>
      </c>
      <c r="O91" s="5" t="n"/>
      <c r="P91" s="5" t="n"/>
      <c r="Q91" s="5" t="n"/>
      <c r="R91" s="5" t="n"/>
      <c r="S91" s="5" t="n"/>
      <c r="T91" s="5">
        <f>IF(O91="","",IF(O91=N91,1,0))</f>
        <v/>
      </c>
      <c r="U91" s="6" t="n"/>
    </row>
    <row r="92">
      <c r="A92" s="7" t="n">
        <v>10</v>
      </c>
      <c r="B92" s="7" t="n">
        <v>1</v>
      </c>
      <c r="C92" s="7" t="inlineStr">
        <is>
          <t>Problem Solving</t>
        </is>
      </c>
      <c r="D92" s="7" t="inlineStr">
        <is>
          <t>Scored</t>
        </is>
      </c>
      <c r="E92" s="8" t="inlineStr">
        <is>
          <t>Three colleagues — Ishaan, Diya, Gopal — are presenting to the client in order. Ishaan is not first. Gopal is not last. Ishaan is not in the middle. Gopal is not in the middle. Who is first?</t>
        </is>
      </c>
      <c r="F92" s="8" t="inlineStr">
        <is>
          <t>Diya</t>
        </is>
      </c>
      <c r="G92" s="8" t="inlineStr">
        <is>
          <t>Ishaan</t>
        </is>
      </c>
      <c r="H92" s="8" t="inlineStr">
        <is>
          <t>Gopal</t>
        </is>
      </c>
      <c r="I92" s="8" t="inlineStr">
        <is>
          <t>Cannot be determined</t>
        </is>
      </c>
      <c r="J92" s="7" t="n"/>
      <c r="K92" s="7" t="n"/>
      <c r="L92" s="7" t="n"/>
      <c r="M92" s="7" t="n"/>
      <c r="N92" s="7" t="inlineStr">
        <is>
          <t>C</t>
        </is>
      </c>
      <c r="O92" s="7" t="n"/>
      <c r="P92" s="7" t="n"/>
      <c r="Q92" s="7" t="n"/>
      <c r="R92" s="7" t="n"/>
      <c r="S92" s="7" t="n"/>
      <c r="T92" s="7">
        <f>IF(O92="","",IF(O92=N92,1,0))</f>
        <v/>
      </c>
      <c r="U92" s="8" t="n"/>
    </row>
    <row r="93">
      <c r="A93" s="7" t="n">
        <v>10</v>
      </c>
      <c r="B93" s="7" t="n">
        <v>2</v>
      </c>
      <c r="C93" s="7" t="inlineStr">
        <is>
          <t>Critical Thinking</t>
        </is>
      </c>
      <c r="D93" s="7" t="inlineStr">
        <is>
          <t>Scored</t>
        </is>
      </c>
      <c r="E93" s="8" t="inlineStr">
        <is>
          <t>A report claims: 'This process is efficient because it operates efficiently.' What's the actual flaw in this reasoning?</t>
        </is>
      </c>
      <c r="F93" s="8" t="inlineStr">
        <is>
          <t>The process was discontinued</t>
        </is>
      </c>
      <c r="G93" s="8" t="inlineStr">
        <is>
          <t>Efficient and effective are unrelated ideas</t>
        </is>
      </c>
      <c r="H93" s="8" t="inlineStr">
        <is>
          <t>No process was described</t>
        </is>
      </c>
      <c r="I93" s="8" t="inlineStr">
        <is>
          <t>It restates the claim rather than explaining why the process is actually efficient</t>
        </is>
      </c>
      <c r="J93" s="7" t="n"/>
      <c r="K93" s="7" t="n"/>
      <c r="L93" s="7" t="n"/>
      <c r="M93" s="7" t="n"/>
      <c r="N93" s="7" t="inlineStr">
        <is>
          <t>D</t>
        </is>
      </c>
      <c r="O93" s="7" t="n"/>
      <c r="P93" s="7" t="n"/>
      <c r="Q93" s="7" t="n"/>
      <c r="R93" s="7" t="n"/>
      <c r="S93" s="7" t="n"/>
      <c r="T93" s="7">
        <f>IF(O93="","",IF(O93=N93,1,0))</f>
        <v/>
      </c>
      <c r="U93" s="8" t="n"/>
    </row>
    <row r="94">
      <c r="A94" s="7" t="n">
        <v>10</v>
      </c>
      <c r="B94" s="7" t="n">
        <v>3</v>
      </c>
      <c r="C94" s="7" t="inlineStr">
        <is>
          <t>Decision Making</t>
        </is>
      </c>
      <c r="D94" s="7" t="inlineStr">
        <is>
          <t>Scored</t>
        </is>
      </c>
      <c r="E94" s="8" t="inlineStr">
        <is>
          <t>You have 30 minutes. complete the code review takes 20 minutes, finish the internal report takes 10 minutes, and prepare the team presentation takes 27 minutes. You must skip exactly one of them to fit the other two into your 30 minutes. Which should you skip?</t>
        </is>
      </c>
      <c r="F94" s="8" t="inlineStr">
        <is>
          <t>finish the internal report</t>
        </is>
      </c>
      <c r="G94" s="8" t="inlineStr">
        <is>
          <t>It's impossible to fit any two</t>
        </is>
      </c>
      <c r="H94" s="8" t="inlineStr">
        <is>
          <t>prepare the team presentation</t>
        </is>
      </c>
      <c r="I94" s="8" t="inlineStr">
        <is>
          <t>complete the code review</t>
        </is>
      </c>
      <c r="J94" s="7" t="n"/>
      <c r="K94" s="7" t="n"/>
      <c r="L94" s="7" t="n"/>
      <c r="M94" s="7" t="n"/>
      <c r="N94" s="7" t="inlineStr">
        <is>
          <t>C</t>
        </is>
      </c>
      <c r="O94" s="7" t="n"/>
      <c r="P94" s="7" t="n"/>
      <c r="Q94" s="7" t="n"/>
      <c r="R94" s="7" t="n"/>
      <c r="S94" s="7" t="n"/>
      <c r="T94" s="7">
        <f>IF(O94="","",IF(O94=N94,1,0))</f>
        <v/>
      </c>
      <c r="U94" s="8" t="n"/>
    </row>
    <row r="95">
      <c r="A95" s="7" t="n">
        <v>10</v>
      </c>
      <c r="B95" s="7" t="n">
        <v>4</v>
      </c>
      <c r="C95" s="7" t="inlineStr">
        <is>
          <t>Mental Math</t>
        </is>
      </c>
      <c r="D95" s="7" t="inlineStr">
        <is>
          <t>Scored</t>
        </is>
      </c>
      <c r="E95" s="8" t="inlineStr">
        <is>
          <t>I'm thinking of a number. If you add 26, then subtract 29, then triple it, you get 78. What's my number?</t>
        </is>
      </c>
      <c r="F95" s="8" t="inlineStr">
        <is>
          <t>29</t>
        </is>
      </c>
      <c r="G95" s="8" t="inlineStr">
        <is>
          <t>31</t>
        </is>
      </c>
      <c r="H95" s="8" t="inlineStr">
        <is>
          <t>30</t>
        </is>
      </c>
      <c r="I95" s="8" t="inlineStr">
        <is>
          <t>28</t>
        </is>
      </c>
      <c r="J95" s="7" t="n"/>
      <c r="K95" s="7" t="n"/>
      <c r="L95" s="7" t="n"/>
      <c r="M95" s="7" t="n"/>
      <c r="N95" s="7" t="inlineStr">
        <is>
          <t>A</t>
        </is>
      </c>
      <c r="O95" s="7" t="n"/>
      <c r="P95" s="7" t="n"/>
      <c r="Q95" s="7" t="n"/>
      <c r="R95" s="7" t="n"/>
      <c r="S95" s="7" t="n"/>
      <c r="T95" s="7">
        <f>IF(O95="","",IF(O95=N95,1,0))</f>
        <v/>
      </c>
      <c r="U95" s="8" t="n"/>
    </row>
    <row r="96">
      <c r="A96" s="7" t="n">
        <v>10</v>
      </c>
      <c r="B96" s="7" t="n">
        <v>5</v>
      </c>
      <c r="C96" s="7" t="inlineStr">
        <is>
          <t>Cognitive Academia</t>
        </is>
      </c>
      <c r="D96" s="7" t="inlineStr">
        <is>
          <t>Scored</t>
        </is>
      </c>
      <c r="E96" s="8" t="inlineStr">
        <is>
          <t>What comes next in this pattern: 3, 4, 7, 11, 18, ?</t>
        </is>
      </c>
      <c r="F96" s="8" t="inlineStr">
        <is>
          <t>36</t>
        </is>
      </c>
      <c r="G96" s="8" t="inlineStr">
        <is>
          <t>27</t>
        </is>
      </c>
      <c r="H96" s="8" t="inlineStr">
        <is>
          <t>33</t>
        </is>
      </c>
      <c r="I96" s="8" t="inlineStr">
        <is>
          <t>29</t>
        </is>
      </c>
      <c r="J96" s="7" t="n"/>
      <c r="K96" s="7" t="n"/>
      <c r="L96" s="7" t="n"/>
      <c r="M96" s="7" t="n"/>
      <c r="N96" s="7" t="inlineStr">
        <is>
          <t>D</t>
        </is>
      </c>
      <c r="O96" s="7" t="n"/>
      <c r="P96" s="7" t="n"/>
      <c r="Q96" s="7" t="n"/>
      <c r="R96" s="7" t="n"/>
      <c r="S96" s="7" t="n"/>
      <c r="T96" s="7">
        <f>IF(O96="","",IF(O96=N96,1,0))</f>
        <v/>
      </c>
      <c r="U96" s="8" t="n"/>
    </row>
    <row r="97">
      <c r="A97" s="7" t="n">
        <v>10</v>
      </c>
      <c r="B97" s="7" t="n">
        <v>6</v>
      </c>
      <c r="C97" s="7" t="inlineStr">
        <is>
          <t>Leadership / Communication / Emotional &amp; Social</t>
        </is>
      </c>
      <c r="D97" s="7" t="inlineStr">
        <is>
          <t>Self-report (most/least)</t>
        </is>
      </c>
      <c r="E97" s="8" t="inlineStr">
        <is>
          <t>You're the only one on your team who thinks the current project direction is a mistake.</t>
        </is>
      </c>
      <c r="F97" s="8" t="inlineStr">
        <is>
          <t>You feel confident making decisions under time pressure</t>
        </is>
      </c>
      <c r="G97" s="8" t="inlineStr">
        <is>
          <t>You think about how a decision might affect the team</t>
        </is>
      </c>
      <c r="H97" s="8" t="inlineStr">
        <is>
          <t>You'd need more time before reacting at all</t>
        </is>
      </c>
      <c r="I97" s="8" t="inlineStr">
        <is>
          <t>You enjoy discussing ideas openly with colleagues</t>
        </is>
      </c>
      <c r="J97" s="7" t="inlineStr">
        <is>
          <t>LD</t>
        </is>
      </c>
      <c r="K97" s="7" t="inlineStr">
        <is>
          <t>ES</t>
        </is>
      </c>
      <c r="L97" s="7" t="inlineStr"/>
      <c r="M97" s="7" t="inlineStr">
        <is>
          <t>CM</t>
        </is>
      </c>
      <c r="N97" s="7" t="n"/>
      <c r="O97" s="7" t="n"/>
      <c r="P97" s="7" t="n"/>
      <c r="Q97" s="7" t="n"/>
      <c r="R97" s="7">
        <f>IFERROR(INDEX(J97:M97,MATCH(P97,{"A","B","C","D"},0)),"")</f>
        <v/>
      </c>
      <c r="S97" s="7">
        <f>IFERROR(INDEX(J97:M97,MATCH(Q97,{"A","B","C","D"},0)),"")</f>
        <v/>
      </c>
      <c r="T97" s="7" t="n"/>
      <c r="U97" s="8" t="n"/>
    </row>
    <row r="98">
      <c r="A98" s="7" t="n">
        <v>10</v>
      </c>
      <c r="B98" s="7" t="n">
        <v>7</v>
      </c>
      <c r="C98" s="7" t="inlineStr">
        <is>
          <t>Leadership / Communication / Emotional &amp; Social</t>
        </is>
      </c>
      <c r="D98" s="7" t="inlineStr">
        <is>
          <t>Self-report (most/least)</t>
        </is>
      </c>
      <c r="E98" s="8" t="inlineStr">
        <is>
          <t>A teammate wants to quietly adjust a number to make the weekly report look better than it is.</t>
        </is>
      </c>
      <c r="F98" s="8" t="inlineStr">
        <is>
          <t>You like structuring your thoughts before a meeting</t>
        </is>
      </c>
      <c r="G98" s="8" t="inlineStr">
        <is>
          <t>You enjoy helping a colleague work through a tough problem</t>
        </is>
      </c>
      <c r="H98" s="8" t="inlineStr">
        <is>
          <t>You'd rather wait and see what others do first</t>
        </is>
      </c>
      <c r="I98" s="8" t="inlineStr">
        <is>
          <t>You naturally end up being the one who decides</t>
        </is>
      </c>
      <c r="J98" s="7" t="inlineStr">
        <is>
          <t>CM</t>
        </is>
      </c>
      <c r="K98" s="7" t="inlineStr">
        <is>
          <t>ES</t>
        </is>
      </c>
      <c r="L98" s="7" t="inlineStr"/>
      <c r="M98" s="7" t="inlineStr">
        <is>
          <t>LD</t>
        </is>
      </c>
      <c r="N98" s="7" t="n"/>
      <c r="O98" s="7" t="n"/>
      <c r="P98" s="7" t="n"/>
      <c r="Q98" s="7" t="n"/>
      <c r="R98" s="7">
        <f>IFERROR(INDEX(J98:M98,MATCH(P98,{"A","B","C","D"},0)),"")</f>
        <v/>
      </c>
      <c r="S98" s="7">
        <f>IFERROR(INDEX(J98:M98,MATCH(Q98,{"A","B","C","D"},0)),"")</f>
        <v/>
      </c>
      <c r="T98" s="7" t="n"/>
      <c r="U98" s="8" t="n"/>
    </row>
    <row r="99">
      <c r="A99" s="7" t="n">
        <v>10</v>
      </c>
      <c r="B99" s="7" t="n">
        <v>8</v>
      </c>
      <c r="C99" s="7" t="inlineStr">
        <is>
          <t>Leadership / Communication / Emotional &amp; Social</t>
        </is>
      </c>
      <c r="D99" s="7" t="inlineStr">
        <is>
          <t>Self-report (most/least)</t>
        </is>
      </c>
      <c r="E99" s="8" t="inlineStr">
        <is>
          <t>You're asked to represent your team in a decision you personally disagree with.</t>
        </is>
      </c>
      <c r="F99" s="8" t="inlineStr">
        <is>
          <t>You naturally take charge when a project lacks direction</t>
        </is>
      </c>
      <c r="G99" s="8" t="inlineStr">
        <is>
          <t>You'd step back and observe before choosing any of these</t>
        </is>
      </c>
      <c r="H99" s="8" t="inlineStr">
        <is>
          <t>You notice when a colleague is under pressure</t>
        </is>
      </c>
      <c r="I99" s="8" t="inlineStr">
        <is>
          <t>You explain your reasoning clearly so colleagues follow it</t>
        </is>
      </c>
      <c r="J99" s="7" t="inlineStr">
        <is>
          <t>LD</t>
        </is>
      </c>
      <c r="K99" s="7" t="inlineStr"/>
      <c r="L99" s="7" t="inlineStr">
        <is>
          <t>ES</t>
        </is>
      </c>
      <c r="M99" s="7" t="inlineStr">
        <is>
          <t>CM</t>
        </is>
      </c>
      <c r="N99" s="7" t="n"/>
      <c r="O99" s="7" t="n"/>
      <c r="P99" s="7" t="n"/>
      <c r="Q99" s="7" t="n"/>
      <c r="R99" s="7">
        <f>IFERROR(INDEX(J99:M99,MATCH(P99,{"A","B","C","D"},0)),"")</f>
        <v/>
      </c>
      <c r="S99" s="7">
        <f>IFERROR(INDEX(J99:M99,MATCH(Q99,{"A","B","C","D"},0)),"")</f>
        <v/>
      </c>
      <c r="T99" s="7" t="n"/>
      <c r="U99" s="8" t="n"/>
    </row>
    <row r="100">
      <c r="A100" s="7" t="n">
        <v>10</v>
      </c>
      <c r="B100" s="7" t="n">
        <v>9</v>
      </c>
      <c r="C100" s="7" t="inlineStr">
        <is>
          <t>Creative Skills</t>
        </is>
      </c>
      <c r="D100" s="7" t="inlineStr">
        <is>
          <t>Open-ended (not auto-scored)</t>
        </is>
      </c>
      <c r="E100" s="8" t="inlineStr">
        <is>
          <t>Design a simple ritual that would help a new team build trust quickly.</t>
        </is>
      </c>
      <c r="F100" s="8" t="n"/>
      <c r="G100" s="8" t="n"/>
      <c r="H100" s="8" t="n"/>
      <c r="I100" s="8" t="n"/>
      <c r="J100" s="7" t="n"/>
      <c r="K100" s="7" t="n"/>
      <c r="L100" s="7" t="n"/>
      <c r="M100" s="7" t="n"/>
      <c r="N100" s="7" t="n"/>
      <c r="O100" s="7" t="n"/>
      <c r="P100" s="7" t="n"/>
      <c r="Q100" s="7" t="n"/>
      <c r="R100" s="7" t="n"/>
      <c r="S100" s="7" t="n"/>
      <c r="T100" s="7" t="n"/>
      <c r="U100" s="8" t="n"/>
    </row>
    <row r="101">
      <c r="A101" s="7" t="n">
        <v>10</v>
      </c>
      <c r="B101" s="7" t="n">
        <v>10</v>
      </c>
      <c r="C101" s="7" t="inlineStr">
        <is>
          <t>Listening Skills</t>
        </is>
      </c>
      <c r="D101" s="7" t="inlineStr">
        <is>
          <t>Scored</t>
        </is>
      </c>
      <c r="E101" s="8" t="inlineStr">
        <is>
          <t>[Read once, then answer without re-reading] “Before the all-hands meeting, the manager gathered team updates, built the summary slide, and then shared the agenda with the group.”  ||  What happened right after the first thing mentioned?</t>
        </is>
      </c>
      <c r="F101" s="8" t="inlineStr">
        <is>
          <t>shared the agenda</t>
        </is>
      </c>
      <c r="G101" s="8" t="inlineStr">
        <is>
          <t>built the summary slide</t>
        </is>
      </c>
      <c r="H101" s="8" t="inlineStr">
        <is>
          <t>announced layoffs</t>
        </is>
      </c>
      <c r="I101" s="8" t="inlineStr">
        <is>
          <t>gathered team updates</t>
        </is>
      </c>
      <c r="J101" s="7" t="n"/>
      <c r="K101" s="7" t="n"/>
      <c r="L101" s="7" t="n"/>
      <c r="M101" s="7" t="n"/>
      <c r="N101" s="7" t="inlineStr">
        <is>
          <t>B</t>
        </is>
      </c>
      <c r="O101" s="7" t="n"/>
      <c r="P101" s="7" t="n"/>
      <c r="Q101" s="7" t="n"/>
      <c r="R101" s="7" t="n"/>
      <c r="S101" s="7" t="n"/>
      <c r="T101" s="7">
        <f>IF(O101="","",IF(O101=N101,1,0))</f>
        <v/>
      </c>
      <c r="U101" s="8" t="n"/>
    </row>
    <row r="104">
      <c r="A104" s="9" t="inlineStr">
        <is>
          <t>Scoring summary — fill answers above, then read results below. Creative (last column) is for manual review.</t>
        </is>
      </c>
    </row>
    <row r="105">
      <c r="A105" s="10" t="inlineStr">
        <is>
          <t>Set</t>
        </is>
      </c>
      <c r="B105" s="10" t="inlineStr">
        <is>
          <t>Problem Solving</t>
        </is>
      </c>
      <c r="C105" s="10" t="inlineStr">
        <is>
          <t>Critical Thinking</t>
        </is>
      </c>
      <c r="D105" s="10" t="inlineStr">
        <is>
          <t>Decision Making</t>
        </is>
      </c>
      <c r="E105" s="10" t="inlineStr">
        <is>
          <t>Mental Math</t>
        </is>
      </c>
      <c r="F105" s="10" t="inlineStr">
        <is>
          <t>Cognitive Academia</t>
        </is>
      </c>
      <c r="G105" s="10" t="inlineStr">
        <is>
          <t>Listening</t>
        </is>
      </c>
      <c r="H105" s="10" t="inlineStr">
        <is>
          <t>Leadership</t>
        </is>
      </c>
      <c r="I105" s="10" t="inlineStr">
        <is>
          <t>Communication</t>
        </is>
      </c>
      <c r="J105" s="10" t="inlineStr">
        <is>
          <t>Emotional &amp; Social</t>
        </is>
      </c>
      <c r="K105" s="10" t="inlineStr">
        <is>
          <t>Top strength</t>
        </is>
      </c>
    </row>
    <row r="106">
      <c r="A106" s="11" t="n">
        <v>1</v>
      </c>
      <c r="B106" s="12">
        <f>IF(O2="",0,IF(O2=N2,100,0))</f>
        <v/>
      </c>
      <c r="C106" s="12">
        <f>IF(O3="",0,IF(O3=N3,100,0))</f>
        <v/>
      </c>
      <c r="D106" s="12">
        <f>IF(O4="",0,IF(O4=N4,100,0))</f>
        <v/>
      </c>
      <c r="E106" s="12">
        <f>IF(O5="",0,IF(O5=N5,100,0))</f>
        <v/>
      </c>
      <c r="F106" s="12">
        <f>IF(O6="",0,IF(O6=N6,100,0))</f>
        <v/>
      </c>
      <c r="G106" s="12">
        <f>IF(O11="",0,IF(O11=N11,100,0))</f>
        <v/>
      </c>
      <c r="H106" s="12">
        <f>((((--(R7="LD"))-(--(S7="LD")))+((--(R8="LD"))-(--(S8="LD")))+((--(R9="LD"))-(--(S9="LD"))))+3)/6*100</f>
        <v/>
      </c>
      <c r="I106" s="12">
        <f>((((--(R7="CM"))-(--(S7="CM")))+((--(R8="CM"))-(--(S8="CM")))+((--(R9="CM"))-(--(S9="CM"))))+3)/6*100</f>
        <v/>
      </c>
      <c r="J106" s="12">
        <f>((((--(R7="ES"))-(--(S7="ES")))+((--(R8="ES"))-(--(S8="ES")))+((--(R9="ES"))-(--(S9="ES"))))+3)/6*100</f>
        <v/>
      </c>
      <c r="K106" s="12">
        <f>INDEX({"Problem Solving";"Critical Thinking";"Decision Making";"Mental Math";"Cognitive Academia";"Listening";"Leadership";"Communication";"Emotional &amp; Social"},MATCH(MAX(B106:J106),B106:J106,0))</f>
        <v/>
      </c>
    </row>
    <row r="107">
      <c r="A107" s="11" t="n">
        <v>2</v>
      </c>
      <c r="B107" s="12">
        <f>IF(O12="",0,IF(O12=N12,100,0))</f>
        <v/>
      </c>
      <c r="C107" s="12">
        <f>IF(O13="",0,IF(O13=N13,100,0))</f>
        <v/>
      </c>
      <c r="D107" s="12">
        <f>IF(O14="",0,IF(O14=N14,100,0))</f>
        <v/>
      </c>
      <c r="E107" s="12">
        <f>IF(O15="",0,IF(O15=N15,100,0))</f>
        <v/>
      </c>
      <c r="F107" s="12">
        <f>IF(O16="",0,IF(O16=N16,100,0))</f>
        <v/>
      </c>
      <c r="G107" s="12">
        <f>IF(O21="",0,IF(O21=N21,100,0))</f>
        <v/>
      </c>
      <c r="H107" s="12">
        <f>((((--(R17="LD"))-(--(S17="LD")))+((--(R18="LD"))-(--(S18="LD")))+((--(R19="LD"))-(--(S19="LD"))))+3)/6*100</f>
        <v/>
      </c>
      <c r="I107" s="12">
        <f>((((--(R17="CM"))-(--(S17="CM")))+((--(R18="CM"))-(--(S18="CM")))+((--(R19="CM"))-(--(S19="CM"))))+3)/6*100</f>
        <v/>
      </c>
      <c r="J107" s="12">
        <f>((((--(R17="ES"))-(--(S17="ES")))+((--(R18="ES"))-(--(S18="ES")))+((--(R19="ES"))-(--(S19="ES"))))+3)/6*100</f>
        <v/>
      </c>
      <c r="K107" s="12">
        <f>INDEX({"Problem Solving";"Critical Thinking";"Decision Making";"Mental Math";"Cognitive Academia";"Listening";"Leadership";"Communication";"Emotional &amp; Social"},MATCH(MAX(B107:J107),B107:J107,0))</f>
        <v/>
      </c>
    </row>
    <row r="108">
      <c r="A108" s="11" t="n">
        <v>3</v>
      </c>
      <c r="B108" s="12">
        <f>IF(O22="",0,IF(O22=N22,100,0))</f>
        <v/>
      </c>
      <c r="C108" s="12">
        <f>IF(O23="",0,IF(O23=N23,100,0))</f>
        <v/>
      </c>
      <c r="D108" s="12">
        <f>IF(O24="",0,IF(O24=N24,100,0))</f>
        <v/>
      </c>
      <c r="E108" s="12">
        <f>IF(O25="",0,IF(O25=N25,100,0))</f>
        <v/>
      </c>
      <c r="F108" s="12">
        <f>IF(O26="",0,IF(O26=N26,100,0))</f>
        <v/>
      </c>
      <c r="G108" s="12">
        <f>IF(O31="",0,IF(O31=N31,100,0))</f>
        <v/>
      </c>
      <c r="H108" s="12">
        <f>((((--(R27="LD"))-(--(S27="LD")))+((--(R28="LD"))-(--(S28="LD")))+((--(R29="LD"))-(--(S29="LD"))))+3)/6*100</f>
        <v/>
      </c>
      <c r="I108" s="12">
        <f>((((--(R27="CM"))-(--(S27="CM")))+((--(R28="CM"))-(--(S28="CM")))+((--(R29="CM"))-(--(S29="CM"))))+3)/6*100</f>
        <v/>
      </c>
      <c r="J108" s="12">
        <f>((((--(R27="ES"))-(--(S27="ES")))+((--(R28="ES"))-(--(S28="ES")))+((--(R29="ES"))-(--(S29="ES"))))+3)/6*100</f>
        <v/>
      </c>
      <c r="K108" s="12">
        <f>INDEX({"Problem Solving";"Critical Thinking";"Decision Making";"Mental Math";"Cognitive Academia";"Listening";"Leadership";"Communication";"Emotional &amp; Social"},MATCH(MAX(B108:J108),B108:J108,0))</f>
        <v/>
      </c>
    </row>
    <row r="109">
      <c r="A109" s="11" t="n">
        <v>4</v>
      </c>
      <c r="B109" s="12">
        <f>IF(O32="",0,IF(O32=N32,100,0))</f>
        <v/>
      </c>
      <c r="C109" s="12">
        <f>IF(O33="",0,IF(O33=N33,100,0))</f>
        <v/>
      </c>
      <c r="D109" s="12">
        <f>IF(O34="",0,IF(O34=N34,100,0))</f>
        <v/>
      </c>
      <c r="E109" s="12">
        <f>IF(O35="",0,IF(O35=N35,100,0))</f>
        <v/>
      </c>
      <c r="F109" s="12">
        <f>IF(O36="",0,IF(O36=N36,100,0))</f>
        <v/>
      </c>
      <c r="G109" s="12">
        <f>IF(O41="",0,IF(O41=N41,100,0))</f>
        <v/>
      </c>
      <c r="H109" s="12">
        <f>((((--(R37="LD"))-(--(S37="LD")))+((--(R38="LD"))-(--(S38="LD")))+((--(R39="LD"))-(--(S39="LD"))))+3)/6*100</f>
        <v/>
      </c>
      <c r="I109" s="12">
        <f>((((--(R37="CM"))-(--(S37="CM")))+((--(R38="CM"))-(--(S38="CM")))+((--(R39="CM"))-(--(S39="CM"))))+3)/6*100</f>
        <v/>
      </c>
      <c r="J109" s="12">
        <f>((((--(R37="ES"))-(--(S37="ES")))+((--(R38="ES"))-(--(S38="ES")))+((--(R39="ES"))-(--(S39="ES"))))+3)/6*100</f>
        <v/>
      </c>
      <c r="K109" s="12">
        <f>INDEX({"Problem Solving";"Critical Thinking";"Decision Making";"Mental Math";"Cognitive Academia";"Listening";"Leadership";"Communication";"Emotional &amp; Social"},MATCH(MAX(B109:J109),B109:J109,0))</f>
        <v/>
      </c>
    </row>
    <row r="110">
      <c r="A110" s="11" t="n">
        <v>5</v>
      </c>
      <c r="B110" s="12">
        <f>IF(O42="",0,IF(O42=N42,100,0))</f>
        <v/>
      </c>
      <c r="C110" s="12">
        <f>IF(O43="",0,IF(O43=N43,100,0))</f>
        <v/>
      </c>
      <c r="D110" s="12">
        <f>IF(O44="",0,IF(O44=N44,100,0))</f>
        <v/>
      </c>
      <c r="E110" s="12">
        <f>IF(O45="",0,IF(O45=N45,100,0))</f>
        <v/>
      </c>
      <c r="F110" s="12">
        <f>IF(O46="",0,IF(O46=N46,100,0))</f>
        <v/>
      </c>
      <c r="G110" s="12">
        <f>IF(O51="",0,IF(O51=N51,100,0))</f>
        <v/>
      </c>
      <c r="H110" s="12">
        <f>((((--(R47="LD"))-(--(S47="LD")))+((--(R48="LD"))-(--(S48="LD")))+((--(R49="LD"))-(--(S49="LD"))))+3)/6*100</f>
        <v/>
      </c>
      <c r="I110" s="12">
        <f>((((--(R47="CM"))-(--(S47="CM")))+((--(R48="CM"))-(--(S48="CM")))+((--(R49="CM"))-(--(S49="CM"))))+3)/6*100</f>
        <v/>
      </c>
      <c r="J110" s="12">
        <f>((((--(R47="ES"))-(--(S47="ES")))+((--(R48="ES"))-(--(S48="ES")))+((--(R49="ES"))-(--(S49="ES"))))+3)/6*100</f>
        <v/>
      </c>
      <c r="K110" s="12">
        <f>INDEX({"Problem Solving";"Critical Thinking";"Decision Making";"Mental Math";"Cognitive Academia";"Listening";"Leadership";"Communication";"Emotional &amp; Social"},MATCH(MAX(B110:J110),B110:J110,0))</f>
        <v/>
      </c>
    </row>
    <row r="111">
      <c r="A111" s="11" t="n">
        <v>6</v>
      </c>
      <c r="B111" s="12">
        <f>IF(O52="",0,IF(O52=N52,100,0))</f>
        <v/>
      </c>
      <c r="C111" s="12">
        <f>IF(O53="",0,IF(O53=N53,100,0))</f>
        <v/>
      </c>
      <c r="D111" s="12">
        <f>IF(O54="",0,IF(O54=N54,100,0))</f>
        <v/>
      </c>
      <c r="E111" s="12">
        <f>IF(O55="",0,IF(O55=N55,100,0))</f>
        <v/>
      </c>
      <c r="F111" s="12">
        <f>IF(O56="",0,IF(O56=N56,100,0))</f>
        <v/>
      </c>
      <c r="G111" s="12">
        <f>IF(O61="",0,IF(O61=N61,100,0))</f>
        <v/>
      </c>
      <c r="H111" s="12">
        <f>((((--(R57="LD"))-(--(S57="LD")))+((--(R58="LD"))-(--(S58="LD")))+((--(R59="LD"))-(--(S59="LD"))))+3)/6*100</f>
        <v/>
      </c>
      <c r="I111" s="12">
        <f>((((--(R57="CM"))-(--(S57="CM")))+((--(R58="CM"))-(--(S58="CM")))+((--(R59="CM"))-(--(S59="CM"))))+3)/6*100</f>
        <v/>
      </c>
      <c r="J111" s="12">
        <f>((((--(R57="ES"))-(--(S57="ES")))+((--(R58="ES"))-(--(S58="ES")))+((--(R59="ES"))-(--(S59="ES"))))+3)/6*100</f>
        <v/>
      </c>
      <c r="K111" s="12">
        <f>INDEX({"Problem Solving";"Critical Thinking";"Decision Making";"Mental Math";"Cognitive Academia";"Listening";"Leadership";"Communication";"Emotional &amp; Social"},MATCH(MAX(B111:J111),B111:J111,0))</f>
        <v/>
      </c>
    </row>
    <row r="112">
      <c r="A112" s="11" t="n">
        <v>7</v>
      </c>
      <c r="B112" s="12">
        <f>IF(O62="",0,IF(O62=N62,100,0))</f>
        <v/>
      </c>
      <c r="C112" s="12">
        <f>IF(O63="",0,IF(O63=N63,100,0))</f>
        <v/>
      </c>
      <c r="D112" s="12">
        <f>IF(O64="",0,IF(O64=N64,100,0))</f>
        <v/>
      </c>
      <c r="E112" s="12">
        <f>IF(O65="",0,IF(O65=N65,100,0))</f>
        <v/>
      </c>
      <c r="F112" s="12">
        <f>IF(O66="",0,IF(O66=N66,100,0))</f>
        <v/>
      </c>
      <c r="G112" s="12">
        <f>IF(O71="",0,IF(O71=N71,100,0))</f>
        <v/>
      </c>
      <c r="H112" s="12">
        <f>((((--(R67="LD"))-(--(S67="LD")))+((--(R68="LD"))-(--(S68="LD")))+((--(R69="LD"))-(--(S69="LD"))))+3)/6*100</f>
        <v/>
      </c>
      <c r="I112" s="12">
        <f>((((--(R67="CM"))-(--(S67="CM")))+((--(R68="CM"))-(--(S68="CM")))+((--(R69="CM"))-(--(S69="CM"))))+3)/6*100</f>
        <v/>
      </c>
      <c r="J112" s="12">
        <f>((((--(R67="ES"))-(--(S67="ES")))+((--(R68="ES"))-(--(S68="ES")))+((--(R69="ES"))-(--(S69="ES"))))+3)/6*100</f>
        <v/>
      </c>
      <c r="K112" s="12">
        <f>INDEX({"Problem Solving";"Critical Thinking";"Decision Making";"Mental Math";"Cognitive Academia";"Listening";"Leadership";"Communication";"Emotional &amp; Social"},MATCH(MAX(B112:J112),B112:J112,0))</f>
        <v/>
      </c>
    </row>
    <row r="113">
      <c r="A113" s="11" t="n">
        <v>8</v>
      </c>
      <c r="B113" s="12">
        <f>IF(O72="",0,IF(O72=N72,100,0))</f>
        <v/>
      </c>
      <c r="C113" s="12">
        <f>IF(O73="",0,IF(O73=N73,100,0))</f>
        <v/>
      </c>
      <c r="D113" s="12">
        <f>IF(O74="",0,IF(O74=N74,100,0))</f>
        <v/>
      </c>
      <c r="E113" s="12">
        <f>IF(O75="",0,IF(O75=N75,100,0))</f>
        <v/>
      </c>
      <c r="F113" s="12">
        <f>IF(O76="",0,IF(O76=N76,100,0))</f>
        <v/>
      </c>
      <c r="G113" s="12">
        <f>IF(O81="",0,IF(O81=N81,100,0))</f>
        <v/>
      </c>
      <c r="H113" s="12">
        <f>((((--(R77="LD"))-(--(S77="LD")))+((--(R78="LD"))-(--(S78="LD")))+((--(R79="LD"))-(--(S79="LD"))))+3)/6*100</f>
        <v/>
      </c>
      <c r="I113" s="12">
        <f>((((--(R77="CM"))-(--(S77="CM")))+((--(R78="CM"))-(--(S78="CM")))+((--(R79="CM"))-(--(S79="CM"))))+3)/6*100</f>
        <v/>
      </c>
      <c r="J113" s="12">
        <f>((((--(R77="ES"))-(--(S77="ES")))+((--(R78="ES"))-(--(S78="ES")))+((--(R79="ES"))-(--(S79="ES"))))+3)/6*100</f>
        <v/>
      </c>
      <c r="K113" s="12">
        <f>INDEX({"Problem Solving";"Critical Thinking";"Decision Making";"Mental Math";"Cognitive Academia";"Listening";"Leadership";"Communication";"Emotional &amp; Social"},MATCH(MAX(B113:J113),B113:J113,0))</f>
        <v/>
      </c>
    </row>
    <row r="114">
      <c r="A114" s="11" t="n">
        <v>9</v>
      </c>
      <c r="B114" s="12">
        <f>IF(O82="",0,IF(O82=N82,100,0))</f>
        <v/>
      </c>
      <c r="C114" s="12">
        <f>IF(O83="",0,IF(O83=N83,100,0))</f>
        <v/>
      </c>
      <c r="D114" s="12">
        <f>IF(O84="",0,IF(O84=N84,100,0))</f>
        <v/>
      </c>
      <c r="E114" s="12">
        <f>IF(O85="",0,IF(O85=N85,100,0))</f>
        <v/>
      </c>
      <c r="F114" s="12">
        <f>IF(O86="",0,IF(O86=N86,100,0))</f>
        <v/>
      </c>
      <c r="G114" s="12">
        <f>IF(O91="",0,IF(O91=N91,100,0))</f>
        <v/>
      </c>
      <c r="H114" s="12">
        <f>((((--(R87="LD"))-(--(S87="LD")))+((--(R88="LD"))-(--(S88="LD")))+((--(R89="LD"))-(--(S89="LD"))))+3)/6*100</f>
        <v/>
      </c>
      <c r="I114" s="12">
        <f>((((--(R87="CM"))-(--(S87="CM")))+((--(R88="CM"))-(--(S88="CM")))+((--(R89="CM"))-(--(S89="CM"))))+3)/6*100</f>
        <v/>
      </c>
      <c r="J114" s="12">
        <f>((((--(R87="ES"))-(--(S87="ES")))+((--(R88="ES"))-(--(S88="ES")))+((--(R89="ES"))-(--(S89="ES"))))+3)/6*100</f>
        <v/>
      </c>
      <c r="K114" s="12">
        <f>INDEX({"Problem Solving";"Critical Thinking";"Decision Making";"Mental Math";"Cognitive Academia";"Listening";"Leadership";"Communication";"Emotional &amp; Social"},MATCH(MAX(B114:J114),B114:J114,0))</f>
        <v/>
      </c>
    </row>
    <row r="115">
      <c r="A115" s="11" t="n">
        <v>10</v>
      </c>
      <c r="B115" s="12">
        <f>IF(O92="",0,IF(O92=N92,100,0))</f>
        <v/>
      </c>
      <c r="C115" s="12">
        <f>IF(O93="",0,IF(O93=N93,100,0))</f>
        <v/>
      </c>
      <c r="D115" s="12">
        <f>IF(O94="",0,IF(O94=N94,100,0))</f>
        <v/>
      </c>
      <c r="E115" s="12">
        <f>IF(O95="",0,IF(O95=N95,100,0))</f>
        <v/>
      </c>
      <c r="F115" s="12">
        <f>IF(O96="",0,IF(O96=N96,100,0))</f>
        <v/>
      </c>
      <c r="G115" s="12">
        <f>IF(O101="",0,IF(O101=N101,100,0))</f>
        <v/>
      </c>
      <c r="H115" s="12">
        <f>((((--(R97="LD"))-(--(S97="LD")))+((--(R98="LD"))-(--(S98="LD")))+((--(R99="LD"))-(--(S99="LD"))))+3)/6*100</f>
        <v/>
      </c>
      <c r="I115" s="12">
        <f>((((--(R97="CM"))-(--(S97="CM")))+((--(R98="CM"))-(--(S98="CM")))+((--(R99="CM"))-(--(S99="CM"))))+3)/6*100</f>
        <v/>
      </c>
      <c r="J115" s="12">
        <f>((((--(R97="ES"))-(--(S97="ES")))+((--(R98="ES"))-(--(S98="ES")))+((--(R99="ES"))-(--(S99="ES"))))+3)/6*100</f>
        <v/>
      </c>
      <c r="K115" s="12">
        <f>INDEX({"Problem Solving";"Critical Thinking";"Decision Making";"Mental Math";"Cognitive Academia";"Listening";"Leadership";"Communication";"Emotional &amp; Social"},MATCH(MAX(B115:J115),B115:J115,0))</f>
        <v/>
      </c>
    </row>
  </sheetData>
  <mergeCells count="1">
    <mergeCell ref="A104:K104"/>
  </mergeCells>
  <dataValidations count="1">
    <dataValidation sqref="O2 O3 O4 O5 O6 O11 O12 O13 O14 O15 O16 O21 O22 O23 O24 O25 O26 O31 O32 O33 O34 O35 O36 O41 O42 O43 O44 O45 O46 O51 O52 O53 O54 O55 O56 O61 O62 O63 O64 O65 O66 O71 O72 O73 O74 O75 O76 O81 O82 O83 O84 O85 O86 O91 O92 O93 O94 O95 O96 O101 P7 P8 P9 P17 P18 P19 P27 P28 P29 P37 P38 P39 P47 P48 P49 P57 P58 P59 P67 P68 P69 P77 P78 P79 P87 P88 P89 P97 P98 P99 Q7 Q8 Q9 Q17 Q18 Q19 Q27 Q28 Q29 Q37 Q38 Q39 Q47 Q48 Q49 Q57 Q58 Q59 Q67 Q68 Q69 Q77 Q78 Q79 Q87 Q88 Q89 Q97 Q98 Q99" showDropDown="0" showInputMessage="0" showErrorMessage="0" allowBlank="1" type="list">
      <formula1>"A,B,C,D"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15"/>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4" customWidth="1" min="2" max="2"/>
    <col width="16" customWidth="1" min="3" max="3"/>
    <col width="20" customWidth="1" min="4" max="4"/>
    <col width="44" customWidth="1" min="5" max="5"/>
    <col width="26" customWidth="1" min="6" max="6"/>
    <col width="26" customWidth="1" min="7" max="7"/>
    <col width="26" customWidth="1" min="8" max="8"/>
    <col width="26" customWidth="1" min="9" max="9"/>
    <col width="9" customWidth="1" min="10" max="10"/>
    <col width="9" customWidth="1" min="11" max="11"/>
    <col width="9" customWidth="1" min="12" max="12"/>
    <col width="9" customWidth="1" min="13" max="13"/>
    <col width="9" customWidth="1" min="14" max="14"/>
    <col width="11" customWidth="1" min="15" max="15"/>
    <col width="9" customWidth="1" min="16" max="16"/>
    <col width="9" customWidth="1" min="17" max="17"/>
    <col width="11" customWidth="1" min="18" max="18"/>
    <col width="11" customWidth="1" min="19" max="19"/>
    <col width="9" customWidth="1" min="20" max="20"/>
    <col width="34" customWidth="1" min="21" max="21"/>
  </cols>
  <sheetData>
    <row r="1">
      <c r="A1" s="4" t="inlineStr">
        <is>
          <t>Set</t>
        </is>
      </c>
      <c r="B1" s="4" t="inlineStr">
        <is>
          <t>Q</t>
        </is>
      </c>
      <c r="C1" s="4" t="inlineStr">
        <is>
          <t>Domain</t>
        </is>
      </c>
      <c r="D1" s="4" t="inlineStr">
        <is>
          <t>Type</t>
        </is>
      </c>
      <c r="E1" s="4" t="inlineStr">
        <is>
          <t>Prompt / Situation</t>
        </is>
      </c>
      <c r="F1" s="4" t="inlineStr">
        <is>
          <t>Option A</t>
        </is>
      </c>
      <c r="G1" s="4" t="inlineStr">
        <is>
          <t>Option B</t>
        </is>
      </c>
      <c r="H1" s="4" t="inlineStr">
        <is>
          <t>Option C</t>
        </is>
      </c>
      <c r="I1" s="4" t="inlineStr">
        <is>
          <t>Option D</t>
        </is>
      </c>
      <c r="J1" s="4" t="inlineStr">
        <is>
          <t>Domain A</t>
        </is>
      </c>
      <c r="K1" s="4" t="inlineStr">
        <is>
          <t>Domain B</t>
        </is>
      </c>
      <c r="L1" s="4" t="inlineStr">
        <is>
          <t>Domain C</t>
        </is>
      </c>
      <c r="M1" s="4" t="inlineStr">
        <is>
          <t>Domain D</t>
        </is>
      </c>
      <c r="N1" s="4" t="inlineStr">
        <is>
          <t>Correct answer</t>
        </is>
      </c>
      <c r="O1" s="4" t="inlineStr">
        <is>
          <t>Your answer (scored items)</t>
        </is>
      </c>
      <c r="P1" s="4" t="inlineStr">
        <is>
          <t>Most (self-report)</t>
        </is>
      </c>
      <c r="Q1" s="4" t="inlineStr">
        <is>
          <t>Least (self-report)</t>
        </is>
      </c>
      <c r="R1" s="4" t="inlineStr">
        <is>
          <t>Most domain</t>
        </is>
      </c>
      <c r="S1" s="4" t="inlineStr">
        <is>
          <t>Least domain</t>
        </is>
      </c>
      <c r="T1" s="4" t="inlineStr">
        <is>
          <t>Correct? (0/1)</t>
        </is>
      </c>
      <c r="U1" s="4" t="inlineStr">
        <is>
          <t>Open response (creative — not auto-scored)</t>
        </is>
      </c>
    </row>
    <row r="2">
      <c r="A2" s="5" t="n">
        <v>1</v>
      </c>
      <c r="B2" s="5" t="n">
        <v>1</v>
      </c>
      <c r="C2" s="5" t="inlineStr">
        <is>
          <t>Problem Solving</t>
        </is>
      </c>
      <c r="D2" s="5" t="inlineStr">
        <is>
          <t>Scored</t>
        </is>
      </c>
      <c r="E2" s="6" t="inlineStr">
        <is>
          <t>Three directors — Ben, Chen, Ishaan — are speaking at the town hall in sequence. Ishaan is not in the middle. Chen is not first. Chen is not last. Ben is not last. Who is last?</t>
        </is>
      </c>
      <c r="F2" s="6" t="inlineStr">
        <is>
          <t>Cannot be determined</t>
        </is>
      </c>
      <c r="G2" s="6" t="inlineStr">
        <is>
          <t>Ishaan</t>
        </is>
      </c>
      <c r="H2" s="6" t="inlineStr">
        <is>
          <t>Ben</t>
        </is>
      </c>
      <c r="I2" s="6" t="inlineStr">
        <is>
          <t>Chen</t>
        </is>
      </c>
      <c r="J2" s="5" t="n"/>
      <c r="K2" s="5" t="n"/>
      <c r="L2" s="5" t="n"/>
      <c r="M2" s="5" t="n"/>
      <c r="N2" s="5" t="inlineStr">
        <is>
          <t>B</t>
        </is>
      </c>
      <c r="O2" s="5" t="n"/>
      <c r="P2" s="5" t="n"/>
      <c r="Q2" s="5" t="n"/>
      <c r="R2" s="5" t="n"/>
      <c r="S2" s="5" t="n"/>
      <c r="T2" s="5">
        <f>IF(O2="","",IF(O2=N2,1,0))</f>
        <v/>
      </c>
      <c r="U2" s="6" t="n"/>
    </row>
    <row r="3">
      <c r="A3" s="5" t="n">
        <v>1</v>
      </c>
      <c r="B3" s="5" t="n">
        <v>2</v>
      </c>
      <c r="C3" s="5" t="inlineStr">
        <is>
          <t>Critical Thinking</t>
        </is>
      </c>
      <c r="D3" s="5" t="inlineStr">
        <is>
          <t>Scored</t>
        </is>
      </c>
      <c r="E3" s="6" t="inlineStr">
        <is>
          <t>An internal report notes that departments with more offsites have higher retention, and concludes offsites cause retention. What's the actual flaw in this reasoning?</t>
        </is>
      </c>
      <c r="F3" s="6" t="inlineStr">
        <is>
          <t>No department has held an offsite</t>
        </is>
      </c>
      <c r="G3" s="6" t="inlineStr">
        <is>
          <t>Offsites are proven to reduce retention</t>
        </is>
      </c>
      <c r="H3" s="6" t="inlineStr">
        <is>
          <t>Retention cannot be influenced by culture</t>
        </is>
      </c>
      <c r="I3" s="6" t="inlineStr">
        <is>
          <t>It overlooks other factors, like leadership quality, that could explain both</t>
        </is>
      </c>
      <c r="J3" s="5" t="n"/>
      <c r="K3" s="5" t="n"/>
      <c r="L3" s="5" t="n"/>
      <c r="M3" s="5" t="n"/>
      <c r="N3" s="5" t="inlineStr">
        <is>
          <t>D</t>
        </is>
      </c>
      <c r="O3" s="5" t="n"/>
      <c r="P3" s="5" t="n"/>
      <c r="Q3" s="5" t="n"/>
      <c r="R3" s="5" t="n"/>
      <c r="S3" s="5" t="n"/>
      <c r="T3" s="5">
        <f>IF(O3="","",IF(O3=N3,1,0))</f>
        <v/>
      </c>
      <c r="U3" s="6" t="n"/>
    </row>
    <row r="4">
      <c r="A4" s="5" t="n">
        <v>1</v>
      </c>
      <c r="B4" s="5" t="n">
        <v>3</v>
      </c>
      <c r="C4" s="5" t="inlineStr">
        <is>
          <t>Decision Making</t>
        </is>
      </c>
      <c r="D4" s="5" t="inlineStr">
        <is>
          <t>Scored</t>
        </is>
      </c>
      <c r="E4" s="6" t="inlineStr">
        <is>
          <t>You only have time for ONE of these right now. Which gives the best value for the effort it takes?</t>
        </is>
      </c>
      <c r="F4" s="6" t="inlineStr">
        <is>
          <t>submit the board presentation (effort 6, value 7)</t>
        </is>
      </c>
      <c r="G4" s="6" t="inlineStr">
        <is>
          <t>They are all equally good choices</t>
        </is>
      </c>
      <c r="H4" s="6" t="inlineStr">
        <is>
          <t>finalize the budget proposal (effort 5, value 17)</t>
        </is>
      </c>
      <c r="I4" s="6" t="inlineStr">
        <is>
          <t>complete the compliance review (effort 2, value 4)</t>
        </is>
      </c>
      <c r="J4" s="5" t="n"/>
      <c r="K4" s="5" t="n"/>
      <c r="L4" s="5" t="n"/>
      <c r="M4" s="5" t="n"/>
      <c r="N4" s="5" t="inlineStr">
        <is>
          <t>C</t>
        </is>
      </c>
      <c r="O4" s="5" t="n"/>
      <c r="P4" s="5" t="n"/>
      <c r="Q4" s="5" t="n"/>
      <c r="R4" s="5" t="n"/>
      <c r="S4" s="5" t="n"/>
      <c r="T4" s="5">
        <f>IF(O4="","",IF(O4=N4,1,0))</f>
        <v/>
      </c>
      <c r="U4" s="6" t="n"/>
    </row>
    <row r="5">
      <c r="A5" s="5" t="n">
        <v>1</v>
      </c>
      <c r="B5" s="5" t="n">
        <v>4</v>
      </c>
      <c r="C5" s="5" t="inlineStr">
        <is>
          <t>Mental Math</t>
        </is>
      </c>
      <c r="D5" s="5" t="inlineStr">
        <is>
          <t>Scored</t>
        </is>
      </c>
      <c r="E5" s="6" t="inlineStr">
        <is>
          <t>I'm thinking of a number. If you triple it, then double it, then triple it, you get 1098. What's my number?</t>
        </is>
      </c>
      <c r="F5" s="6" t="inlineStr">
        <is>
          <t>60</t>
        </is>
      </c>
      <c r="G5" s="6" t="inlineStr">
        <is>
          <t>62</t>
        </is>
      </c>
      <c r="H5" s="6" t="inlineStr">
        <is>
          <t>61</t>
        </is>
      </c>
      <c r="I5" s="6" t="inlineStr">
        <is>
          <t>63</t>
        </is>
      </c>
      <c r="J5" s="5" t="n"/>
      <c r="K5" s="5" t="n"/>
      <c r="L5" s="5" t="n"/>
      <c r="M5" s="5" t="n"/>
      <c r="N5" s="5" t="inlineStr">
        <is>
          <t>C</t>
        </is>
      </c>
      <c r="O5" s="5" t="n"/>
      <c r="P5" s="5" t="n"/>
      <c r="Q5" s="5" t="n"/>
      <c r="R5" s="5" t="n"/>
      <c r="S5" s="5" t="n"/>
      <c r="T5" s="5">
        <f>IF(O5="","",IF(O5=N5,1,0))</f>
        <v/>
      </c>
      <c r="U5" s="6" t="n"/>
    </row>
    <row r="6">
      <c r="A6" s="5" t="n">
        <v>1</v>
      </c>
      <c r="B6" s="5" t="n">
        <v>5</v>
      </c>
      <c r="C6" s="5" t="inlineStr">
        <is>
          <t>Cognitive Academia</t>
        </is>
      </c>
      <c r="D6" s="5" t="inlineStr">
        <is>
          <t>Scored</t>
        </is>
      </c>
      <c r="E6" s="6" t="inlineStr">
        <is>
          <t>What comes next in this pattern: 1, 3, 6, 10, ?</t>
        </is>
      </c>
      <c r="F6" s="6" t="inlineStr">
        <is>
          <t>16</t>
        </is>
      </c>
      <c r="G6" s="6" t="inlineStr">
        <is>
          <t>12</t>
        </is>
      </c>
      <c r="H6" s="6" t="inlineStr">
        <is>
          <t>15</t>
        </is>
      </c>
      <c r="I6" s="6" t="inlineStr">
        <is>
          <t>18</t>
        </is>
      </c>
      <c r="J6" s="5" t="n"/>
      <c r="K6" s="5" t="n"/>
      <c r="L6" s="5" t="n"/>
      <c r="M6" s="5" t="n"/>
      <c r="N6" s="5" t="inlineStr">
        <is>
          <t>C</t>
        </is>
      </c>
      <c r="O6" s="5" t="n"/>
      <c r="P6" s="5" t="n"/>
      <c r="Q6" s="5" t="n"/>
      <c r="R6" s="5" t="n"/>
      <c r="S6" s="5" t="n"/>
      <c r="T6" s="5">
        <f>IF(O6="","",IF(O6=N6,1,0))</f>
        <v/>
      </c>
      <c r="U6" s="6" t="n"/>
    </row>
    <row r="7">
      <c r="A7" s="5" t="n">
        <v>1</v>
      </c>
      <c r="B7" s="5" t="n">
        <v>6</v>
      </c>
      <c r="C7" s="5" t="inlineStr">
        <is>
          <t>Leadership / Communication / Emotional &amp; Social</t>
        </is>
      </c>
      <c r="D7" s="5" t="inlineStr">
        <is>
          <t>Self-report (most/least)</t>
        </is>
      </c>
      <c r="E7" s="6" t="inlineStr">
        <is>
          <t>A high-performing member of your team has gone quiet for two weeks right before a major deliverable.</t>
        </is>
      </c>
      <c r="F7" s="6" t="inlineStr">
        <is>
          <t>You enjoy being chosen to head a major initiative</t>
        </is>
      </c>
      <c r="G7" s="6" t="inlineStr">
        <is>
          <t>You make sure your point comes across persuasively to leadership</t>
        </is>
      </c>
      <c r="H7" s="6" t="inlineStr">
        <is>
          <t>You can sense how a colleague feels without them saying it</t>
        </is>
      </c>
      <c r="I7" s="6" t="inlineStr">
        <is>
          <t>None of these feel like you in this moment</t>
        </is>
      </c>
      <c r="J7" s="5" t="inlineStr">
        <is>
          <t>LD</t>
        </is>
      </c>
      <c r="K7" s="5" t="inlineStr">
        <is>
          <t>CM</t>
        </is>
      </c>
      <c r="L7" s="5" t="inlineStr">
        <is>
          <t>ES</t>
        </is>
      </c>
      <c r="M7" s="5" t="inlineStr"/>
      <c r="N7" s="5" t="n"/>
      <c r="O7" s="5" t="n"/>
      <c r="P7" s="5" t="n"/>
      <c r="Q7" s="5" t="n"/>
      <c r="R7" s="5">
        <f>IFERROR(INDEX(J7:M7,MATCH(P7,{"A","B","C","D"},0)),"")</f>
        <v/>
      </c>
      <c r="S7" s="5">
        <f>IFERROR(INDEX(J7:M7,MATCH(Q7,{"A","B","C","D"},0)),"")</f>
        <v/>
      </c>
      <c r="T7" s="5" t="n"/>
      <c r="U7" s="6" t="n"/>
    </row>
    <row r="8">
      <c r="A8" s="5" t="n">
        <v>1</v>
      </c>
      <c r="B8" s="5" t="n">
        <v>7</v>
      </c>
      <c r="C8" s="5" t="inlineStr">
        <is>
          <t>Leadership / Communication / Emotional &amp; Social</t>
        </is>
      </c>
      <c r="D8" s="5" t="inlineStr">
        <is>
          <t>Self-report (most/least)</t>
        </is>
      </c>
      <c r="E8" s="6" t="inlineStr">
        <is>
          <t>You're mid-presentation to the board and realize a key figure on your slide is wrong.</t>
        </is>
      </c>
      <c r="F8" s="6" t="inlineStr">
        <is>
          <t>You're comfortable representing your organization in new settings</t>
        </is>
      </c>
      <c r="G8" s="6" t="inlineStr">
        <is>
          <t>You'd need more time before reacting at all</t>
        </is>
      </c>
      <c r="H8" s="6" t="inlineStr">
        <is>
          <t>You like setting clear strategic goals for your team</t>
        </is>
      </c>
      <c r="I8" s="6" t="inlineStr">
        <is>
          <t>You find the right words to explain something complex to a broad audience</t>
        </is>
      </c>
      <c r="J8" s="5" t="inlineStr">
        <is>
          <t>ES</t>
        </is>
      </c>
      <c r="K8" s="5" t="inlineStr"/>
      <c r="L8" s="5" t="inlineStr">
        <is>
          <t>LD</t>
        </is>
      </c>
      <c r="M8" s="5" t="inlineStr">
        <is>
          <t>CM</t>
        </is>
      </c>
      <c r="N8" s="5" t="n"/>
      <c r="O8" s="5" t="n"/>
      <c r="P8" s="5" t="n"/>
      <c r="Q8" s="5" t="n"/>
      <c r="R8" s="5">
        <f>IFERROR(INDEX(J8:M8,MATCH(P8,{"A","B","C","D"},0)),"")</f>
        <v/>
      </c>
      <c r="S8" s="5">
        <f>IFERROR(INDEX(J8:M8,MATCH(Q8,{"A","B","C","D"},0)),"")</f>
        <v/>
      </c>
      <c r="T8" s="5" t="n"/>
      <c r="U8" s="6" t="n"/>
    </row>
    <row r="9">
      <c r="A9" s="5" t="n">
        <v>1</v>
      </c>
      <c r="B9" s="5" t="n">
        <v>8</v>
      </c>
      <c r="C9" s="5" t="inlineStr">
        <is>
          <t>Leadership / Communication / Emotional &amp; Social</t>
        </is>
      </c>
      <c r="D9" s="5" t="inlineStr">
        <is>
          <t>Self-report (most/least)</t>
        </is>
      </c>
      <c r="E9" s="6" t="inlineStr">
        <is>
          <t>A newly promoted manager on your team is clearly overwhelmed and hasn't asked for help.</t>
        </is>
      </c>
      <c r="F9" s="6" t="inlineStr">
        <is>
          <t>You stay composed even under significant pressure</t>
        </is>
      </c>
      <c r="G9" s="6" t="inlineStr">
        <is>
          <t>You'd rather wait and see what others do first</t>
        </is>
      </c>
      <c r="H9" s="6" t="inlineStr">
        <is>
          <t>You enjoy leading through major organizational change</t>
        </is>
      </c>
      <c r="I9" s="6" t="inlineStr">
        <is>
          <t>You check that your audience understood your point</t>
        </is>
      </c>
      <c r="J9" s="5" t="inlineStr">
        <is>
          <t>ES</t>
        </is>
      </c>
      <c r="K9" s="5" t="inlineStr"/>
      <c r="L9" s="5" t="inlineStr">
        <is>
          <t>LD</t>
        </is>
      </c>
      <c r="M9" s="5" t="inlineStr">
        <is>
          <t>CM</t>
        </is>
      </c>
      <c r="N9" s="5" t="n"/>
      <c r="O9" s="5" t="n"/>
      <c r="P9" s="5" t="n"/>
      <c r="Q9" s="5" t="n"/>
      <c r="R9" s="5">
        <f>IFERROR(INDEX(J9:M9,MATCH(P9,{"A","B","C","D"},0)),"")</f>
        <v/>
      </c>
      <c r="S9" s="5">
        <f>IFERROR(INDEX(J9:M9,MATCH(Q9,{"A","B","C","D"},0)),"")</f>
        <v/>
      </c>
      <c r="T9" s="5" t="n"/>
      <c r="U9" s="6" t="n"/>
    </row>
    <row r="10">
      <c r="A10" s="5" t="n">
        <v>1</v>
      </c>
      <c r="B10" s="5" t="n">
        <v>9</v>
      </c>
      <c r="C10" s="5" t="inlineStr">
        <is>
          <t>Creative Skills</t>
        </is>
      </c>
      <c r="D10" s="5" t="inlineStr">
        <is>
          <t>Open-ended (not auto-scored)</t>
        </is>
      </c>
      <c r="E10" s="6" t="inlineStr">
        <is>
          <t>Propose one unconventional idea to improve collaboration across departments in your organisation. Describe it briefly.</t>
        </is>
      </c>
      <c r="F10" s="6" t="n"/>
      <c r="G10" s="6" t="n"/>
      <c r="H10" s="6" t="n"/>
      <c r="I10" s="6" t="n"/>
      <c r="J10" s="5" t="n"/>
      <c r="K10" s="5" t="n"/>
      <c r="L10" s="5" t="n"/>
      <c r="M10" s="5" t="n"/>
      <c r="N10" s="5" t="n"/>
      <c r="O10" s="5" t="n"/>
      <c r="P10" s="5" t="n"/>
      <c r="Q10" s="5" t="n"/>
      <c r="R10" s="5" t="n"/>
      <c r="S10" s="5" t="n"/>
      <c r="T10" s="5" t="n"/>
      <c r="U10" s="6" t="n"/>
    </row>
    <row r="11">
      <c r="A11" s="5" t="n">
        <v>1</v>
      </c>
      <c r="B11" s="5" t="n">
        <v>10</v>
      </c>
      <c r="C11" s="5" t="inlineStr">
        <is>
          <t>Listening Skills</t>
        </is>
      </c>
      <c r="D11" s="5" t="inlineStr">
        <is>
          <t>Scored</t>
        </is>
      </c>
      <c r="E11" s="6" t="inlineStr">
        <is>
          <t>[Read once, then answer without re-reading] “Before the board presentation, the CFO reviewed the quarterly numbers, flagged two risk areas, and finally rehearsed the closing summary.”  ||  What happened right after the first thing mentioned?</t>
        </is>
      </c>
      <c r="F11" s="6" t="inlineStr">
        <is>
          <t>reviewed the quarterly numbers</t>
        </is>
      </c>
      <c r="G11" s="6" t="inlineStr">
        <is>
          <t>signed the merger agreement</t>
        </is>
      </c>
      <c r="H11" s="6" t="inlineStr">
        <is>
          <t>flagged two risk areas</t>
        </is>
      </c>
      <c r="I11" s="6" t="inlineStr">
        <is>
          <t>rehearsed the closing summary</t>
        </is>
      </c>
      <c r="J11" s="5" t="n"/>
      <c r="K11" s="5" t="n"/>
      <c r="L11" s="5" t="n"/>
      <c r="M11" s="5" t="n"/>
      <c r="N11" s="5" t="inlineStr">
        <is>
          <t>C</t>
        </is>
      </c>
      <c r="O11" s="5" t="n"/>
      <c r="P11" s="5" t="n"/>
      <c r="Q11" s="5" t="n"/>
      <c r="R11" s="5" t="n"/>
      <c r="S11" s="5" t="n"/>
      <c r="T11" s="5">
        <f>IF(O11="","",IF(O11=N11,1,0))</f>
        <v/>
      </c>
      <c r="U11" s="6" t="n"/>
    </row>
    <row r="12">
      <c r="A12" s="7" t="n">
        <v>2</v>
      </c>
      <c r="B12" s="7" t="n">
        <v>1</v>
      </c>
      <c r="C12" s="7" t="inlineStr">
        <is>
          <t>Problem Solving</t>
        </is>
      </c>
      <c r="D12" s="7" t="inlineStr">
        <is>
          <t>Scored</t>
        </is>
      </c>
      <c r="E12" s="8" t="inlineStr">
        <is>
          <t>Three directors — Gopal, Tariq, Ishaan — are speaking at the town hall in sequence. Tariq is not first. Ishaan is not first. Tariq is not in the middle. Who is last?</t>
        </is>
      </c>
      <c r="F12" s="8" t="inlineStr">
        <is>
          <t>Gopal</t>
        </is>
      </c>
      <c r="G12" s="8" t="inlineStr">
        <is>
          <t>Ishaan</t>
        </is>
      </c>
      <c r="H12" s="8" t="inlineStr">
        <is>
          <t>Tariq</t>
        </is>
      </c>
      <c r="I12" s="8" t="inlineStr">
        <is>
          <t>Cannot be determined</t>
        </is>
      </c>
      <c r="J12" s="7" t="n"/>
      <c r="K12" s="7" t="n"/>
      <c r="L12" s="7" t="n"/>
      <c r="M12" s="7" t="n"/>
      <c r="N12" s="7" t="inlineStr">
        <is>
          <t>C</t>
        </is>
      </c>
      <c r="O12" s="7" t="n"/>
      <c r="P12" s="7" t="n"/>
      <c r="Q12" s="7" t="n"/>
      <c r="R12" s="7" t="n"/>
      <c r="S12" s="7" t="n"/>
      <c r="T12" s="7">
        <f>IF(O12="","",IF(O12=N12,1,0))</f>
        <v/>
      </c>
      <c r="U12" s="8" t="n"/>
    </row>
    <row r="13">
      <c r="A13" s="7" t="n">
        <v>2</v>
      </c>
      <c r="B13" s="7" t="n">
        <v>2</v>
      </c>
      <c r="C13" s="7" t="inlineStr">
        <is>
          <t>Critical Thinking</t>
        </is>
      </c>
      <c r="D13" s="7" t="inlineStr">
        <is>
          <t>Scored</t>
        </is>
      </c>
      <c r="E13" s="8" t="inlineStr">
        <is>
          <t>After two hires from one university underperformed, a director says: 'That university's graduates are all weak.' What's the actual flaw in this reasoning?</t>
        </is>
      </c>
      <c r="F13" s="8" t="inlineStr">
        <is>
          <t>The conclusion generalizes from too small a sample to an entire institution</t>
        </is>
      </c>
      <c r="G13" s="8" t="inlineStr">
        <is>
          <t>Two hires prove a certainty</t>
        </is>
      </c>
      <c r="H13" s="8" t="inlineStr">
        <is>
          <t>Underperformance is always about education</t>
        </is>
      </c>
      <c r="I13" s="8" t="inlineStr">
        <is>
          <t>Every graduate from that university has been evaluated</t>
        </is>
      </c>
      <c r="J13" s="7" t="n"/>
      <c r="K13" s="7" t="n"/>
      <c r="L13" s="7" t="n"/>
      <c r="M13" s="7" t="n"/>
      <c r="N13" s="7" t="inlineStr">
        <is>
          <t>A</t>
        </is>
      </c>
      <c r="O13" s="7" t="n"/>
      <c r="P13" s="7" t="n"/>
      <c r="Q13" s="7" t="n"/>
      <c r="R13" s="7" t="n"/>
      <c r="S13" s="7" t="n"/>
      <c r="T13" s="7">
        <f>IF(O13="","",IF(O13=N13,1,0))</f>
        <v/>
      </c>
      <c r="U13" s="8" t="n"/>
    </row>
    <row r="14">
      <c r="A14" s="7" t="n">
        <v>2</v>
      </c>
      <c r="B14" s="7" t="n">
        <v>3</v>
      </c>
      <c r="C14" s="7" t="inlineStr">
        <is>
          <t>Decision Making</t>
        </is>
      </c>
      <c r="D14" s="7" t="inlineStr">
        <is>
          <t>Scored</t>
        </is>
      </c>
      <c r="E14" s="8" t="inlineStr">
        <is>
          <t>You have 35 minutes. finalize the budget proposal takes 13 minutes, approve the vendor contract takes 22 minutes, and submit the board presentation takes 32 minutes. You must skip exactly one of them to fit the other two into your 35 minutes. Which should you skip?</t>
        </is>
      </c>
      <c r="F14" s="8" t="inlineStr">
        <is>
          <t>finalize the budget proposal</t>
        </is>
      </c>
      <c r="G14" s="8" t="inlineStr">
        <is>
          <t>submit the board presentation</t>
        </is>
      </c>
      <c r="H14" s="8" t="inlineStr">
        <is>
          <t>It's impossible to fit any two</t>
        </is>
      </c>
      <c r="I14" s="8" t="inlineStr">
        <is>
          <t>approve the vendor contract</t>
        </is>
      </c>
      <c r="J14" s="7" t="n"/>
      <c r="K14" s="7" t="n"/>
      <c r="L14" s="7" t="n"/>
      <c r="M14" s="7" t="n"/>
      <c r="N14" s="7" t="inlineStr">
        <is>
          <t>B</t>
        </is>
      </c>
      <c r="O14" s="7" t="n"/>
      <c r="P14" s="7" t="n"/>
      <c r="Q14" s="7" t="n"/>
      <c r="R14" s="7" t="n"/>
      <c r="S14" s="7" t="n"/>
      <c r="T14" s="7">
        <f>IF(O14="","",IF(O14=N14,1,0))</f>
        <v/>
      </c>
      <c r="U14" s="8" t="n"/>
    </row>
    <row r="15">
      <c r="A15" s="7" t="n">
        <v>2</v>
      </c>
      <c r="B15" s="7" t="n">
        <v>4</v>
      </c>
      <c r="C15" s="7" t="inlineStr">
        <is>
          <t>Mental Math</t>
        </is>
      </c>
      <c r="D15" s="7" t="inlineStr">
        <is>
          <t>Scored</t>
        </is>
      </c>
      <c r="E15" s="8" t="inlineStr">
        <is>
          <t>After spending 74 and later receiving 34 as a gift, Lena has 82. How much did Lena start with?</t>
        </is>
      </c>
      <c r="F15" s="8" t="inlineStr">
        <is>
          <t>196</t>
        </is>
      </c>
      <c r="G15" s="8" t="inlineStr">
        <is>
          <t>88</t>
        </is>
      </c>
      <c r="H15" s="8" t="inlineStr">
        <is>
          <t>82</t>
        </is>
      </c>
      <c r="I15" s="8" t="inlineStr">
        <is>
          <t>122</t>
        </is>
      </c>
      <c r="J15" s="7" t="n"/>
      <c r="K15" s="7" t="n"/>
      <c r="L15" s="7" t="n"/>
      <c r="M15" s="7" t="n"/>
      <c r="N15" s="7" t="inlineStr">
        <is>
          <t>D</t>
        </is>
      </c>
      <c r="O15" s="7" t="n"/>
      <c r="P15" s="7" t="n"/>
      <c r="Q15" s="7" t="n"/>
      <c r="R15" s="7" t="n"/>
      <c r="S15" s="7" t="n"/>
      <c r="T15" s="7">
        <f>IF(O15="","",IF(O15=N15,1,0))</f>
        <v/>
      </c>
      <c r="U15" s="8" t="n"/>
    </row>
    <row r="16">
      <c r="A16" s="7" t="n">
        <v>2</v>
      </c>
      <c r="B16" s="7" t="n">
        <v>5</v>
      </c>
      <c r="C16" s="7" t="inlineStr">
        <is>
          <t>Cognitive Academia</t>
        </is>
      </c>
      <c r="D16" s="7" t="inlineStr">
        <is>
          <t>Scored</t>
        </is>
      </c>
      <c r="E16" s="8" t="inlineStr">
        <is>
          <t>What comes next in this pattern: 2, 7, 14, 19, 38, ?</t>
        </is>
      </c>
      <c r="F16" s="8" t="inlineStr">
        <is>
          <t>43</t>
        </is>
      </c>
      <c r="G16" s="8" t="inlineStr">
        <is>
          <t>40</t>
        </is>
      </c>
      <c r="H16" s="8" t="inlineStr">
        <is>
          <t>46</t>
        </is>
      </c>
      <c r="I16" s="8" t="inlineStr">
        <is>
          <t>33</t>
        </is>
      </c>
      <c r="J16" s="7" t="n"/>
      <c r="K16" s="7" t="n"/>
      <c r="L16" s="7" t="n"/>
      <c r="M16" s="7" t="n"/>
      <c r="N16" s="7" t="inlineStr">
        <is>
          <t>A</t>
        </is>
      </c>
      <c r="O16" s="7" t="n"/>
      <c r="P16" s="7" t="n"/>
      <c r="Q16" s="7" t="n"/>
      <c r="R16" s="7" t="n"/>
      <c r="S16" s="7" t="n"/>
      <c r="T16" s="7">
        <f>IF(O16="","",IF(O16=N16,1,0))</f>
        <v/>
      </c>
      <c r="U16" s="8" t="n"/>
    </row>
    <row r="17">
      <c r="A17" s="7" t="n">
        <v>2</v>
      </c>
      <c r="B17" s="7" t="n">
        <v>6</v>
      </c>
      <c r="C17" s="7" t="inlineStr">
        <is>
          <t>Leadership / Communication / Emotional &amp; Social</t>
        </is>
      </c>
      <c r="D17" s="7" t="inlineStr">
        <is>
          <t>Self-report (most/least)</t>
        </is>
      </c>
      <c r="E17" s="8" t="inlineStr">
        <is>
          <t>Your leadership team is split on a major strategic call two hours before the announcement.</t>
        </is>
      </c>
      <c r="F17" s="8" t="inlineStr">
        <is>
          <t>You notice when a member of your team is under pressure</t>
        </is>
      </c>
      <c r="G17" s="8" t="inlineStr">
        <is>
          <t>You naturally take charge when an initiative lacks direction</t>
        </is>
      </c>
      <c r="H17" s="8" t="inlineStr">
        <is>
          <t>You explain your reasoning clearly so stakeholders follow it</t>
        </is>
      </c>
      <c r="I17" s="8" t="inlineStr">
        <is>
          <t>You'd need more time before reacting at all</t>
        </is>
      </c>
      <c r="J17" s="7" t="inlineStr">
        <is>
          <t>ES</t>
        </is>
      </c>
      <c r="K17" s="7" t="inlineStr">
        <is>
          <t>LD</t>
        </is>
      </c>
      <c r="L17" s="7" t="inlineStr">
        <is>
          <t>CM</t>
        </is>
      </c>
      <c r="M17" s="7" t="inlineStr"/>
      <c r="N17" s="7" t="n"/>
      <c r="O17" s="7" t="n"/>
      <c r="P17" s="7" t="n"/>
      <c r="Q17" s="7" t="n"/>
      <c r="R17" s="7">
        <f>IFERROR(INDEX(J17:M17,MATCH(P17,{"A","B","C","D"},0)),"")</f>
        <v/>
      </c>
      <c r="S17" s="7">
        <f>IFERROR(INDEX(J17:M17,MATCH(Q17,{"A","B","C","D"},0)),"")</f>
        <v/>
      </c>
      <c r="T17" s="7" t="n"/>
      <c r="U17" s="8" t="n"/>
    </row>
    <row r="18">
      <c r="A18" s="7" t="n">
        <v>2</v>
      </c>
      <c r="B18" s="7" t="n">
        <v>7</v>
      </c>
      <c r="C18" s="7" t="inlineStr">
        <is>
          <t>Leadership / Communication / Emotional &amp; Social</t>
        </is>
      </c>
      <c r="D18" s="7" t="inlineStr">
        <is>
          <t>Self-report (most/least)</t>
        </is>
      </c>
      <c r="E18" s="8" t="inlineStr">
        <is>
          <t>You discover a material error in a report the night before it goes to the board.</t>
        </is>
      </c>
      <c r="F18" s="8" t="inlineStr">
        <is>
          <t>You'd rather wait and see what others do first</t>
        </is>
      </c>
      <c r="G18" s="8" t="inlineStr">
        <is>
          <t>You enjoy writing reports or giving board-level presentations</t>
        </is>
      </c>
      <c r="H18" s="8" t="inlineStr">
        <is>
          <t>You step up to lead when no one else volunteers</t>
        </is>
      </c>
      <c r="I18" s="8" t="inlineStr">
        <is>
          <t>You're good at helping a stressed team member feel supported</t>
        </is>
      </c>
      <c r="J18" s="7" t="inlineStr"/>
      <c r="K18" s="7" t="inlineStr">
        <is>
          <t>CM</t>
        </is>
      </c>
      <c r="L18" s="7" t="inlineStr">
        <is>
          <t>LD</t>
        </is>
      </c>
      <c r="M18" s="7" t="inlineStr">
        <is>
          <t>ES</t>
        </is>
      </c>
      <c r="N18" s="7" t="n"/>
      <c r="O18" s="7" t="n"/>
      <c r="P18" s="7" t="n"/>
      <c r="Q18" s="7" t="n"/>
      <c r="R18" s="7">
        <f>IFERROR(INDEX(J18:M18,MATCH(P18,{"A","B","C","D"},0)),"")</f>
        <v/>
      </c>
      <c r="S18" s="7">
        <f>IFERROR(INDEX(J18:M18,MATCH(Q18,{"A","B","C","D"},0)),"")</f>
        <v/>
      </c>
      <c r="T18" s="7" t="n"/>
      <c r="U18" s="8" t="n"/>
    </row>
    <row r="19">
      <c r="A19" s="7" t="n">
        <v>2</v>
      </c>
      <c r="B19" s="7" t="n">
        <v>8</v>
      </c>
      <c r="C19" s="7" t="inlineStr">
        <is>
          <t>Leadership / Communication / Emotional &amp; Social</t>
        </is>
      </c>
      <c r="D19" s="7" t="inlineStr">
        <is>
          <t>Self-report (most/least)</t>
        </is>
      </c>
      <c r="E19" s="8" t="inlineStr">
        <is>
          <t>A trusted colleague was just passed over for a role they were counting on, and it shows.</t>
        </is>
      </c>
      <c r="F19" s="8" t="inlineStr">
        <is>
          <t>You like presenting your ideas confidently in high-stakes meetings</t>
        </is>
      </c>
      <c r="G19" s="8" t="inlineStr">
        <is>
          <t>You take ownership when something goes wrong on your watch</t>
        </is>
      </c>
      <c r="H19" s="8" t="inlineStr">
        <is>
          <t>You'd step back and observe before choosing any of these</t>
        </is>
      </c>
      <c r="I19" s="8" t="inlineStr">
        <is>
          <t>You handle high-stakes disagreements without letting them escalate</t>
        </is>
      </c>
      <c r="J19" s="7" t="inlineStr">
        <is>
          <t>CM</t>
        </is>
      </c>
      <c r="K19" s="7" t="inlineStr">
        <is>
          <t>LD</t>
        </is>
      </c>
      <c r="L19" s="7" t="inlineStr"/>
      <c r="M19" s="7" t="inlineStr">
        <is>
          <t>ES</t>
        </is>
      </c>
      <c r="N19" s="7" t="n"/>
      <c r="O19" s="7" t="n"/>
      <c r="P19" s="7" t="n"/>
      <c r="Q19" s="7" t="n"/>
      <c r="R19" s="7">
        <f>IFERROR(INDEX(J19:M19,MATCH(P19,{"A","B","C","D"},0)),"")</f>
        <v/>
      </c>
      <c r="S19" s="7">
        <f>IFERROR(INDEX(J19:M19,MATCH(Q19,{"A","B","C","D"},0)),"")</f>
        <v/>
      </c>
      <c r="T19" s="7" t="n"/>
      <c r="U19" s="8" t="n"/>
    </row>
    <row r="20">
      <c r="A20" s="7" t="n">
        <v>2</v>
      </c>
      <c r="B20" s="7" t="n">
        <v>9</v>
      </c>
      <c r="C20" s="7" t="inlineStr">
        <is>
          <t>Creative Skills</t>
        </is>
      </c>
      <c r="D20" s="7" t="inlineStr">
        <is>
          <t>Open-ended (not auto-scored)</t>
        </is>
      </c>
      <c r="E20" s="8" t="inlineStr">
        <is>
          <t>Design a mentorship format that would work for a hybrid, time-zone-scattered team.</t>
        </is>
      </c>
      <c r="F20" s="8" t="n"/>
      <c r="G20" s="8" t="n"/>
      <c r="H20" s="8" t="n"/>
      <c r="I20" s="8" t="n"/>
      <c r="J20" s="7" t="n"/>
      <c r="K20" s="7" t="n"/>
      <c r="L20" s="7" t="n"/>
      <c r="M20" s="7" t="n"/>
      <c r="N20" s="7" t="n"/>
      <c r="O20" s="7" t="n"/>
      <c r="P20" s="7" t="n"/>
      <c r="Q20" s="7" t="n"/>
      <c r="R20" s="7" t="n"/>
      <c r="S20" s="7" t="n"/>
      <c r="T20" s="7" t="n"/>
      <c r="U20" s="8" t="n"/>
    </row>
    <row r="21">
      <c r="A21" s="7" t="n">
        <v>2</v>
      </c>
      <c r="B21" s="7" t="n">
        <v>10</v>
      </c>
      <c r="C21" s="7" t="inlineStr">
        <is>
          <t>Listening Skills</t>
        </is>
      </c>
      <c r="D21" s="7" t="inlineStr">
        <is>
          <t>Scored</t>
        </is>
      </c>
      <c r="E21" s="8" t="inlineStr">
        <is>
          <t>[Read once, then answer without re-reading] “Ahead of the town hall, the leadership team finalised the agenda, briefed the speakers, and then opened the floor for questions.”  ||  What happened first?</t>
        </is>
      </c>
      <c r="F21" s="8" t="inlineStr">
        <is>
          <t>opened the floor for questions</t>
        </is>
      </c>
      <c r="G21" s="8" t="inlineStr">
        <is>
          <t>announced a stock split</t>
        </is>
      </c>
      <c r="H21" s="8" t="inlineStr">
        <is>
          <t>briefed the speakers</t>
        </is>
      </c>
      <c r="I21" s="8" t="inlineStr">
        <is>
          <t>finalised the agenda</t>
        </is>
      </c>
      <c r="J21" s="7" t="n"/>
      <c r="K21" s="7" t="n"/>
      <c r="L21" s="7" t="n"/>
      <c r="M21" s="7" t="n"/>
      <c r="N21" s="7" t="inlineStr">
        <is>
          <t>D</t>
        </is>
      </c>
      <c r="O21" s="7" t="n"/>
      <c r="P21" s="7" t="n"/>
      <c r="Q21" s="7" t="n"/>
      <c r="R21" s="7" t="n"/>
      <c r="S21" s="7" t="n"/>
      <c r="T21" s="7">
        <f>IF(O21="","",IF(O21=N21,1,0))</f>
        <v/>
      </c>
      <c r="U21" s="8" t="n"/>
    </row>
    <row r="22">
      <c r="A22" s="5" t="n">
        <v>3</v>
      </c>
      <c r="B22" s="5" t="n">
        <v>1</v>
      </c>
      <c r="C22" s="5" t="inlineStr">
        <is>
          <t>Problem Solving</t>
        </is>
      </c>
      <c r="D22" s="5" t="inlineStr">
        <is>
          <t>Scored</t>
        </is>
      </c>
      <c r="E22" s="6" t="inlineStr">
        <is>
          <t>Three directors — Hana, Tariq, Priya — are speaking at the town hall in sequence. Hana is not first. Tariq is not first. Tariq is not in the middle. Who is last?</t>
        </is>
      </c>
      <c r="F22" s="6" t="inlineStr">
        <is>
          <t>Hana</t>
        </is>
      </c>
      <c r="G22" s="6" t="inlineStr">
        <is>
          <t>Cannot be determined</t>
        </is>
      </c>
      <c r="H22" s="6" t="inlineStr">
        <is>
          <t>Priya</t>
        </is>
      </c>
      <c r="I22" s="6" t="inlineStr">
        <is>
          <t>Tariq</t>
        </is>
      </c>
      <c r="J22" s="5" t="n"/>
      <c r="K22" s="5" t="n"/>
      <c r="L22" s="5" t="n"/>
      <c r="M22" s="5" t="n"/>
      <c r="N22" s="5" t="inlineStr">
        <is>
          <t>D</t>
        </is>
      </c>
      <c r="O22" s="5" t="n"/>
      <c r="P22" s="5" t="n"/>
      <c r="Q22" s="5" t="n"/>
      <c r="R22" s="5" t="n"/>
      <c r="S22" s="5" t="n"/>
      <c r="T22" s="5">
        <f>IF(O22="","",IF(O22=N22,1,0))</f>
        <v/>
      </c>
      <c r="U22" s="6" t="n"/>
    </row>
    <row r="23">
      <c r="A23" s="5" t="n">
        <v>3</v>
      </c>
      <c r="B23" s="5" t="n">
        <v>2</v>
      </c>
      <c r="C23" s="5" t="inlineStr">
        <is>
          <t>Critical Thinking</t>
        </is>
      </c>
      <c r="D23" s="5" t="inlineStr">
        <is>
          <t>Scored</t>
        </is>
      </c>
      <c r="E23" s="6" t="inlineStr">
        <is>
          <t>An executive says: 'Either we restructure the entire division now, or the business fails within a year.' What's the actual flaw in this reasoning?</t>
        </is>
      </c>
      <c r="F23" s="6" t="inlineStr">
        <is>
          <t>It ignores realistic middle-ground options short of a full restructuring</t>
        </is>
      </c>
      <c r="G23" s="6" t="inlineStr">
        <is>
          <t>Restructuring has already happened</t>
        </is>
      </c>
      <c r="H23" s="6" t="inlineStr">
        <is>
          <t>No division exists to restructure</t>
        </is>
      </c>
      <c r="I23" s="6" t="inlineStr">
        <is>
          <t>The business has already failed</t>
        </is>
      </c>
      <c r="J23" s="5" t="n"/>
      <c r="K23" s="5" t="n"/>
      <c r="L23" s="5" t="n"/>
      <c r="M23" s="5" t="n"/>
      <c r="N23" s="5" t="inlineStr">
        <is>
          <t>A</t>
        </is>
      </c>
      <c r="O23" s="5" t="n"/>
      <c r="P23" s="5" t="n"/>
      <c r="Q23" s="5" t="n"/>
      <c r="R23" s="5" t="n"/>
      <c r="S23" s="5" t="n"/>
      <c r="T23" s="5">
        <f>IF(O23="","",IF(O23=N23,1,0))</f>
        <v/>
      </c>
      <c r="U23" s="6" t="n"/>
    </row>
    <row r="24">
      <c r="A24" s="5" t="n">
        <v>3</v>
      </c>
      <c r="B24" s="5" t="n">
        <v>3</v>
      </c>
      <c r="C24" s="5" t="inlineStr">
        <is>
          <t>Decision Making</t>
        </is>
      </c>
      <c r="D24" s="5" t="inlineStr">
        <is>
          <t>Scored</t>
        </is>
      </c>
      <c r="E24" s="6" t="inlineStr">
        <is>
          <t>You only have time for ONE of these right now. Which gives the best value for the effort it takes?</t>
        </is>
      </c>
      <c r="F24" s="6" t="inlineStr">
        <is>
          <t>They are all equally good choices</t>
        </is>
      </c>
      <c r="G24" s="6" t="inlineStr">
        <is>
          <t>complete the compliance review (effort 3, value 7)</t>
        </is>
      </c>
      <c r="H24" s="6" t="inlineStr">
        <is>
          <t>submit the board presentation (effort 6, value 21)</t>
        </is>
      </c>
      <c r="I24" s="6" t="inlineStr">
        <is>
          <t>finalize the budget proposal (effort 2, value 6)</t>
        </is>
      </c>
      <c r="J24" s="5" t="n"/>
      <c r="K24" s="5" t="n"/>
      <c r="L24" s="5" t="n"/>
      <c r="M24" s="5" t="n"/>
      <c r="N24" s="5" t="inlineStr">
        <is>
          <t>C</t>
        </is>
      </c>
      <c r="O24" s="5" t="n"/>
      <c r="P24" s="5" t="n"/>
      <c r="Q24" s="5" t="n"/>
      <c r="R24" s="5" t="n"/>
      <c r="S24" s="5" t="n"/>
      <c r="T24" s="5">
        <f>IF(O24="","",IF(O24=N24,1,0))</f>
        <v/>
      </c>
      <c r="U24" s="6" t="n"/>
    </row>
    <row r="25">
      <c r="A25" s="5" t="n">
        <v>3</v>
      </c>
      <c r="B25" s="5" t="n">
        <v>4</v>
      </c>
      <c r="C25" s="5" t="inlineStr">
        <is>
          <t>Mental Math</t>
        </is>
      </c>
      <c r="D25" s="5" t="inlineStr">
        <is>
          <t>Scored</t>
        </is>
      </c>
      <c r="E25" s="6" t="inlineStr">
        <is>
          <t>A recipe mixes cement and sand in a 2:5 ratio. If you use 6 units of cement, how much sand do you need?</t>
        </is>
      </c>
      <c r="F25" s="6" t="inlineStr">
        <is>
          <t>6</t>
        </is>
      </c>
      <c r="G25" s="6" t="inlineStr">
        <is>
          <t>10</t>
        </is>
      </c>
      <c r="H25" s="6" t="inlineStr">
        <is>
          <t>20</t>
        </is>
      </c>
      <c r="I25" s="6" t="inlineStr">
        <is>
          <t>15</t>
        </is>
      </c>
      <c r="J25" s="5" t="n"/>
      <c r="K25" s="5" t="n"/>
      <c r="L25" s="5" t="n"/>
      <c r="M25" s="5" t="n"/>
      <c r="N25" s="5" t="inlineStr">
        <is>
          <t>D</t>
        </is>
      </c>
      <c r="O25" s="5" t="n"/>
      <c r="P25" s="5" t="n"/>
      <c r="Q25" s="5" t="n"/>
      <c r="R25" s="5" t="n"/>
      <c r="S25" s="5" t="n"/>
      <c r="T25" s="5">
        <f>IF(O25="","",IF(O25=N25,1,0))</f>
        <v/>
      </c>
      <c r="U25" s="6" t="n"/>
    </row>
    <row r="26">
      <c r="A26" s="5" t="n">
        <v>3</v>
      </c>
      <c r="B26" s="5" t="n">
        <v>5</v>
      </c>
      <c r="C26" s="5" t="inlineStr">
        <is>
          <t>Cognitive Academia</t>
        </is>
      </c>
      <c r="D26" s="5" t="inlineStr">
        <is>
          <t>Scored</t>
        </is>
      </c>
      <c r="E26" s="6" t="inlineStr">
        <is>
          <t>What comes next in this pattern: 1, 4, 9, 16, ?</t>
        </is>
      </c>
      <c r="F26" s="6" t="inlineStr">
        <is>
          <t>28</t>
        </is>
      </c>
      <c r="G26" s="6" t="inlineStr">
        <is>
          <t>22</t>
        </is>
      </c>
      <c r="H26" s="6" t="inlineStr">
        <is>
          <t>25</t>
        </is>
      </c>
      <c r="I26" s="6" t="inlineStr">
        <is>
          <t>27</t>
        </is>
      </c>
      <c r="J26" s="5" t="n"/>
      <c r="K26" s="5" t="n"/>
      <c r="L26" s="5" t="n"/>
      <c r="M26" s="5" t="n"/>
      <c r="N26" s="5" t="inlineStr">
        <is>
          <t>C</t>
        </is>
      </c>
      <c r="O26" s="5" t="n"/>
      <c r="P26" s="5" t="n"/>
      <c r="Q26" s="5" t="n"/>
      <c r="R26" s="5" t="n"/>
      <c r="S26" s="5" t="n"/>
      <c r="T26" s="5">
        <f>IF(O26="","",IF(O26=N26,1,0))</f>
        <v/>
      </c>
      <c r="U26" s="6" t="n"/>
    </row>
    <row r="27">
      <c r="A27" s="5" t="n">
        <v>3</v>
      </c>
      <c r="B27" s="5" t="n">
        <v>6</v>
      </c>
      <c r="C27" s="5" t="inlineStr">
        <is>
          <t>Leadership / Communication / Emotional &amp; Social</t>
        </is>
      </c>
      <c r="D27" s="5" t="inlineStr">
        <is>
          <t>Self-report (most/least)</t>
        </is>
      </c>
      <c r="E27" s="6" t="inlineStr">
        <is>
          <t>Your strategy just received a tough, pointed challenge from a stakeholder mid-meeting.</t>
        </is>
      </c>
      <c r="F27" s="6" t="inlineStr">
        <is>
          <t>You stay composed even under significant pressure</t>
        </is>
      </c>
      <c r="G27" s="6" t="inlineStr">
        <is>
          <t>You check that your audience understood your point</t>
        </is>
      </c>
      <c r="H27" s="6" t="inlineStr">
        <is>
          <t>You'd rather wait and see what others do first</t>
        </is>
      </c>
      <c r="I27" s="6" t="inlineStr">
        <is>
          <t>You enjoy leading through major organizational change</t>
        </is>
      </c>
      <c r="J27" s="5" t="inlineStr">
        <is>
          <t>ES</t>
        </is>
      </c>
      <c r="K27" s="5" t="inlineStr">
        <is>
          <t>CM</t>
        </is>
      </c>
      <c r="L27" s="5" t="inlineStr"/>
      <c r="M27" s="5" t="inlineStr">
        <is>
          <t>LD</t>
        </is>
      </c>
      <c r="N27" s="5" t="n"/>
      <c r="O27" s="5" t="n"/>
      <c r="P27" s="5" t="n"/>
      <c r="Q27" s="5" t="n"/>
      <c r="R27" s="5">
        <f>IFERROR(INDEX(J27:M27,MATCH(P27,{"A","B","C","D"},0)),"")</f>
        <v/>
      </c>
      <c r="S27" s="5">
        <f>IFERROR(INDEX(J27:M27,MATCH(Q27,{"A","B","C","D"},0)),"")</f>
        <v/>
      </c>
      <c r="T27" s="5" t="n"/>
      <c r="U27" s="6" t="n"/>
    </row>
    <row r="28">
      <c r="A28" s="5" t="n">
        <v>3</v>
      </c>
      <c r="B28" s="5" t="n">
        <v>7</v>
      </c>
      <c r="C28" s="5" t="inlineStr">
        <is>
          <t>Leadership / Communication / Emotional &amp; Social</t>
        </is>
      </c>
      <c r="D28" s="5" t="inlineStr">
        <is>
          <t>Self-report (most/least)</t>
        </is>
      </c>
      <c r="E28" s="6" t="inlineStr">
        <is>
          <t>You're the only executive in the room who thinks the current direction is a mistake.</t>
        </is>
      </c>
      <c r="F28" s="6" t="inlineStr">
        <is>
          <t>You notice subtle changes in team morale</t>
        </is>
      </c>
      <c r="G28" s="6" t="inlineStr">
        <is>
          <t>You'd step back and observe before choosing any of these</t>
        </is>
      </c>
      <c r="H28" s="6" t="inlineStr">
        <is>
          <t>You like guiding your organization toward a shared vision</t>
        </is>
      </c>
      <c r="I28" s="6" t="inlineStr">
        <is>
          <t>You enjoy explaining your reasoning to the board or senior leadership</t>
        </is>
      </c>
      <c r="J28" s="5" t="inlineStr">
        <is>
          <t>ES</t>
        </is>
      </c>
      <c r="K28" s="5" t="inlineStr"/>
      <c r="L28" s="5" t="inlineStr">
        <is>
          <t>LD</t>
        </is>
      </c>
      <c r="M28" s="5" t="inlineStr">
        <is>
          <t>CM</t>
        </is>
      </c>
      <c r="N28" s="5" t="n"/>
      <c r="O28" s="5" t="n"/>
      <c r="P28" s="5" t="n"/>
      <c r="Q28" s="5" t="n"/>
      <c r="R28" s="5">
        <f>IFERROR(INDEX(J28:M28,MATCH(P28,{"A","B","C","D"},0)),"")</f>
        <v/>
      </c>
      <c r="S28" s="5">
        <f>IFERROR(INDEX(J28:M28,MATCH(Q28,{"A","B","C","D"},0)),"")</f>
        <v/>
      </c>
      <c r="T28" s="5" t="n"/>
      <c r="U28" s="6" t="n"/>
    </row>
    <row r="29">
      <c r="A29" s="5" t="n">
        <v>3</v>
      </c>
      <c r="B29" s="5" t="n">
        <v>8</v>
      </c>
      <c r="C29" s="5" t="inlineStr">
        <is>
          <t>Leadership / Communication / Emotional &amp; Social</t>
        </is>
      </c>
      <c r="D29" s="5" t="inlineStr">
        <is>
          <t>Self-report (most/least)</t>
        </is>
      </c>
      <c r="E29" s="6" t="inlineStr">
        <is>
          <t>A member of your team wants to quietly adjust a figure to make quarterly results look better.</t>
        </is>
      </c>
      <c r="F29" s="6" t="inlineStr">
        <is>
          <t>You like defining the plan of action for your organization</t>
        </is>
      </c>
      <c r="G29" s="6" t="inlineStr">
        <is>
          <t>None of these feel like you in this moment</t>
        </is>
      </c>
      <c r="H29" s="6" t="inlineStr">
        <is>
          <t>You stay calm even during organizational crises</t>
        </is>
      </c>
      <c r="I29" s="6" t="inlineStr">
        <is>
          <t>You like asking clarifying questions before committing to a direction</t>
        </is>
      </c>
      <c r="J29" s="5" t="inlineStr">
        <is>
          <t>LD</t>
        </is>
      </c>
      <c r="K29" s="5" t="inlineStr"/>
      <c r="L29" s="5" t="inlineStr">
        <is>
          <t>ES</t>
        </is>
      </c>
      <c r="M29" s="5" t="inlineStr">
        <is>
          <t>CM</t>
        </is>
      </c>
      <c r="N29" s="5" t="n"/>
      <c r="O29" s="5" t="n"/>
      <c r="P29" s="5" t="n"/>
      <c r="Q29" s="5" t="n"/>
      <c r="R29" s="5">
        <f>IFERROR(INDEX(J29:M29,MATCH(P29,{"A","B","C","D"},0)),"")</f>
        <v/>
      </c>
      <c r="S29" s="5">
        <f>IFERROR(INDEX(J29:M29,MATCH(Q29,{"A","B","C","D"},0)),"")</f>
        <v/>
      </c>
      <c r="T29" s="5" t="n"/>
      <c r="U29" s="6" t="n"/>
    </row>
    <row r="30">
      <c r="A30" s="5" t="n">
        <v>3</v>
      </c>
      <c r="B30" s="5" t="n">
        <v>9</v>
      </c>
      <c r="C30" s="5" t="inlineStr">
        <is>
          <t>Creative Skills</t>
        </is>
      </c>
      <c r="D30" s="5" t="inlineStr">
        <is>
          <t>Open-ended (not auto-scored)</t>
        </is>
      </c>
      <c r="E30" s="6" t="inlineStr">
        <is>
          <t>Invent a better way to run the quarterly all-hands meeting.</t>
        </is>
      </c>
      <c r="F30" s="6" t="n"/>
      <c r="G30" s="6" t="n"/>
      <c r="H30" s="6" t="n"/>
      <c r="I30" s="6" t="n"/>
      <c r="J30" s="5" t="n"/>
      <c r="K30" s="5" t="n"/>
      <c r="L30" s="5" t="n"/>
      <c r="M30" s="5" t="n"/>
      <c r="N30" s="5" t="n"/>
      <c r="O30" s="5" t="n"/>
      <c r="P30" s="5" t="n"/>
      <c r="Q30" s="5" t="n"/>
      <c r="R30" s="5" t="n"/>
      <c r="S30" s="5" t="n"/>
      <c r="T30" s="5" t="n"/>
      <c r="U30" s="6" t="n"/>
    </row>
    <row r="31">
      <c r="A31" s="5" t="n">
        <v>3</v>
      </c>
      <c r="B31" s="5" t="n">
        <v>10</v>
      </c>
      <c r="C31" s="5" t="inlineStr">
        <is>
          <t>Listening Skills</t>
        </is>
      </c>
      <c r="D31" s="5" t="inlineStr">
        <is>
          <t>Scored</t>
        </is>
      </c>
      <c r="E31" s="6" t="inlineStr">
        <is>
          <t>[Read once, then answer without re-reading] “Before the compliance audit, the team gathered the required documents, reviewed the checklist, and finally scheduled the walkthrough.”  ||  What happened right after the first thing mentioned?</t>
        </is>
      </c>
      <c r="F31" s="6" t="inlineStr">
        <is>
          <t>reviewed the checklist</t>
        </is>
      </c>
      <c r="G31" s="6" t="inlineStr">
        <is>
          <t>gathered the required documents</t>
        </is>
      </c>
      <c r="H31" s="6" t="inlineStr">
        <is>
          <t>issued a public statement</t>
        </is>
      </c>
      <c r="I31" s="6" t="inlineStr">
        <is>
          <t>scheduled the walkthrough</t>
        </is>
      </c>
      <c r="J31" s="5" t="n"/>
      <c r="K31" s="5" t="n"/>
      <c r="L31" s="5" t="n"/>
      <c r="M31" s="5" t="n"/>
      <c r="N31" s="5" t="inlineStr">
        <is>
          <t>A</t>
        </is>
      </c>
      <c r="O31" s="5" t="n"/>
      <c r="P31" s="5" t="n"/>
      <c r="Q31" s="5" t="n"/>
      <c r="R31" s="5" t="n"/>
      <c r="S31" s="5" t="n"/>
      <c r="T31" s="5">
        <f>IF(O31="","",IF(O31=N31,1,0))</f>
        <v/>
      </c>
      <c r="U31" s="6" t="n"/>
    </row>
    <row r="32">
      <c r="A32" s="7" t="n">
        <v>4</v>
      </c>
      <c r="B32" s="7" t="n">
        <v>1</v>
      </c>
      <c r="C32" s="7" t="inlineStr">
        <is>
          <t>Problem Solving</t>
        </is>
      </c>
      <c r="D32" s="7" t="inlineStr">
        <is>
          <t>Scored</t>
        </is>
      </c>
      <c r="E32" s="8" t="inlineStr">
        <is>
          <t>Three directors — Omar, Maya, Noah — are speaking at the town hall in sequence. Maya is not last. Omar is not in the middle. Omar is not first. Maya is not first. Who is in the middle?</t>
        </is>
      </c>
      <c r="F32" s="8" t="inlineStr">
        <is>
          <t>Maya</t>
        </is>
      </c>
      <c r="G32" s="8" t="inlineStr">
        <is>
          <t>Noah</t>
        </is>
      </c>
      <c r="H32" s="8" t="inlineStr">
        <is>
          <t>Omar</t>
        </is>
      </c>
      <c r="I32" s="8" t="inlineStr">
        <is>
          <t>Cannot be determined</t>
        </is>
      </c>
      <c r="J32" s="7" t="n"/>
      <c r="K32" s="7" t="n"/>
      <c r="L32" s="7" t="n"/>
      <c r="M32" s="7" t="n"/>
      <c r="N32" s="7" t="inlineStr">
        <is>
          <t>A</t>
        </is>
      </c>
      <c r="O32" s="7" t="n"/>
      <c r="P32" s="7" t="n"/>
      <c r="Q32" s="7" t="n"/>
      <c r="R32" s="7" t="n"/>
      <c r="S32" s="7" t="n"/>
      <c r="T32" s="7">
        <f>IF(O32="","",IF(O32=N32,1,0))</f>
        <v/>
      </c>
      <c r="U32" s="8" t="n"/>
    </row>
    <row r="33">
      <c r="A33" s="7" t="n">
        <v>4</v>
      </c>
      <c r="B33" s="7" t="n">
        <v>2</v>
      </c>
      <c r="C33" s="7" t="inlineStr">
        <is>
          <t>Critical Thinking</t>
        </is>
      </c>
      <c r="D33" s="7" t="inlineStr">
        <is>
          <t>Scored</t>
        </is>
      </c>
      <c r="E33" s="8" t="inlineStr">
        <is>
          <t>A board member says: 'This strategy is sound because it's a sound strategy.' What's the actual flaw in this reasoning?</t>
        </is>
      </c>
      <c r="F33" s="8" t="inlineStr">
        <is>
          <t>The strategy was abandoned</t>
        </is>
      </c>
      <c r="G33" s="8" t="inlineStr">
        <is>
          <t>No strategy was proposed</t>
        </is>
      </c>
      <c r="H33" s="8" t="inlineStr">
        <is>
          <t>The statement just restates the claim instead of giving a reason</t>
        </is>
      </c>
      <c r="I33" s="8" t="inlineStr">
        <is>
          <t>Sound and effective are unrelated ideas</t>
        </is>
      </c>
      <c r="J33" s="7" t="n"/>
      <c r="K33" s="7" t="n"/>
      <c r="L33" s="7" t="n"/>
      <c r="M33" s="7" t="n"/>
      <c r="N33" s="7" t="inlineStr">
        <is>
          <t>C</t>
        </is>
      </c>
      <c r="O33" s="7" t="n"/>
      <c r="P33" s="7" t="n"/>
      <c r="Q33" s="7" t="n"/>
      <c r="R33" s="7" t="n"/>
      <c r="S33" s="7" t="n"/>
      <c r="T33" s="7">
        <f>IF(O33="","",IF(O33=N33,1,0))</f>
        <v/>
      </c>
      <c r="U33" s="8" t="n"/>
    </row>
    <row r="34">
      <c r="A34" s="7" t="n">
        <v>4</v>
      </c>
      <c r="B34" s="7" t="n">
        <v>3</v>
      </c>
      <c r="C34" s="7" t="inlineStr">
        <is>
          <t>Decision Making</t>
        </is>
      </c>
      <c r="D34" s="7" t="inlineStr">
        <is>
          <t>Scored</t>
        </is>
      </c>
      <c r="E34" s="8" t="inlineStr">
        <is>
          <t>You have 39 minutes. approve the vendor contract takes 19 minutes, submit the board presentation takes 20 minutes, and complete the compliance review takes 30 minutes. You must skip exactly one of them to fit the other two into your 39 minutes. Which should you skip?</t>
        </is>
      </c>
      <c r="F34" s="8" t="inlineStr">
        <is>
          <t>submit the board presentation</t>
        </is>
      </c>
      <c r="G34" s="8" t="inlineStr">
        <is>
          <t>complete the compliance review</t>
        </is>
      </c>
      <c r="H34" s="8" t="inlineStr">
        <is>
          <t>approve the vendor contract</t>
        </is>
      </c>
      <c r="I34" s="8" t="inlineStr">
        <is>
          <t>It's impossible to fit any two</t>
        </is>
      </c>
      <c r="J34" s="7" t="n"/>
      <c r="K34" s="7" t="n"/>
      <c r="L34" s="7" t="n"/>
      <c r="M34" s="7" t="n"/>
      <c r="N34" s="7" t="inlineStr">
        <is>
          <t>B</t>
        </is>
      </c>
      <c r="O34" s="7" t="n"/>
      <c r="P34" s="7" t="n"/>
      <c r="Q34" s="7" t="n"/>
      <c r="R34" s="7" t="n"/>
      <c r="S34" s="7" t="n"/>
      <c r="T34" s="7">
        <f>IF(O34="","",IF(O34=N34,1,0))</f>
        <v/>
      </c>
      <c r="U34" s="8" t="n"/>
    </row>
    <row r="35">
      <c r="A35" s="7" t="n">
        <v>4</v>
      </c>
      <c r="B35" s="7" t="n">
        <v>4</v>
      </c>
      <c r="C35" s="7" t="inlineStr">
        <is>
          <t>Mental Math</t>
        </is>
      </c>
      <c r="D35" s="7" t="inlineStr">
        <is>
          <t>Scored</t>
        </is>
      </c>
      <c r="E35" s="8" t="inlineStr">
        <is>
          <t>I'm thinking of a number. If you subtract 7, then triple it, then subtract 38, you get 16. What's my number?</t>
        </is>
      </c>
      <c r="F35" s="8" t="inlineStr">
        <is>
          <t>25</t>
        </is>
      </c>
      <c r="G35" s="8" t="inlineStr">
        <is>
          <t>24</t>
        </is>
      </c>
      <c r="H35" s="8" t="inlineStr">
        <is>
          <t>27</t>
        </is>
      </c>
      <c r="I35" s="8" t="inlineStr">
        <is>
          <t>26</t>
        </is>
      </c>
      <c r="J35" s="7" t="n"/>
      <c r="K35" s="7" t="n"/>
      <c r="L35" s="7" t="n"/>
      <c r="M35" s="7" t="n"/>
      <c r="N35" s="7" t="inlineStr">
        <is>
          <t>A</t>
        </is>
      </c>
      <c r="O35" s="7" t="n"/>
      <c r="P35" s="7" t="n"/>
      <c r="Q35" s="7" t="n"/>
      <c r="R35" s="7" t="n"/>
      <c r="S35" s="7" t="n"/>
      <c r="T35" s="7">
        <f>IF(O35="","",IF(O35=N35,1,0))</f>
        <v/>
      </c>
      <c r="U35" s="8" t="n"/>
    </row>
    <row r="36">
      <c r="A36" s="7" t="n">
        <v>4</v>
      </c>
      <c r="B36" s="7" t="n">
        <v>5</v>
      </c>
      <c r="C36" s="7" t="inlineStr">
        <is>
          <t>Cognitive Academia</t>
        </is>
      </c>
      <c r="D36" s="7" t="inlineStr">
        <is>
          <t>Scored</t>
        </is>
      </c>
      <c r="E36" s="8" t="inlineStr">
        <is>
          <t>What comes next in this pattern: 5, 10, 20, 25, 50, ?</t>
        </is>
      </c>
      <c r="F36" s="8" t="inlineStr">
        <is>
          <t>55</t>
        </is>
      </c>
      <c r="G36" s="8" t="inlineStr">
        <is>
          <t>52</t>
        </is>
      </c>
      <c r="H36" s="8" t="inlineStr">
        <is>
          <t>45</t>
        </is>
      </c>
      <c r="I36" s="8" t="inlineStr">
        <is>
          <t>58</t>
        </is>
      </c>
      <c r="J36" s="7" t="n"/>
      <c r="K36" s="7" t="n"/>
      <c r="L36" s="7" t="n"/>
      <c r="M36" s="7" t="n"/>
      <c r="N36" s="7" t="inlineStr">
        <is>
          <t>A</t>
        </is>
      </c>
      <c r="O36" s="7" t="n"/>
      <c r="P36" s="7" t="n"/>
      <c r="Q36" s="7" t="n"/>
      <c r="R36" s="7" t="n"/>
      <c r="S36" s="7" t="n"/>
      <c r="T36" s="7">
        <f>IF(O36="","",IF(O36=N36,1,0))</f>
        <v/>
      </c>
      <c r="U36" s="8" t="n"/>
    </row>
    <row r="37">
      <c r="A37" s="7" t="n">
        <v>4</v>
      </c>
      <c r="B37" s="7" t="n">
        <v>6</v>
      </c>
      <c r="C37" s="7" t="inlineStr">
        <is>
          <t>Leadership / Communication / Emotional &amp; Social</t>
        </is>
      </c>
      <c r="D37" s="7" t="inlineStr">
        <is>
          <t>Self-report (most/least)</t>
        </is>
      </c>
      <c r="E37" s="8" t="inlineStr">
        <is>
          <t>You're asked to publicly defend a decision you privately disagree with.</t>
        </is>
      </c>
      <c r="F37" s="8" t="inlineStr">
        <is>
          <t>You take ownership when something goes wrong on your watch</t>
        </is>
      </c>
      <c r="G37" s="8" t="inlineStr">
        <is>
          <t>You like presenting your ideas confidently in high-stakes meetings</t>
        </is>
      </c>
      <c r="H37" s="8" t="inlineStr">
        <is>
          <t>You'd step back and observe before choosing any of these</t>
        </is>
      </c>
      <c r="I37" s="8" t="inlineStr">
        <is>
          <t>You handle high-stakes disagreements without letting them escalate</t>
        </is>
      </c>
      <c r="J37" s="7" t="inlineStr">
        <is>
          <t>LD</t>
        </is>
      </c>
      <c r="K37" s="7" t="inlineStr">
        <is>
          <t>CM</t>
        </is>
      </c>
      <c r="L37" s="7" t="inlineStr"/>
      <c r="M37" s="7" t="inlineStr">
        <is>
          <t>ES</t>
        </is>
      </c>
      <c r="N37" s="7" t="n"/>
      <c r="O37" s="7" t="n"/>
      <c r="P37" s="7" t="n"/>
      <c r="Q37" s="7" t="n"/>
      <c r="R37" s="7">
        <f>IFERROR(INDEX(J37:M37,MATCH(P37,{"A","B","C","D"},0)),"")</f>
        <v/>
      </c>
      <c r="S37" s="7">
        <f>IFERROR(INDEX(J37:M37,MATCH(Q37,{"A","B","C","D"},0)),"")</f>
        <v/>
      </c>
      <c r="T37" s="7" t="n"/>
      <c r="U37" s="8" t="n"/>
    </row>
    <row r="38">
      <c r="A38" s="7" t="n">
        <v>4</v>
      </c>
      <c r="B38" s="7" t="n">
        <v>7</v>
      </c>
      <c r="C38" s="7" t="inlineStr">
        <is>
          <t>Leadership / Communication / Emotional &amp; Social</t>
        </is>
      </c>
      <c r="D38" s="7" t="inlineStr">
        <is>
          <t>Self-report (most/least)</t>
        </is>
      </c>
      <c r="E38" s="8" t="inlineStr">
        <is>
          <t>A high-performing member of your team has gone quiet for two weeks right before a major deliverable.</t>
        </is>
      </c>
      <c r="F38" s="8" t="inlineStr">
        <is>
          <t>You enjoy discussing strategy openly with peers</t>
        </is>
      </c>
      <c r="G38" s="8" t="inlineStr">
        <is>
          <t>None of these feel like you in this moment</t>
        </is>
      </c>
      <c r="H38" s="8" t="inlineStr">
        <is>
          <t>You feel confident making high-stakes decisions</t>
        </is>
      </c>
      <c r="I38" s="8" t="inlineStr">
        <is>
          <t>You think about how a decision might affect your people</t>
        </is>
      </c>
      <c r="J38" s="7" t="inlineStr">
        <is>
          <t>CM</t>
        </is>
      </c>
      <c r="K38" s="7" t="inlineStr"/>
      <c r="L38" s="7" t="inlineStr">
        <is>
          <t>LD</t>
        </is>
      </c>
      <c r="M38" s="7" t="inlineStr">
        <is>
          <t>ES</t>
        </is>
      </c>
      <c r="N38" s="7" t="n"/>
      <c r="O38" s="7" t="n"/>
      <c r="P38" s="7" t="n"/>
      <c r="Q38" s="7" t="n"/>
      <c r="R38" s="7">
        <f>IFERROR(INDEX(J38:M38,MATCH(P38,{"A","B","C","D"},0)),"")</f>
        <v/>
      </c>
      <c r="S38" s="7">
        <f>IFERROR(INDEX(J38:M38,MATCH(Q38,{"A","B","C","D"},0)),"")</f>
        <v/>
      </c>
      <c r="T38" s="7" t="n"/>
      <c r="U38" s="8" t="n"/>
    </row>
    <row r="39">
      <c r="A39" s="7" t="n">
        <v>4</v>
      </c>
      <c r="B39" s="7" t="n">
        <v>8</v>
      </c>
      <c r="C39" s="7" t="inlineStr">
        <is>
          <t>Leadership / Communication / Emotional &amp; Social</t>
        </is>
      </c>
      <c r="D39" s="7" t="inlineStr">
        <is>
          <t>Self-report (most/least)</t>
        </is>
      </c>
      <c r="E39" s="8" t="inlineStr">
        <is>
          <t>You're mid-presentation to the board and realize a key figure on your slide is wrong.</t>
        </is>
      </c>
      <c r="F39" s="8" t="inlineStr">
        <is>
          <t>You'd need more time before reacting at all</t>
        </is>
      </c>
      <c r="G39" s="8" t="inlineStr">
        <is>
          <t>You like structuring your thoughts before an important meeting</t>
        </is>
      </c>
      <c r="H39" s="8" t="inlineStr">
        <is>
          <t>You enjoy helping a colleague work through a difficult situation</t>
        </is>
      </c>
      <c r="I39" s="8" t="inlineStr">
        <is>
          <t>You naturally end up being the one who decides</t>
        </is>
      </c>
      <c r="J39" s="7" t="inlineStr"/>
      <c r="K39" s="7" t="inlineStr">
        <is>
          <t>CM</t>
        </is>
      </c>
      <c r="L39" s="7" t="inlineStr">
        <is>
          <t>ES</t>
        </is>
      </c>
      <c r="M39" s="7" t="inlineStr">
        <is>
          <t>LD</t>
        </is>
      </c>
      <c r="N39" s="7" t="n"/>
      <c r="O39" s="7" t="n"/>
      <c r="P39" s="7" t="n"/>
      <c r="Q39" s="7" t="n"/>
      <c r="R39" s="7">
        <f>IFERROR(INDEX(J39:M39,MATCH(P39,{"A","B","C","D"},0)),"")</f>
        <v/>
      </c>
      <c r="S39" s="7">
        <f>IFERROR(INDEX(J39:M39,MATCH(Q39,{"A","B","C","D"},0)),"")</f>
        <v/>
      </c>
      <c r="T39" s="7" t="n"/>
      <c r="U39" s="8" t="n"/>
    </row>
    <row r="40">
      <c r="A40" s="7" t="n">
        <v>4</v>
      </c>
      <c r="B40" s="7" t="n">
        <v>9</v>
      </c>
      <c r="C40" s="7" t="inlineStr">
        <is>
          <t>Creative Skills</t>
        </is>
      </c>
      <c r="D40" s="7" t="inlineStr">
        <is>
          <t>Open-ended (not auto-scored)</t>
        </is>
      </c>
      <c r="E40" s="8" t="inlineStr">
        <is>
          <t>If you could change one long-standing company tradition, what would you replace it with?</t>
        </is>
      </c>
      <c r="F40" s="8" t="n"/>
      <c r="G40" s="8" t="n"/>
      <c r="H40" s="8" t="n"/>
      <c r="I40" s="8" t="n"/>
      <c r="J40" s="7" t="n"/>
      <c r="K40" s="7" t="n"/>
      <c r="L40" s="7" t="n"/>
      <c r="M40" s="7" t="n"/>
      <c r="N40" s="7" t="n"/>
      <c r="O40" s="7" t="n"/>
      <c r="P40" s="7" t="n"/>
      <c r="Q40" s="7" t="n"/>
      <c r="R40" s="7" t="n"/>
      <c r="S40" s="7" t="n"/>
      <c r="T40" s="7" t="n"/>
      <c r="U40" s="8" t="n"/>
    </row>
    <row r="41">
      <c r="A41" s="7" t="n">
        <v>4</v>
      </c>
      <c r="B41" s="7" t="n">
        <v>10</v>
      </c>
      <c r="C41" s="7" t="inlineStr">
        <is>
          <t>Listening Skills</t>
        </is>
      </c>
      <c r="D41" s="7" t="inlineStr">
        <is>
          <t>Scored</t>
        </is>
      </c>
      <c r="E41" s="8" t="inlineStr">
        <is>
          <t>[Read once, then answer without re-reading] “During due diligence, the team reviewed the target company's financials, interviewed key staff, and then drafted the risk summary.”  ||  What happened first?</t>
        </is>
      </c>
      <c r="F41" s="8" t="inlineStr">
        <is>
          <t>interviewed key staff</t>
        </is>
      </c>
      <c r="G41" s="8" t="inlineStr">
        <is>
          <t>closed the acquisition</t>
        </is>
      </c>
      <c r="H41" s="8" t="inlineStr">
        <is>
          <t>drafted the risk summary</t>
        </is>
      </c>
      <c r="I41" s="8" t="inlineStr">
        <is>
          <t>reviewed the target company's financials</t>
        </is>
      </c>
      <c r="J41" s="7" t="n"/>
      <c r="K41" s="7" t="n"/>
      <c r="L41" s="7" t="n"/>
      <c r="M41" s="7" t="n"/>
      <c r="N41" s="7" t="inlineStr">
        <is>
          <t>D</t>
        </is>
      </c>
      <c r="O41" s="7" t="n"/>
      <c r="P41" s="7" t="n"/>
      <c r="Q41" s="7" t="n"/>
      <c r="R41" s="7" t="n"/>
      <c r="S41" s="7" t="n"/>
      <c r="T41" s="7">
        <f>IF(O41="","",IF(O41=N41,1,0))</f>
        <v/>
      </c>
      <c r="U41" s="8" t="n"/>
    </row>
    <row r="42">
      <c r="A42" s="5" t="n">
        <v>5</v>
      </c>
      <c r="B42" s="5" t="n">
        <v>1</v>
      </c>
      <c r="C42" s="5" t="inlineStr">
        <is>
          <t>Problem Solving</t>
        </is>
      </c>
      <c r="D42" s="5" t="inlineStr">
        <is>
          <t>Scored</t>
        </is>
      </c>
      <c r="E42" s="6" t="inlineStr">
        <is>
          <t>Three directors — Priya, Gopal, Zara — are speaking at the town hall in sequence. Priya is not last. Zara is not first. Gopal is not last. Gopal is not first. Who is last?</t>
        </is>
      </c>
      <c r="F42" s="6" t="inlineStr">
        <is>
          <t>Zara</t>
        </is>
      </c>
      <c r="G42" s="6" t="inlineStr">
        <is>
          <t>Priya</t>
        </is>
      </c>
      <c r="H42" s="6" t="inlineStr">
        <is>
          <t>Gopal</t>
        </is>
      </c>
      <c r="I42" s="6" t="inlineStr">
        <is>
          <t>Cannot be determined</t>
        </is>
      </c>
      <c r="J42" s="5" t="n"/>
      <c r="K42" s="5" t="n"/>
      <c r="L42" s="5" t="n"/>
      <c r="M42" s="5" t="n"/>
      <c r="N42" s="5" t="inlineStr">
        <is>
          <t>A</t>
        </is>
      </c>
      <c r="O42" s="5" t="n"/>
      <c r="P42" s="5" t="n"/>
      <c r="Q42" s="5" t="n"/>
      <c r="R42" s="5" t="n"/>
      <c r="S42" s="5" t="n"/>
      <c r="T42" s="5">
        <f>IF(O42="","",IF(O42=N42,1,0))</f>
        <v/>
      </c>
      <c r="U42" s="6" t="n"/>
    </row>
    <row r="43">
      <c r="A43" s="5" t="n">
        <v>5</v>
      </c>
      <c r="B43" s="5" t="n">
        <v>2</v>
      </c>
      <c r="C43" s="5" t="inlineStr">
        <is>
          <t>Critical Thinking</t>
        </is>
      </c>
      <c r="D43" s="5" t="inlineStr">
        <is>
          <t>Scored</t>
        </is>
      </c>
      <c r="E43" s="6" t="inlineStr">
        <is>
          <t>A VP says: 'Most senior leaders here think this vendor is the best, so it must be.' What's the actual flaw in this reasoning?</t>
        </is>
      </c>
      <c r="F43" s="6" t="inlineStr">
        <is>
          <t>Best can't be evaluated for vendors</t>
        </is>
      </c>
      <c r="G43" s="6" t="inlineStr">
        <is>
          <t>No leaders use the vendor</t>
        </is>
      </c>
      <c r="H43" s="6" t="inlineStr">
        <is>
          <t>Agreement among leaders isn't the same as actual evidence the vendor is best</t>
        </is>
      </c>
      <c r="I43" s="6" t="inlineStr">
        <is>
          <t>Only one leader exists at the company</t>
        </is>
      </c>
      <c r="J43" s="5" t="n"/>
      <c r="K43" s="5" t="n"/>
      <c r="L43" s="5" t="n"/>
      <c r="M43" s="5" t="n"/>
      <c r="N43" s="5" t="inlineStr">
        <is>
          <t>C</t>
        </is>
      </c>
      <c r="O43" s="5" t="n"/>
      <c r="P43" s="5" t="n"/>
      <c r="Q43" s="5" t="n"/>
      <c r="R43" s="5" t="n"/>
      <c r="S43" s="5" t="n"/>
      <c r="T43" s="5">
        <f>IF(O43="","",IF(O43=N43,1,0))</f>
        <v/>
      </c>
      <c r="U43" s="6" t="n"/>
    </row>
    <row r="44">
      <c r="A44" s="5" t="n">
        <v>5</v>
      </c>
      <c r="B44" s="5" t="n">
        <v>3</v>
      </c>
      <c r="C44" s="5" t="inlineStr">
        <is>
          <t>Decision Making</t>
        </is>
      </c>
      <c r="D44" s="5" t="inlineStr">
        <is>
          <t>Scored</t>
        </is>
      </c>
      <c r="E44" s="6" t="inlineStr">
        <is>
          <t>You only have time for ONE of these right now. Which gives the best value for the effort it takes?</t>
        </is>
      </c>
      <c r="F44" s="6" t="inlineStr">
        <is>
          <t>complete the compliance review (effort 3, value 11)</t>
        </is>
      </c>
      <c r="G44" s="6" t="inlineStr">
        <is>
          <t>approve the vendor contract (effort 7, value 15)</t>
        </is>
      </c>
      <c r="H44" s="6" t="inlineStr">
        <is>
          <t>They are all equally good choices</t>
        </is>
      </c>
      <c r="I44" s="6" t="inlineStr">
        <is>
          <t>finalize the budget proposal (effort 2, value 5)</t>
        </is>
      </c>
      <c r="J44" s="5" t="n"/>
      <c r="K44" s="5" t="n"/>
      <c r="L44" s="5" t="n"/>
      <c r="M44" s="5" t="n"/>
      <c r="N44" s="5" t="inlineStr">
        <is>
          <t>A</t>
        </is>
      </c>
      <c r="O44" s="5" t="n"/>
      <c r="P44" s="5" t="n"/>
      <c r="Q44" s="5" t="n"/>
      <c r="R44" s="5" t="n"/>
      <c r="S44" s="5" t="n"/>
      <c r="T44" s="5">
        <f>IF(O44="","",IF(O44=N44,1,0))</f>
        <v/>
      </c>
      <c r="U44" s="6" t="n"/>
    </row>
    <row r="45">
      <c r="A45" s="5" t="n">
        <v>5</v>
      </c>
      <c r="B45" s="5" t="n">
        <v>4</v>
      </c>
      <c r="C45" s="5" t="inlineStr">
        <is>
          <t>Mental Math</t>
        </is>
      </c>
      <c r="D45" s="5" t="inlineStr">
        <is>
          <t>Scored</t>
        </is>
      </c>
      <c r="E45" s="6" t="inlineStr">
        <is>
          <t>After spending 25 and later receiving 31 as a gift, Iris has 77. How much did Iris start with?</t>
        </is>
      </c>
      <c r="F45" s="6" t="inlineStr">
        <is>
          <t>71</t>
        </is>
      </c>
      <c r="G45" s="6" t="inlineStr">
        <is>
          <t>77</t>
        </is>
      </c>
      <c r="H45" s="6" t="inlineStr">
        <is>
          <t>40</t>
        </is>
      </c>
      <c r="I45" s="6" t="inlineStr">
        <is>
          <t>96</t>
        </is>
      </c>
      <c r="J45" s="5" t="n"/>
      <c r="K45" s="5" t="n"/>
      <c r="L45" s="5" t="n"/>
      <c r="M45" s="5" t="n"/>
      <c r="N45" s="5" t="inlineStr">
        <is>
          <t>A</t>
        </is>
      </c>
      <c r="O45" s="5" t="n"/>
      <c r="P45" s="5" t="n"/>
      <c r="Q45" s="5" t="n"/>
      <c r="R45" s="5" t="n"/>
      <c r="S45" s="5" t="n"/>
      <c r="T45" s="5">
        <f>IF(O45="","",IF(O45=N45,1,0))</f>
        <v/>
      </c>
      <c r="U45" s="6" t="n"/>
    </row>
    <row r="46">
      <c r="A46" s="5" t="n">
        <v>5</v>
      </c>
      <c r="B46" s="5" t="n">
        <v>5</v>
      </c>
      <c r="C46" s="5" t="inlineStr">
        <is>
          <t>Cognitive Academia</t>
        </is>
      </c>
      <c r="D46" s="5" t="inlineStr">
        <is>
          <t>Scored</t>
        </is>
      </c>
      <c r="E46" s="6" t="inlineStr">
        <is>
          <t>What comes next in this pattern: 6, 10, 20, 24, 48, ?</t>
        </is>
      </c>
      <c r="F46" s="6" t="inlineStr">
        <is>
          <t>55</t>
        </is>
      </c>
      <c r="G46" s="6" t="inlineStr">
        <is>
          <t>52</t>
        </is>
      </c>
      <c r="H46" s="6" t="inlineStr">
        <is>
          <t>44</t>
        </is>
      </c>
      <c r="I46" s="6" t="inlineStr">
        <is>
          <t>50</t>
        </is>
      </c>
      <c r="J46" s="5" t="n"/>
      <c r="K46" s="5" t="n"/>
      <c r="L46" s="5" t="n"/>
      <c r="M46" s="5" t="n"/>
      <c r="N46" s="5" t="inlineStr">
        <is>
          <t>B</t>
        </is>
      </c>
      <c r="O46" s="5" t="n"/>
      <c r="P46" s="5" t="n"/>
      <c r="Q46" s="5" t="n"/>
      <c r="R46" s="5" t="n"/>
      <c r="S46" s="5" t="n"/>
      <c r="T46" s="5">
        <f>IF(O46="","",IF(O46=N46,1,0))</f>
        <v/>
      </c>
      <c r="U46" s="6" t="n"/>
    </row>
    <row r="47">
      <c r="A47" s="5" t="n">
        <v>5</v>
      </c>
      <c r="B47" s="5" t="n">
        <v>6</v>
      </c>
      <c r="C47" s="5" t="inlineStr">
        <is>
          <t>Leadership / Communication / Emotional &amp; Social</t>
        </is>
      </c>
      <c r="D47" s="5" t="inlineStr">
        <is>
          <t>Self-report (most/least)</t>
        </is>
      </c>
      <c r="E47" s="6" t="inlineStr">
        <is>
          <t>A newly promoted manager on your team is clearly overwhelmed and hasn't asked for help.</t>
        </is>
      </c>
      <c r="F47" s="6" t="inlineStr">
        <is>
          <t>None of these feel like you in this moment</t>
        </is>
      </c>
      <c r="G47" s="6" t="inlineStr">
        <is>
          <t>You like defining the plan of action for your organization</t>
        </is>
      </c>
      <c r="H47" s="6" t="inlineStr">
        <is>
          <t>You stay calm even during organizational crises</t>
        </is>
      </c>
      <c r="I47" s="6" t="inlineStr">
        <is>
          <t>You like asking clarifying questions before committing to a direction</t>
        </is>
      </c>
      <c r="J47" s="5" t="inlineStr"/>
      <c r="K47" s="5" t="inlineStr">
        <is>
          <t>LD</t>
        </is>
      </c>
      <c r="L47" s="5" t="inlineStr">
        <is>
          <t>ES</t>
        </is>
      </c>
      <c r="M47" s="5" t="inlineStr">
        <is>
          <t>CM</t>
        </is>
      </c>
      <c r="N47" s="5" t="n"/>
      <c r="O47" s="5" t="n"/>
      <c r="P47" s="5" t="n"/>
      <c r="Q47" s="5" t="n"/>
      <c r="R47" s="5">
        <f>IFERROR(INDEX(J47:M47,MATCH(P47,{"A","B","C","D"},0)),"")</f>
        <v/>
      </c>
      <c r="S47" s="5">
        <f>IFERROR(INDEX(J47:M47,MATCH(Q47,{"A","B","C","D"},0)),"")</f>
        <v/>
      </c>
      <c r="T47" s="5" t="n"/>
      <c r="U47" s="6" t="n"/>
    </row>
    <row r="48">
      <c r="A48" s="5" t="n">
        <v>5</v>
      </c>
      <c r="B48" s="5" t="n">
        <v>7</v>
      </c>
      <c r="C48" s="5" t="inlineStr">
        <is>
          <t>Leadership / Communication / Emotional &amp; Social</t>
        </is>
      </c>
      <c r="D48" s="5" t="inlineStr">
        <is>
          <t>Self-report (most/least)</t>
        </is>
      </c>
      <c r="E48" s="6" t="inlineStr">
        <is>
          <t>Your leadership team is split on a major strategic call two hours before the announcement.</t>
        </is>
      </c>
      <c r="F48" s="6" t="inlineStr">
        <is>
          <t>You'd need more time before reacting at all</t>
        </is>
      </c>
      <c r="G48" s="6" t="inlineStr">
        <is>
          <t>You make sure your point comes across persuasively to leadership</t>
        </is>
      </c>
      <c r="H48" s="6" t="inlineStr">
        <is>
          <t>You can sense how a colleague feels without them saying it</t>
        </is>
      </c>
      <c r="I48" s="6" t="inlineStr">
        <is>
          <t>You enjoy being chosen to head a major initiative</t>
        </is>
      </c>
      <c r="J48" s="5" t="inlineStr"/>
      <c r="K48" s="5" t="inlineStr">
        <is>
          <t>CM</t>
        </is>
      </c>
      <c r="L48" s="5" t="inlineStr">
        <is>
          <t>ES</t>
        </is>
      </c>
      <c r="M48" s="5" t="inlineStr">
        <is>
          <t>LD</t>
        </is>
      </c>
      <c r="N48" s="5" t="n"/>
      <c r="O48" s="5" t="n"/>
      <c r="P48" s="5" t="n"/>
      <c r="Q48" s="5" t="n"/>
      <c r="R48" s="5">
        <f>IFERROR(INDEX(J48:M48,MATCH(P48,{"A","B","C","D"},0)),"")</f>
        <v/>
      </c>
      <c r="S48" s="5">
        <f>IFERROR(INDEX(J48:M48,MATCH(Q48,{"A","B","C","D"},0)),"")</f>
        <v/>
      </c>
      <c r="T48" s="5" t="n"/>
      <c r="U48" s="6" t="n"/>
    </row>
    <row r="49">
      <c r="A49" s="5" t="n">
        <v>5</v>
      </c>
      <c r="B49" s="5" t="n">
        <v>8</v>
      </c>
      <c r="C49" s="5" t="inlineStr">
        <is>
          <t>Leadership / Communication / Emotional &amp; Social</t>
        </is>
      </c>
      <c r="D49" s="5" t="inlineStr">
        <is>
          <t>Self-report (most/least)</t>
        </is>
      </c>
      <c r="E49" s="6" t="inlineStr">
        <is>
          <t>You discover a material error in a report the night before it goes to the board.</t>
        </is>
      </c>
      <c r="F49" s="6" t="inlineStr">
        <is>
          <t>You find the right words to explain something complex to a broad audience</t>
        </is>
      </c>
      <c r="G49" s="6" t="inlineStr">
        <is>
          <t>You'd rather wait and see what others do first</t>
        </is>
      </c>
      <c r="H49" s="6" t="inlineStr">
        <is>
          <t>You like setting clear strategic goals for your team</t>
        </is>
      </c>
      <c r="I49" s="6" t="inlineStr">
        <is>
          <t>You're comfortable representing your organization in new settings</t>
        </is>
      </c>
      <c r="J49" s="5" t="inlineStr">
        <is>
          <t>CM</t>
        </is>
      </c>
      <c r="K49" s="5" t="inlineStr"/>
      <c r="L49" s="5" t="inlineStr">
        <is>
          <t>LD</t>
        </is>
      </c>
      <c r="M49" s="5" t="inlineStr">
        <is>
          <t>ES</t>
        </is>
      </c>
      <c r="N49" s="5" t="n"/>
      <c r="O49" s="5" t="n"/>
      <c r="P49" s="5" t="n"/>
      <c r="Q49" s="5" t="n"/>
      <c r="R49" s="5">
        <f>IFERROR(INDEX(J49:M49,MATCH(P49,{"A","B","C","D"},0)),"")</f>
        <v/>
      </c>
      <c r="S49" s="5">
        <f>IFERROR(INDEX(J49:M49,MATCH(Q49,{"A","B","C","D"},0)),"")</f>
        <v/>
      </c>
      <c r="T49" s="5" t="n"/>
      <c r="U49" s="6" t="n"/>
    </row>
    <row r="50">
      <c r="A50" s="5" t="n">
        <v>5</v>
      </c>
      <c r="B50" s="5" t="n">
        <v>9</v>
      </c>
      <c r="C50" s="5" t="inlineStr">
        <is>
          <t>Creative Skills</t>
        </is>
      </c>
      <c r="D50" s="5" t="inlineStr">
        <is>
          <t>Open-ended (not auto-scored)</t>
        </is>
      </c>
      <c r="E50" s="6" t="inlineStr">
        <is>
          <t>Pitch an unconventional idea to make succession planning feel less bureaucratic.</t>
        </is>
      </c>
      <c r="F50" s="6" t="n"/>
      <c r="G50" s="6" t="n"/>
      <c r="H50" s="6" t="n"/>
      <c r="I50" s="6" t="n"/>
      <c r="J50" s="5" t="n"/>
      <c r="K50" s="5" t="n"/>
      <c r="L50" s="5" t="n"/>
      <c r="M50" s="5" t="n"/>
      <c r="N50" s="5" t="n"/>
      <c r="O50" s="5" t="n"/>
      <c r="P50" s="5" t="n"/>
      <c r="Q50" s="5" t="n"/>
      <c r="R50" s="5" t="n"/>
      <c r="S50" s="5" t="n"/>
      <c r="T50" s="5" t="n"/>
      <c r="U50" s="6" t="n"/>
    </row>
    <row r="51">
      <c r="A51" s="5" t="n">
        <v>5</v>
      </c>
      <c r="B51" s="5" t="n">
        <v>10</v>
      </c>
      <c r="C51" s="5" t="inlineStr">
        <is>
          <t>Listening Skills</t>
        </is>
      </c>
      <c r="D51" s="5" t="inlineStr">
        <is>
          <t>Scored</t>
        </is>
      </c>
      <c r="E51" s="6" t="inlineStr">
        <is>
          <t>[Read once, then answer without re-reading] “Before the succession planning review, HR compiled the leadership pipeline, flagged two gaps, and finally scheduled follow-up conversations.”  ||  What happened last?</t>
        </is>
      </c>
      <c r="F51" s="6" t="inlineStr">
        <is>
          <t>flagged two gaps</t>
        </is>
      </c>
      <c r="G51" s="6" t="inlineStr">
        <is>
          <t>scheduled follow-up conversations</t>
        </is>
      </c>
      <c r="H51" s="6" t="inlineStr">
        <is>
          <t>compiled the leadership pipeline</t>
        </is>
      </c>
      <c r="I51" s="6" t="inlineStr">
        <is>
          <t>announced a new CEO</t>
        </is>
      </c>
      <c r="J51" s="5" t="n"/>
      <c r="K51" s="5" t="n"/>
      <c r="L51" s="5" t="n"/>
      <c r="M51" s="5" t="n"/>
      <c r="N51" s="5" t="inlineStr">
        <is>
          <t>B</t>
        </is>
      </c>
      <c r="O51" s="5" t="n"/>
      <c r="P51" s="5" t="n"/>
      <c r="Q51" s="5" t="n"/>
      <c r="R51" s="5" t="n"/>
      <c r="S51" s="5" t="n"/>
      <c r="T51" s="5">
        <f>IF(O51="","",IF(O51=N51,1,0))</f>
        <v/>
      </c>
      <c r="U51" s="6" t="n"/>
    </row>
    <row r="52">
      <c r="A52" s="7" t="n">
        <v>6</v>
      </c>
      <c r="B52" s="7" t="n">
        <v>1</v>
      </c>
      <c r="C52" s="7" t="inlineStr">
        <is>
          <t>Problem Solving</t>
        </is>
      </c>
      <c r="D52" s="7" t="inlineStr">
        <is>
          <t>Scored</t>
        </is>
      </c>
      <c r="E52" s="8" t="inlineStr">
        <is>
          <t>Three directors — Maya, Diya, Ishaan — are speaking at the town hall in sequence. Maya is not in the middle. Diya is not first. Maya is not last. Ishaan is not in the middle. Who is first?</t>
        </is>
      </c>
      <c r="F52" s="8" t="inlineStr">
        <is>
          <t>Diya</t>
        </is>
      </c>
      <c r="G52" s="8" t="inlineStr">
        <is>
          <t>Cannot be determined</t>
        </is>
      </c>
      <c r="H52" s="8" t="inlineStr">
        <is>
          <t>Ishaan</t>
        </is>
      </c>
      <c r="I52" s="8" t="inlineStr">
        <is>
          <t>Maya</t>
        </is>
      </c>
      <c r="J52" s="7" t="n"/>
      <c r="K52" s="7" t="n"/>
      <c r="L52" s="7" t="n"/>
      <c r="M52" s="7" t="n"/>
      <c r="N52" s="7" t="inlineStr">
        <is>
          <t>D</t>
        </is>
      </c>
      <c r="O52" s="7" t="n"/>
      <c r="P52" s="7" t="n"/>
      <c r="Q52" s="7" t="n"/>
      <c r="R52" s="7" t="n"/>
      <c r="S52" s="7" t="n"/>
      <c r="T52" s="7">
        <f>IF(O52="","",IF(O52=N52,1,0))</f>
        <v/>
      </c>
      <c r="U52" s="8" t="n"/>
    </row>
    <row r="53">
      <c r="A53" s="7" t="n">
        <v>6</v>
      </c>
      <c r="B53" s="7" t="n">
        <v>2</v>
      </c>
      <c r="C53" s="7" t="inlineStr">
        <is>
          <t>Critical Thinking</t>
        </is>
      </c>
      <c r="D53" s="7" t="inlineStr">
        <is>
          <t>Scored</t>
        </is>
      </c>
      <c r="E53" s="8" t="inlineStr">
        <is>
          <t>A CEO warns: 'If we allow one team to skip the standard process, soon every team will ignore it and operations will collapse.' What's the actual flaw in this reasoning?</t>
        </is>
      </c>
      <c r="F53" s="8" t="inlineStr">
        <is>
          <t>One exception guarantees total collapse</t>
        </is>
      </c>
      <c r="G53" s="8" t="inlineStr">
        <is>
          <t>The process is already ignored everywhere</t>
        </is>
      </c>
      <c r="H53" s="8" t="inlineStr">
        <is>
          <t>It assumes one exception inevitably snowballs into total organisational collapse</t>
        </is>
      </c>
      <c r="I53" s="8" t="inlineStr">
        <is>
          <t>No standard process currently exists</t>
        </is>
      </c>
      <c r="J53" s="7" t="n"/>
      <c r="K53" s="7" t="n"/>
      <c r="L53" s="7" t="n"/>
      <c r="M53" s="7" t="n"/>
      <c r="N53" s="7" t="inlineStr">
        <is>
          <t>C</t>
        </is>
      </c>
      <c r="O53" s="7" t="n"/>
      <c r="P53" s="7" t="n"/>
      <c r="Q53" s="7" t="n"/>
      <c r="R53" s="7" t="n"/>
      <c r="S53" s="7" t="n"/>
      <c r="T53" s="7">
        <f>IF(O53="","",IF(O53=N53,1,0))</f>
        <v/>
      </c>
      <c r="U53" s="8" t="n"/>
    </row>
    <row r="54">
      <c r="A54" s="7" t="n">
        <v>6</v>
      </c>
      <c r="B54" s="7" t="n">
        <v>3</v>
      </c>
      <c r="C54" s="7" t="inlineStr">
        <is>
          <t>Decision Making</t>
        </is>
      </c>
      <c r="D54" s="7" t="inlineStr">
        <is>
          <t>Scored</t>
        </is>
      </c>
      <c r="E54" s="8" t="inlineStr">
        <is>
          <t>You have 35 minutes. submit the board presentation takes 23 minutes, finalize the budget proposal takes 12 minutes, and complete the compliance review takes 28 minutes. You must skip exactly one of them to fit the other two into your 35 minutes. Which should you skip?</t>
        </is>
      </c>
      <c r="F54" s="8" t="inlineStr">
        <is>
          <t>submit the board presentation</t>
        </is>
      </c>
      <c r="G54" s="8" t="inlineStr">
        <is>
          <t>finalize the budget proposal</t>
        </is>
      </c>
      <c r="H54" s="8" t="inlineStr">
        <is>
          <t>complete the compliance review</t>
        </is>
      </c>
      <c r="I54" s="8" t="inlineStr">
        <is>
          <t>It's impossible to fit any two</t>
        </is>
      </c>
      <c r="J54" s="7" t="n"/>
      <c r="K54" s="7" t="n"/>
      <c r="L54" s="7" t="n"/>
      <c r="M54" s="7" t="n"/>
      <c r="N54" s="7" t="inlineStr">
        <is>
          <t>C</t>
        </is>
      </c>
      <c r="O54" s="7" t="n"/>
      <c r="P54" s="7" t="n"/>
      <c r="Q54" s="7" t="n"/>
      <c r="R54" s="7" t="n"/>
      <c r="S54" s="7" t="n"/>
      <c r="T54" s="7">
        <f>IF(O54="","",IF(O54=N54,1,0))</f>
        <v/>
      </c>
      <c r="U54" s="8" t="n"/>
    </row>
    <row r="55">
      <c r="A55" s="7" t="n">
        <v>6</v>
      </c>
      <c r="B55" s="7" t="n">
        <v>4</v>
      </c>
      <c r="C55" s="7" t="inlineStr">
        <is>
          <t>Mental Math</t>
        </is>
      </c>
      <c r="D55" s="7" t="inlineStr">
        <is>
          <t>Scored</t>
        </is>
      </c>
      <c r="E55" s="8" t="inlineStr">
        <is>
          <t>A recipe mixes blue paint and yellow paint in a 4:5 ratio. If you use 8 units of blue paint, how much yellow paint do you need?</t>
        </is>
      </c>
      <c r="F55" s="8" t="inlineStr">
        <is>
          <t>5</t>
        </is>
      </c>
      <c r="G55" s="8" t="inlineStr">
        <is>
          <t>15</t>
        </is>
      </c>
      <c r="H55" s="8" t="inlineStr">
        <is>
          <t>8</t>
        </is>
      </c>
      <c r="I55" s="8" t="inlineStr">
        <is>
          <t>10</t>
        </is>
      </c>
      <c r="J55" s="7" t="n"/>
      <c r="K55" s="7" t="n"/>
      <c r="L55" s="7" t="n"/>
      <c r="M55" s="7" t="n"/>
      <c r="N55" s="7" t="inlineStr">
        <is>
          <t>D</t>
        </is>
      </c>
      <c r="O55" s="7" t="n"/>
      <c r="P55" s="7" t="n"/>
      <c r="Q55" s="7" t="n"/>
      <c r="R55" s="7" t="n"/>
      <c r="S55" s="7" t="n"/>
      <c r="T55" s="7">
        <f>IF(O55="","",IF(O55=N55,1,0))</f>
        <v/>
      </c>
      <c r="U55" s="8" t="n"/>
    </row>
    <row r="56">
      <c r="A56" s="7" t="n">
        <v>6</v>
      </c>
      <c r="B56" s="7" t="n">
        <v>5</v>
      </c>
      <c r="C56" s="7" t="inlineStr">
        <is>
          <t>Cognitive Academia</t>
        </is>
      </c>
      <c r="D56" s="7" t="inlineStr">
        <is>
          <t>Scored</t>
        </is>
      </c>
      <c r="E56" s="8" t="inlineStr">
        <is>
          <t>What comes next in this pattern: 4, 8, 16, 32, ?</t>
        </is>
      </c>
      <c r="F56" s="8" t="inlineStr">
        <is>
          <t>64</t>
        </is>
      </c>
      <c r="G56" s="8" t="inlineStr">
        <is>
          <t>66</t>
        </is>
      </c>
      <c r="H56" s="8" t="inlineStr">
        <is>
          <t>35</t>
        </is>
      </c>
      <c r="I56" s="8" t="inlineStr">
        <is>
          <t>48</t>
        </is>
      </c>
      <c r="J56" s="7" t="n"/>
      <c r="K56" s="7" t="n"/>
      <c r="L56" s="7" t="n"/>
      <c r="M56" s="7" t="n"/>
      <c r="N56" s="7" t="inlineStr">
        <is>
          <t>A</t>
        </is>
      </c>
      <c r="O56" s="7" t="n"/>
      <c r="P56" s="7" t="n"/>
      <c r="Q56" s="7" t="n"/>
      <c r="R56" s="7" t="n"/>
      <c r="S56" s="7" t="n"/>
      <c r="T56" s="7">
        <f>IF(O56="","",IF(O56=N56,1,0))</f>
        <v/>
      </c>
      <c r="U56" s="8" t="n"/>
    </row>
    <row r="57">
      <c r="A57" s="7" t="n">
        <v>6</v>
      </c>
      <c r="B57" s="7" t="n">
        <v>6</v>
      </c>
      <c r="C57" s="7" t="inlineStr">
        <is>
          <t>Leadership / Communication / Emotional &amp; Social</t>
        </is>
      </c>
      <c r="D57" s="7" t="inlineStr">
        <is>
          <t>Self-report (most/least)</t>
        </is>
      </c>
      <c r="E57" s="8" t="inlineStr">
        <is>
          <t>A trusted colleague was just passed over for a role they were counting on, and it shows.</t>
        </is>
      </c>
      <c r="F57" s="8" t="inlineStr">
        <is>
          <t>You'd need more time before reacting at all</t>
        </is>
      </c>
      <c r="G57" s="8" t="inlineStr">
        <is>
          <t>You naturally end up being the one who decides</t>
        </is>
      </c>
      <c r="H57" s="8" t="inlineStr">
        <is>
          <t>You like structuring your thoughts before an important meeting</t>
        </is>
      </c>
      <c r="I57" s="8" t="inlineStr">
        <is>
          <t>You enjoy helping a colleague work through a difficult situation</t>
        </is>
      </c>
      <c r="J57" s="7" t="inlineStr"/>
      <c r="K57" s="7" t="inlineStr">
        <is>
          <t>LD</t>
        </is>
      </c>
      <c r="L57" s="7" t="inlineStr">
        <is>
          <t>CM</t>
        </is>
      </c>
      <c r="M57" s="7" t="inlineStr">
        <is>
          <t>ES</t>
        </is>
      </c>
      <c r="N57" s="7" t="n"/>
      <c r="O57" s="7" t="n"/>
      <c r="P57" s="7" t="n"/>
      <c r="Q57" s="7" t="n"/>
      <c r="R57" s="7">
        <f>IFERROR(INDEX(J57:M57,MATCH(P57,{"A","B","C","D"},0)),"")</f>
        <v/>
      </c>
      <c r="S57" s="7">
        <f>IFERROR(INDEX(J57:M57,MATCH(Q57,{"A","B","C","D"},0)),"")</f>
        <v/>
      </c>
      <c r="T57" s="7" t="n"/>
      <c r="U57" s="8" t="n"/>
    </row>
    <row r="58">
      <c r="A58" s="7" t="n">
        <v>6</v>
      </c>
      <c r="B58" s="7" t="n">
        <v>7</v>
      </c>
      <c r="C58" s="7" t="inlineStr">
        <is>
          <t>Leadership / Communication / Emotional &amp; Social</t>
        </is>
      </c>
      <c r="D58" s="7" t="inlineStr">
        <is>
          <t>Self-report (most/least)</t>
        </is>
      </c>
      <c r="E58" s="8" t="inlineStr">
        <is>
          <t>Your strategy just received a tough, pointed challenge from a stakeholder mid-meeting.</t>
        </is>
      </c>
      <c r="F58" s="8" t="inlineStr">
        <is>
          <t>You'd rather wait and see what others do first</t>
        </is>
      </c>
      <c r="G58" s="8" t="inlineStr">
        <is>
          <t>You naturally take charge when an initiative lacks direction</t>
        </is>
      </c>
      <c r="H58" s="8" t="inlineStr">
        <is>
          <t>You notice when a member of your team is under pressure</t>
        </is>
      </c>
      <c r="I58" s="8" t="inlineStr">
        <is>
          <t>You explain your reasoning clearly so stakeholders follow it</t>
        </is>
      </c>
      <c r="J58" s="7" t="inlineStr"/>
      <c r="K58" s="7" t="inlineStr">
        <is>
          <t>LD</t>
        </is>
      </c>
      <c r="L58" s="7" t="inlineStr">
        <is>
          <t>ES</t>
        </is>
      </c>
      <c r="M58" s="7" t="inlineStr">
        <is>
          <t>CM</t>
        </is>
      </c>
      <c r="N58" s="7" t="n"/>
      <c r="O58" s="7" t="n"/>
      <c r="P58" s="7" t="n"/>
      <c r="Q58" s="7" t="n"/>
      <c r="R58" s="7">
        <f>IFERROR(INDEX(J58:M58,MATCH(P58,{"A","B","C","D"},0)),"")</f>
        <v/>
      </c>
      <c r="S58" s="7">
        <f>IFERROR(INDEX(J58:M58,MATCH(Q58,{"A","B","C","D"},0)),"")</f>
        <v/>
      </c>
      <c r="T58" s="7" t="n"/>
      <c r="U58" s="8" t="n"/>
    </row>
    <row r="59">
      <c r="A59" s="7" t="n">
        <v>6</v>
      </c>
      <c r="B59" s="7" t="n">
        <v>8</v>
      </c>
      <c r="C59" s="7" t="inlineStr">
        <is>
          <t>Leadership / Communication / Emotional &amp; Social</t>
        </is>
      </c>
      <c r="D59" s="7" t="inlineStr">
        <is>
          <t>Self-report (most/least)</t>
        </is>
      </c>
      <c r="E59" s="8" t="inlineStr">
        <is>
          <t>You're the only executive in the room who thinks the current direction is a mistake.</t>
        </is>
      </c>
      <c r="F59" s="8" t="inlineStr">
        <is>
          <t>You'd step back and observe before choosing any of these</t>
        </is>
      </c>
      <c r="G59" s="8" t="inlineStr">
        <is>
          <t>You enjoy writing reports or giving board-level presentations</t>
        </is>
      </c>
      <c r="H59" s="8" t="inlineStr">
        <is>
          <t>You step up to lead when no one else volunteers</t>
        </is>
      </c>
      <c r="I59" s="8" t="inlineStr">
        <is>
          <t>You're good at helping a stressed team member feel supported</t>
        </is>
      </c>
      <c r="J59" s="7" t="inlineStr"/>
      <c r="K59" s="7" t="inlineStr">
        <is>
          <t>CM</t>
        </is>
      </c>
      <c r="L59" s="7" t="inlineStr">
        <is>
          <t>LD</t>
        </is>
      </c>
      <c r="M59" s="7" t="inlineStr">
        <is>
          <t>ES</t>
        </is>
      </c>
      <c r="N59" s="7" t="n"/>
      <c r="O59" s="7" t="n"/>
      <c r="P59" s="7" t="n"/>
      <c r="Q59" s="7" t="n"/>
      <c r="R59" s="7">
        <f>IFERROR(INDEX(J59:M59,MATCH(P59,{"A","B","C","D"},0)),"")</f>
        <v/>
      </c>
      <c r="S59" s="7">
        <f>IFERROR(INDEX(J59:M59,MATCH(Q59,{"A","B","C","D"},0)),"")</f>
        <v/>
      </c>
      <c r="T59" s="7" t="n"/>
      <c r="U59" s="8" t="n"/>
    </row>
    <row r="60">
      <c r="A60" s="7" t="n">
        <v>6</v>
      </c>
      <c r="B60" s="7" t="n">
        <v>9</v>
      </c>
      <c r="C60" s="7" t="inlineStr">
        <is>
          <t>Creative Skills</t>
        </is>
      </c>
      <c r="D60" s="7" t="inlineStr">
        <is>
          <t>Open-ended (not auto-scored)</t>
        </is>
      </c>
      <c r="E60" s="8" t="inlineStr">
        <is>
          <t>Design an onboarding approach for a newly acquired team joining your organisation.</t>
        </is>
      </c>
      <c r="F60" s="8" t="n"/>
      <c r="G60" s="8" t="n"/>
      <c r="H60" s="8" t="n"/>
      <c r="I60" s="8" t="n"/>
      <c r="J60" s="7" t="n"/>
      <c r="K60" s="7" t="n"/>
      <c r="L60" s="7" t="n"/>
      <c r="M60" s="7" t="n"/>
      <c r="N60" s="7" t="n"/>
      <c r="O60" s="7" t="n"/>
      <c r="P60" s="7" t="n"/>
      <c r="Q60" s="7" t="n"/>
      <c r="R60" s="7" t="n"/>
      <c r="S60" s="7" t="n"/>
      <c r="T60" s="7" t="n"/>
      <c r="U60" s="8" t="n"/>
    </row>
    <row r="61">
      <c r="A61" s="7" t="n">
        <v>6</v>
      </c>
      <c r="B61" s="7" t="n">
        <v>10</v>
      </c>
      <c r="C61" s="7" t="inlineStr">
        <is>
          <t>Listening Skills</t>
        </is>
      </c>
      <c r="D61" s="7" t="inlineStr">
        <is>
          <t>Scored</t>
        </is>
      </c>
      <c r="E61" s="8" t="inlineStr">
        <is>
          <t>[Read once, then answer without re-reading] “Ahead of the client renewal meeting, the account lead reviewed the contract terms, prepared two proposals, and then confirmed the meeting time.”  ||  What happened last?</t>
        </is>
      </c>
      <c r="F61" s="8" t="inlineStr">
        <is>
          <t>confirmed the meeting time</t>
        </is>
      </c>
      <c r="G61" s="8" t="inlineStr">
        <is>
          <t>prepared two proposals</t>
        </is>
      </c>
      <c r="H61" s="8" t="inlineStr">
        <is>
          <t>signed the final renewal</t>
        </is>
      </c>
      <c r="I61" s="8" t="inlineStr">
        <is>
          <t>reviewed the contract terms</t>
        </is>
      </c>
      <c r="J61" s="7" t="n"/>
      <c r="K61" s="7" t="n"/>
      <c r="L61" s="7" t="n"/>
      <c r="M61" s="7" t="n"/>
      <c r="N61" s="7" t="inlineStr">
        <is>
          <t>A</t>
        </is>
      </c>
      <c r="O61" s="7" t="n"/>
      <c r="P61" s="7" t="n"/>
      <c r="Q61" s="7" t="n"/>
      <c r="R61" s="7" t="n"/>
      <c r="S61" s="7" t="n"/>
      <c r="T61" s="7">
        <f>IF(O61="","",IF(O61=N61,1,0))</f>
        <v/>
      </c>
      <c r="U61" s="8" t="n"/>
    </row>
    <row r="62">
      <c r="A62" s="5" t="n">
        <v>7</v>
      </c>
      <c r="B62" s="5" t="n">
        <v>1</v>
      </c>
      <c r="C62" s="5" t="inlineStr">
        <is>
          <t>Problem Solving</t>
        </is>
      </c>
      <c r="D62" s="5" t="inlineStr">
        <is>
          <t>Scored</t>
        </is>
      </c>
      <c r="E62" s="6" t="inlineStr">
        <is>
          <t>Three directors — Ben, Rhea, Jyoti — are speaking at the town hall in sequence. Ben is not first. Rhea is not last. Jyoti is not in the middle. Rhea is not in the middle. Who is first?</t>
        </is>
      </c>
      <c r="F62" s="6" t="inlineStr">
        <is>
          <t>Rhea</t>
        </is>
      </c>
      <c r="G62" s="6" t="inlineStr">
        <is>
          <t>Jyoti</t>
        </is>
      </c>
      <c r="H62" s="6" t="inlineStr">
        <is>
          <t>Ben</t>
        </is>
      </c>
      <c r="I62" s="6" t="inlineStr">
        <is>
          <t>Cannot be determined</t>
        </is>
      </c>
      <c r="J62" s="5" t="n"/>
      <c r="K62" s="5" t="n"/>
      <c r="L62" s="5" t="n"/>
      <c r="M62" s="5" t="n"/>
      <c r="N62" s="5" t="inlineStr">
        <is>
          <t>A</t>
        </is>
      </c>
      <c r="O62" s="5" t="n"/>
      <c r="P62" s="5" t="n"/>
      <c r="Q62" s="5" t="n"/>
      <c r="R62" s="5" t="n"/>
      <c r="S62" s="5" t="n"/>
      <c r="T62" s="5">
        <f>IF(O62="","",IF(O62=N62,1,0))</f>
        <v/>
      </c>
      <c r="U62" s="6" t="n"/>
    </row>
    <row r="63">
      <c r="A63" s="5" t="n">
        <v>7</v>
      </c>
      <c r="B63" s="5" t="n">
        <v>2</v>
      </c>
      <c r="C63" s="5" t="inlineStr">
        <is>
          <t>Critical Thinking</t>
        </is>
      </c>
      <c r="D63" s="5" t="inlineStr">
        <is>
          <t>Scored</t>
        </is>
      </c>
      <c r="E63" s="6" t="inlineStr">
        <is>
          <t>A director proposes a pilot for a four-day work week. A peer replies: 'So you want to abandon a real work schedule entirely?' What's the actual flaw in this reasoning?</t>
        </is>
      </c>
      <c r="F63" s="6" t="inlineStr">
        <is>
          <t>The peer is exaggerating a moderate pilot proposal into an extreme position</t>
        </is>
      </c>
      <c r="G63" s="6" t="inlineStr">
        <is>
          <t>The peer supports the four-day pilot</t>
        </is>
      </c>
      <c r="H63" s="6" t="inlineStr">
        <is>
          <t>The director wants schedules abolished</t>
        </is>
      </c>
      <c r="I63" s="6" t="inlineStr">
        <is>
          <t>A four-day week already applies company-wide</t>
        </is>
      </c>
      <c r="J63" s="5" t="n"/>
      <c r="K63" s="5" t="n"/>
      <c r="L63" s="5" t="n"/>
      <c r="M63" s="5" t="n"/>
      <c r="N63" s="5" t="inlineStr">
        <is>
          <t>A</t>
        </is>
      </c>
      <c r="O63" s="5" t="n"/>
      <c r="P63" s="5" t="n"/>
      <c r="Q63" s="5" t="n"/>
      <c r="R63" s="5" t="n"/>
      <c r="S63" s="5" t="n"/>
      <c r="T63" s="5">
        <f>IF(O63="","",IF(O63=N63,1,0))</f>
        <v/>
      </c>
      <c r="U63" s="6" t="n"/>
    </row>
    <row r="64">
      <c r="A64" s="5" t="n">
        <v>7</v>
      </c>
      <c r="B64" s="5" t="n">
        <v>3</v>
      </c>
      <c r="C64" s="5" t="inlineStr">
        <is>
          <t>Decision Making</t>
        </is>
      </c>
      <c r="D64" s="5" t="inlineStr">
        <is>
          <t>Scored</t>
        </is>
      </c>
      <c r="E64" s="6" t="inlineStr">
        <is>
          <t>You only have time for ONE of these right now. Which gives the best value for the effort it takes?</t>
        </is>
      </c>
      <c r="F64" s="6" t="inlineStr">
        <is>
          <t>approve the vendor contract (effort 3, value 7)</t>
        </is>
      </c>
      <c r="G64" s="6" t="inlineStr">
        <is>
          <t>submit the board presentation (effort 4, value 14)</t>
        </is>
      </c>
      <c r="H64" s="6" t="inlineStr">
        <is>
          <t>finalize the budget proposal (effort 2, value 2)</t>
        </is>
      </c>
      <c r="I64" s="6" t="inlineStr">
        <is>
          <t>They are all equally good choices</t>
        </is>
      </c>
      <c r="J64" s="5" t="n"/>
      <c r="K64" s="5" t="n"/>
      <c r="L64" s="5" t="n"/>
      <c r="M64" s="5" t="n"/>
      <c r="N64" s="5" t="inlineStr">
        <is>
          <t>B</t>
        </is>
      </c>
      <c r="O64" s="5" t="n"/>
      <c r="P64" s="5" t="n"/>
      <c r="Q64" s="5" t="n"/>
      <c r="R64" s="5" t="n"/>
      <c r="S64" s="5" t="n"/>
      <c r="T64" s="5">
        <f>IF(O64="","",IF(O64=N64,1,0))</f>
        <v/>
      </c>
      <c r="U64" s="6" t="n"/>
    </row>
    <row r="65">
      <c r="A65" s="5" t="n">
        <v>7</v>
      </c>
      <c r="B65" s="5" t="n">
        <v>4</v>
      </c>
      <c r="C65" s="5" t="inlineStr">
        <is>
          <t>Mental Math</t>
        </is>
      </c>
      <c r="D65" s="5" t="inlineStr">
        <is>
          <t>Scored</t>
        </is>
      </c>
      <c r="E65" s="6" t="inlineStr">
        <is>
          <t>I'm thinking of a number. If you triple it, then add 40, then subtract 86, you get 5. What's my number?</t>
        </is>
      </c>
      <c r="F65" s="6" t="inlineStr">
        <is>
          <t>17</t>
        </is>
      </c>
      <c r="G65" s="6" t="inlineStr">
        <is>
          <t>19</t>
        </is>
      </c>
      <c r="H65" s="6" t="inlineStr">
        <is>
          <t>16</t>
        </is>
      </c>
      <c r="I65" s="6" t="inlineStr">
        <is>
          <t>18</t>
        </is>
      </c>
      <c r="J65" s="5" t="n"/>
      <c r="K65" s="5" t="n"/>
      <c r="L65" s="5" t="n"/>
      <c r="M65" s="5" t="n"/>
      <c r="N65" s="5" t="inlineStr">
        <is>
          <t>A</t>
        </is>
      </c>
      <c r="O65" s="5" t="n"/>
      <c r="P65" s="5" t="n"/>
      <c r="Q65" s="5" t="n"/>
      <c r="R65" s="5" t="n"/>
      <c r="S65" s="5" t="n"/>
      <c r="T65" s="5">
        <f>IF(O65="","",IF(O65=N65,1,0))</f>
        <v/>
      </c>
      <c r="U65" s="6" t="n"/>
    </row>
    <row r="66">
      <c r="A66" s="5" t="n">
        <v>7</v>
      </c>
      <c r="B66" s="5" t="n">
        <v>5</v>
      </c>
      <c r="C66" s="5" t="inlineStr">
        <is>
          <t>Cognitive Academia</t>
        </is>
      </c>
      <c r="D66" s="5" t="inlineStr">
        <is>
          <t>Scored</t>
        </is>
      </c>
      <c r="E66" s="6" t="inlineStr">
        <is>
          <t>What comes next in this pattern: 3, 8, 15, 24, 35, ?</t>
        </is>
      </c>
      <c r="F66" s="6" t="inlineStr">
        <is>
          <t>50</t>
        </is>
      </c>
      <c r="G66" s="6" t="inlineStr">
        <is>
          <t>46</t>
        </is>
      </c>
      <c r="H66" s="6" t="inlineStr">
        <is>
          <t>52</t>
        </is>
      </c>
      <c r="I66" s="6" t="inlineStr">
        <is>
          <t>48</t>
        </is>
      </c>
      <c r="J66" s="5" t="n"/>
      <c r="K66" s="5" t="n"/>
      <c r="L66" s="5" t="n"/>
      <c r="M66" s="5" t="n"/>
      <c r="N66" s="5" t="inlineStr">
        <is>
          <t>D</t>
        </is>
      </c>
      <c r="O66" s="5" t="n"/>
      <c r="P66" s="5" t="n"/>
      <c r="Q66" s="5" t="n"/>
      <c r="R66" s="5" t="n"/>
      <c r="S66" s="5" t="n"/>
      <c r="T66" s="5">
        <f>IF(O66="","",IF(O66=N66,1,0))</f>
        <v/>
      </c>
      <c r="U66" s="6" t="n"/>
    </row>
    <row r="67">
      <c r="A67" s="5" t="n">
        <v>7</v>
      </c>
      <c r="B67" s="5" t="n">
        <v>6</v>
      </c>
      <c r="C67" s="5" t="inlineStr">
        <is>
          <t>Leadership / Communication / Emotional &amp; Social</t>
        </is>
      </c>
      <c r="D67" s="5" t="inlineStr">
        <is>
          <t>Self-report (most/least)</t>
        </is>
      </c>
      <c r="E67" s="6" t="inlineStr">
        <is>
          <t>A member of your team wants to quietly adjust a figure to make quarterly results look better.</t>
        </is>
      </c>
      <c r="F67" s="6" t="inlineStr">
        <is>
          <t>You'd rather wait and see what others do first</t>
        </is>
      </c>
      <c r="G67" s="6" t="inlineStr">
        <is>
          <t>You like setting clear strategic goals for your team</t>
        </is>
      </c>
      <c r="H67" s="6" t="inlineStr">
        <is>
          <t>You find the right words to explain something complex to a broad audience</t>
        </is>
      </c>
      <c r="I67" s="6" t="inlineStr">
        <is>
          <t>You're comfortable representing your organization in new settings</t>
        </is>
      </c>
      <c r="J67" s="5" t="inlineStr"/>
      <c r="K67" s="5" t="inlineStr">
        <is>
          <t>LD</t>
        </is>
      </c>
      <c r="L67" s="5" t="inlineStr">
        <is>
          <t>CM</t>
        </is>
      </c>
      <c r="M67" s="5" t="inlineStr">
        <is>
          <t>ES</t>
        </is>
      </c>
      <c r="N67" s="5" t="n"/>
      <c r="O67" s="5" t="n"/>
      <c r="P67" s="5" t="n"/>
      <c r="Q67" s="5" t="n"/>
      <c r="R67" s="5">
        <f>IFERROR(INDEX(J67:M67,MATCH(P67,{"A","B","C","D"},0)),"")</f>
        <v/>
      </c>
      <c r="S67" s="5">
        <f>IFERROR(INDEX(J67:M67,MATCH(Q67,{"A","B","C","D"},0)),"")</f>
        <v/>
      </c>
      <c r="T67" s="5" t="n"/>
      <c r="U67" s="6" t="n"/>
    </row>
    <row r="68">
      <c r="A68" s="5" t="n">
        <v>7</v>
      </c>
      <c r="B68" s="5" t="n">
        <v>7</v>
      </c>
      <c r="C68" s="5" t="inlineStr">
        <is>
          <t>Leadership / Communication / Emotional &amp; Social</t>
        </is>
      </c>
      <c r="D68" s="5" t="inlineStr">
        <is>
          <t>Self-report (most/least)</t>
        </is>
      </c>
      <c r="E68" s="6" t="inlineStr">
        <is>
          <t>You're asked to publicly defend a decision you privately disagree with.</t>
        </is>
      </c>
      <c r="F68" s="6" t="inlineStr">
        <is>
          <t>You'd step back and observe before choosing any of these</t>
        </is>
      </c>
      <c r="G68" s="6" t="inlineStr">
        <is>
          <t>You check that your audience understood your point</t>
        </is>
      </c>
      <c r="H68" s="6" t="inlineStr">
        <is>
          <t>You stay composed even under significant pressure</t>
        </is>
      </c>
      <c r="I68" s="6" t="inlineStr">
        <is>
          <t>You enjoy leading through major organizational change</t>
        </is>
      </c>
      <c r="J68" s="5" t="inlineStr"/>
      <c r="K68" s="5" t="inlineStr">
        <is>
          <t>CM</t>
        </is>
      </c>
      <c r="L68" s="5" t="inlineStr">
        <is>
          <t>ES</t>
        </is>
      </c>
      <c r="M68" s="5" t="inlineStr">
        <is>
          <t>LD</t>
        </is>
      </c>
      <c r="N68" s="5" t="n"/>
      <c r="O68" s="5" t="n"/>
      <c r="P68" s="5" t="n"/>
      <c r="Q68" s="5" t="n"/>
      <c r="R68" s="5">
        <f>IFERROR(INDEX(J68:M68,MATCH(P68,{"A","B","C","D"},0)),"")</f>
        <v/>
      </c>
      <c r="S68" s="5">
        <f>IFERROR(INDEX(J68:M68,MATCH(Q68,{"A","B","C","D"},0)),"")</f>
        <v/>
      </c>
      <c r="T68" s="5" t="n"/>
      <c r="U68" s="6" t="n"/>
    </row>
    <row r="69">
      <c r="A69" s="5" t="n">
        <v>7</v>
      </c>
      <c r="B69" s="5" t="n">
        <v>8</v>
      </c>
      <c r="C69" s="5" t="inlineStr">
        <is>
          <t>Leadership / Communication / Emotional &amp; Social</t>
        </is>
      </c>
      <c r="D69" s="5" t="inlineStr">
        <is>
          <t>Self-report (most/least)</t>
        </is>
      </c>
      <c r="E69" s="6" t="inlineStr">
        <is>
          <t>A high-performing member of your team has gone quiet for two weeks right before a major deliverable.</t>
        </is>
      </c>
      <c r="F69" s="6" t="inlineStr">
        <is>
          <t>You enjoy explaining your reasoning to the board or senior leadership</t>
        </is>
      </c>
      <c r="G69" s="6" t="inlineStr">
        <is>
          <t>None of these feel like you in this moment</t>
        </is>
      </c>
      <c r="H69" s="6" t="inlineStr">
        <is>
          <t>You like guiding your organization toward a shared vision</t>
        </is>
      </c>
      <c r="I69" s="6" t="inlineStr">
        <is>
          <t>You notice subtle changes in team morale</t>
        </is>
      </c>
      <c r="J69" s="5" t="inlineStr">
        <is>
          <t>CM</t>
        </is>
      </c>
      <c r="K69" s="5" t="inlineStr"/>
      <c r="L69" s="5" t="inlineStr">
        <is>
          <t>LD</t>
        </is>
      </c>
      <c r="M69" s="5" t="inlineStr">
        <is>
          <t>ES</t>
        </is>
      </c>
      <c r="N69" s="5" t="n"/>
      <c r="O69" s="5" t="n"/>
      <c r="P69" s="5" t="n"/>
      <c r="Q69" s="5" t="n"/>
      <c r="R69" s="5">
        <f>IFERROR(INDEX(J69:M69,MATCH(P69,{"A","B","C","D"},0)),"")</f>
        <v/>
      </c>
      <c r="S69" s="5">
        <f>IFERROR(INDEX(J69:M69,MATCH(Q69,{"A","B","C","D"},0)),"")</f>
        <v/>
      </c>
      <c r="T69" s="5" t="n"/>
      <c r="U69" s="6" t="n"/>
    </row>
    <row r="70">
      <c r="A70" s="5" t="n">
        <v>7</v>
      </c>
      <c r="B70" s="5" t="n">
        <v>9</v>
      </c>
      <c r="C70" s="5" t="inlineStr">
        <is>
          <t>Creative Skills</t>
        </is>
      </c>
      <c r="D70" s="5" t="inlineStr">
        <is>
          <t>Open-ended (not auto-scored)</t>
        </is>
      </c>
      <c r="E70" s="6" t="inlineStr">
        <is>
          <t>Invent a low-cost way to keep institutional knowledge from walking out the door when senior people leave.</t>
        </is>
      </c>
      <c r="F70" s="6" t="n"/>
      <c r="G70" s="6" t="n"/>
      <c r="H70" s="6" t="n"/>
      <c r="I70" s="6" t="n"/>
      <c r="J70" s="5" t="n"/>
      <c r="K70" s="5" t="n"/>
      <c r="L70" s="5" t="n"/>
      <c r="M70" s="5" t="n"/>
      <c r="N70" s="5" t="n"/>
      <c r="O70" s="5" t="n"/>
      <c r="P70" s="5" t="n"/>
      <c r="Q70" s="5" t="n"/>
      <c r="R70" s="5" t="n"/>
      <c r="S70" s="5" t="n"/>
      <c r="T70" s="5" t="n"/>
      <c r="U70" s="6" t="n"/>
    </row>
    <row r="71">
      <c r="A71" s="5" t="n">
        <v>7</v>
      </c>
      <c r="B71" s="5" t="n">
        <v>10</v>
      </c>
      <c r="C71" s="5" t="inlineStr">
        <is>
          <t>Listening Skills</t>
        </is>
      </c>
      <c r="D71" s="5" t="inlineStr">
        <is>
          <t>Scored</t>
        </is>
      </c>
      <c r="E71" s="6" t="inlineStr">
        <is>
          <t>[Read once, then answer without re-reading] “Before the restructuring announcement, leadership finalised the new org chart, briefed the managers, and finally scheduled the team communications.”  ||  What happened first?</t>
        </is>
      </c>
      <c r="F71" s="6" t="inlineStr">
        <is>
          <t>scheduled the team communications</t>
        </is>
      </c>
      <c r="G71" s="6" t="inlineStr">
        <is>
          <t>closed the office</t>
        </is>
      </c>
      <c r="H71" s="6" t="inlineStr">
        <is>
          <t>briefed the managers</t>
        </is>
      </c>
      <c r="I71" s="6" t="inlineStr">
        <is>
          <t>finalised the new org chart</t>
        </is>
      </c>
      <c r="J71" s="5" t="n"/>
      <c r="K71" s="5" t="n"/>
      <c r="L71" s="5" t="n"/>
      <c r="M71" s="5" t="n"/>
      <c r="N71" s="5" t="inlineStr">
        <is>
          <t>D</t>
        </is>
      </c>
      <c r="O71" s="5" t="n"/>
      <c r="P71" s="5" t="n"/>
      <c r="Q71" s="5" t="n"/>
      <c r="R71" s="5" t="n"/>
      <c r="S71" s="5" t="n"/>
      <c r="T71" s="5">
        <f>IF(O71="","",IF(O71=N71,1,0))</f>
        <v/>
      </c>
      <c r="U71" s="6" t="n"/>
    </row>
    <row r="72">
      <c r="A72" s="7" t="n">
        <v>8</v>
      </c>
      <c r="B72" s="7" t="n">
        <v>1</v>
      </c>
      <c r="C72" s="7" t="inlineStr">
        <is>
          <t>Problem Solving</t>
        </is>
      </c>
      <c r="D72" s="7" t="inlineStr">
        <is>
          <t>Scored</t>
        </is>
      </c>
      <c r="E72" s="8" t="inlineStr">
        <is>
          <t>Three directors — Priya, Maya, Ben — are speaking at the town hall in sequence. Ben is not first. Ben is not last. Maya is not first. Who is in the middle?</t>
        </is>
      </c>
      <c r="F72" s="8" t="inlineStr">
        <is>
          <t>Ben</t>
        </is>
      </c>
      <c r="G72" s="8" t="inlineStr">
        <is>
          <t>Maya</t>
        </is>
      </c>
      <c r="H72" s="8" t="inlineStr">
        <is>
          <t>Priya</t>
        </is>
      </c>
      <c r="I72" s="8" t="inlineStr">
        <is>
          <t>Cannot be determined</t>
        </is>
      </c>
      <c r="J72" s="7" t="n"/>
      <c r="K72" s="7" t="n"/>
      <c r="L72" s="7" t="n"/>
      <c r="M72" s="7" t="n"/>
      <c r="N72" s="7" t="inlineStr">
        <is>
          <t>A</t>
        </is>
      </c>
      <c r="O72" s="7" t="n"/>
      <c r="P72" s="7" t="n"/>
      <c r="Q72" s="7" t="n"/>
      <c r="R72" s="7" t="n"/>
      <c r="S72" s="7" t="n"/>
      <c r="T72" s="7">
        <f>IF(O72="","",IF(O72=N72,1,0))</f>
        <v/>
      </c>
      <c r="U72" s="8" t="n"/>
    </row>
    <row r="73">
      <c r="A73" s="7" t="n">
        <v>8</v>
      </c>
      <c r="B73" s="7" t="n">
        <v>2</v>
      </c>
      <c r="C73" s="7" t="inlineStr">
        <is>
          <t>Critical Thinking</t>
        </is>
      </c>
      <c r="D73" s="7" t="inlineStr">
        <is>
          <t>Scored</t>
        </is>
      </c>
      <c r="E73" s="8" t="inlineStr">
        <is>
          <t>A leader adopts a management framework because a well-known public speaker, who has never run a company, endorsed it. What's the actual flaw in this reasoning?</t>
        </is>
      </c>
      <c r="F73" s="8" t="inlineStr">
        <is>
          <t>The speaker designed the framework</t>
        </is>
      </c>
      <c r="G73" s="8" t="inlineStr">
        <is>
          <t>Frameworks cannot be endorsed publicly</t>
        </is>
      </c>
      <c r="H73" s="8" t="inlineStr">
        <is>
          <t>The speaker isn't actually a credible authority on running a company</t>
        </is>
      </c>
      <c r="I73" s="8" t="inlineStr">
        <is>
          <t>The speaker has run several companies</t>
        </is>
      </c>
      <c r="J73" s="7" t="n"/>
      <c r="K73" s="7" t="n"/>
      <c r="L73" s="7" t="n"/>
      <c r="M73" s="7" t="n"/>
      <c r="N73" s="7" t="inlineStr">
        <is>
          <t>C</t>
        </is>
      </c>
      <c r="O73" s="7" t="n"/>
      <c r="P73" s="7" t="n"/>
      <c r="Q73" s="7" t="n"/>
      <c r="R73" s="7" t="n"/>
      <c r="S73" s="7" t="n"/>
      <c r="T73" s="7">
        <f>IF(O73="","",IF(O73=N73,1,0))</f>
        <v/>
      </c>
      <c r="U73" s="8" t="n"/>
    </row>
    <row r="74">
      <c r="A74" s="7" t="n">
        <v>8</v>
      </c>
      <c r="B74" s="7" t="n">
        <v>3</v>
      </c>
      <c r="C74" s="7" t="inlineStr">
        <is>
          <t>Decision Making</t>
        </is>
      </c>
      <c r="D74" s="7" t="inlineStr">
        <is>
          <t>Scored</t>
        </is>
      </c>
      <c r="E74" s="8" t="inlineStr">
        <is>
          <t>You have 37 minutes. complete the compliance review takes 20 minutes, finalize the budget proposal takes 17 minutes, and approve the vendor contract takes 23 minutes. You must skip exactly one of them to fit the other two into your 37 minutes. Which should you skip?</t>
        </is>
      </c>
      <c r="F74" s="8" t="inlineStr">
        <is>
          <t>approve the vendor contract</t>
        </is>
      </c>
      <c r="G74" s="8" t="inlineStr">
        <is>
          <t>complete the compliance review</t>
        </is>
      </c>
      <c r="H74" s="8" t="inlineStr">
        <is>
          <t>It's impossible to fit any two</t>
        </is>
      </c>
      <c r="I74" s="8" t="inlineStr">
        <is>
          <t>finalize the budget proposal</t>
        </is>
      </c>
      <c r="J74" s="7" t="n"/>
      <c r="K74" s="7" t="n"/>
      <c r="L74" s="7" t="n"/>
      <c r="M74" s="7" t="n"/>
      <c r="N74" s="7" t="inlineStr">
        <is>
          <t>A</t>
        </is>
      </c>
      <c r="O74" s="7" t="n"/>
      <c r="P74" s="7" t="n"/>
      <c r="Q74" s="7" t="n"/>
      <c r="R74" s="7" t="n"/>
      <c r="S74" s="7" t="n"/>
      <c r="T74" s="7">
        <f>IF(O74="","",IF(O74=N74,1,0))</f>
        <v/>
      </c>
      <c r="U74" s="8" t="n"/>
    </row>
    <row r="75">
      <c r="A75" s="7" t="n">
        <v>8</v>
      </c>
      <c r="B75" s="7" t="n">
        <v>4</v>
      </c>
      <c r="C75" s="7" t="inlineStr">
        <is>
          <t>Mental Math</t>
        </is>
      </c>
      <c r="D75" s="7" t="inlineStr">
        <is>
          <t>Scored</t>
        </is>
      </c>
      <c r="E75" s="8" t="inlineStr">
        <is>
          <t>After spending 76 and later receiving 47 as a gift, Iris has 129. How much did Iris start with?</t>
        </is>
      </c>
      <c r="F75" s="8" t="inlineStr">
        <is>
          <t>111</t>
        </is>
      </c>
      <c r="G75" s="8" t="inlineStr">
        <is>
          <t>129</t>
        </is>
      </c>
      <c r="H75" s="8" t="inlineStr">
        <is>
          <t>234</t>
        </is>
      </c>
      <c r="I75" s="8" t="inlineStr">
        <is>
          <t>158</t>
        </is>
      </c>
      <c r="J75" s="7" t="n"/>
      <c r="K75" s="7" t="n"/>
      <c r="L75" s="7" t="n"/>
      <c r="M75" s="7" t="n"/>
      <c r="N75" s="7" t="inlineStr">
        <is>
          <t>D</t>
        </is>
      </c>
      <c r="O75" s="7" t="n"/>
      <c r="P75" s="7" t="n"/>
      <c r="Q75" s="7" t="n"/>
      <c r="R75" s="7" t="n"/>
      <c r="S75" s="7" t="n"/>
      <c r="T75" s="7">
        <f>IF(O75="","",IF(O75=N75,1,0))</f>
        <v/>
      </c>
      <c r="U75" s="8" t="n"/>
    </row>
    <row r="76">
      <c r="A76" s="7" t="n">
        <v>8</v>
      </c>
      <c r="B76" s="7" t="n">
        <v>5</v>
      </c>
      <c r="C76" s="7" t="inlineStr">
        <is>
          <t>Cognitive Academia</t>
        </is>
      </c>
      <c r="D76" s="7" t="inlineStr">
        <is>
          <t>Scored</t>
        </is>
      </c>
      <c r="E76" s="8" t="inlineStr">
        <is>
          <t>What comes next in this pattern: 3, 5, 10, 12, 24, ?</t>
        </is>
      </c>
      <c r="F76" s="8" t="inlineStr">
        <is>
          <t>26</t>
        </is>
      </c>
      <c r="G76" s="8" t="inlineStr">
        <is>
          <t>22</t>
        </is>
      </c>
      <c r="H76" s="8" t="inlineStr">
        <is>
          <t>34</t>
        </is>
      </c>
      <c r="I76" s="8" t="inlineStr">
        <is>
          <t>29</t>
        </is>
      </c>
      <c r="J76" s="7" t="n"/>
      <c r="K76" s="7" t="n"/>
      <c r="L76" s="7" t="n"/>
      <c r="M76" s="7" t="n"/>
      <c r="N76" s="7" t="inlineStr">
        <is>
          <t>A</t>
        </is>
      </c>
      <c r="O76" s="7" t="n"/>
      <c r="P76" s="7" t="n"/>
      <c r="Q76" s="7" t="n"/>
      <c r="R76" s="7" t="n"/>
      <c r="S76" s="7" t="n"/>
      <c r="T76" s="7">
        <f>IF(O76="","",IF(O76=N76,1,0))</f>
        <v/>
      </c>
      <c r="U76" s="8" t="n"/>
    </row>
    <row r="77">
      <c r="A77" s="7" t="n">
        <v>8</v>
      </c>
      <c r="B77" s="7" t="n">
        <v>6</v>
      </c>
      <c r="C77" s="7" t="inlineStr">
        <is>
          <t>Leadership / Communication / Emotional &amp; Social</t>
        </is>
      </c>
      <c r="D77" s="7" t="inlineStr">
        <is>
          <t>Self-report (most/least)</t>
        </is>
      </c>
      <c r="E77" s="8" t="inlineStr">
        <is>
          <t>You're mid-presentation to the board and realize a key figure on your slide is wrong.</t>
        </is>
      </c>
      <c r="F77" s="8" t="inlineStr">
        <is>
          <t>You enjoy writing reports or giving board-level presentations</t>
        </is>
      </c>
      <c r="G77" s="8" t="inlineStr">
        <is>
          <t>You step up to lead when no one else volunteers</t>
        </is>
      </c>
      <c r="H77" s="8" t="inlineStr">
        <is>
          <t>You'd step back and observe before choosing any of these</t>
        </is>
      </c>
      <c r="I77" s="8" t="inlineStr">
        <is>
          <t>You're good at helping a stressed team member feel supported</t>
        </is>
      </c>
      <c r="J77" s="7" t="inlineStr">
        <is>
          <t>CM</t>
        </is>
      </c>
      <c r="K77" s="7" t="inlineStr">
        <is>
          <t>LD</t>
        </is>
      </c>
      <c r="L77" s="7" t="inlineStr"/>
      <c r="M77" s="7" t="inlineStr">
        <is>
          <t>ES</t>
        </is>
      </c>
      <c r="N77" s="7" t="n"/>
      <c r="O77" s="7" t="n"/>
      <c r="P77" s="7" t="n"/>
      <c r="Q77" s="7" t="n"/>
      <c r="R77" s="7">
        <f>IFERROR(INDEX(J77:M77,MATCH(P77,{"A","B","C","D"},0)),"")</f>
        <v/>
      </c>
      <c r="S77" s="7">
        <f>IFERROR(INDEX(J77:M77,MATCH(Q77,{"A","B","C","D"},0)),"")</f>
        <v/>
      </c>
      <c r="T77" s="7" t="n"/>
      <c r="U77" s="8" t="n"/>
    </row>
    <row r="78">
      <c r="A78" s="7" t="n">
        <v>8</v>
      </c>
      <c r="B78" s="7" t="n">
        <v>7</v>
      </c>
      <c r="C78" s="7" t="inlineStr">
        <is>
          <t>Leadership / Communication / Emotional &amp; Social</t>
        </is>
      </c>
      <c r="D78" s="7" t="inlineStr">
        <is>
          <t>Self-report (most/least)</t>
        </is>
      </c>
      <c r="E78" s="8" t="inlineStr">
        <is>
          <t>A newly promoted manager on your team is clearly overwhelmed and hasn't asked for help.</t>
        </is>
      </c>
      <c r="F78" s="8" t="inlineStr">
        <is>
          <t>You take ownership when something goes wrong on your watch</t>
        </is>
      </c>
      <c r="G78" s="8" t="inlineStr">
        <is>
          <t>You like presenting your ideas confidently in high-stakes meetings</t>
        </is>
      </c>
      <c r="H78" s="8" t="inlineStr">
        <is>
          <t>None of these feel like you in this moment</t>
        </is>
      </c>
      <c r="I78" s="8" t="inlineStr">
        <is>
          <t>You handle high-stakes disagreements without letting them escalate</t>
        </is>
      </c>
      <c r="J78" s="7" t="inlineStr">
        <is>
          <t>LD</t>
        </is>
      </c>
      <c r="K78" s="7" t="inlineStr">
        <is>
          <t>CM</t>
        </is>
      </c>
      <c r="L78" s="7" t="inlineStr"/>
      <c r="M78" s="7" t="inlineStr">
        <is>
          <t>ES</t>
        </is>
      </c>
      <c r="N78" s="7" t="n"/>
      <c r="O78" s="7" t="n"/>
      <c r="P78" s="7" t="n"/>
      <c r="Q78" s="7" t="n"/>
      <c r="R78" s="7">
        <f>IFERROR(INDEX(J78:M78,MATCH(P78,{"A","B","C","D"},0)),"")</f>
        <v/>
      </c>
      <c r="S78" s="7">
        <f>IFERROR(INDEX(J78:M78,MATCH(Q78,{"A","B","C","D"},0)),"")</f>
        <v/>
      </c>
      <c r="T78" s="7" t="n"/>
      <c r="U78" s="8" t="n"/>
    </row>
    <row r="79">
      <c r="A79" s="7" t="n">
        <v>8</v>
      </c>
      <c r="B79" s="7" t="n">
        <v>8</v>
      </c>
      <c r="C79" s="7" t="inlineStr">
        <is>
          <t>Leadership / Communication / Emotional &amp; Social</t>
        </is>
      </c>
      <c r="D79" s="7" t="inlineStr">
        <is>
          <t>Self-report (most/least)</t>
        </is>
      </c>
      <c r="E79" s="8" t="inlineStr">
        <is>
          <t>Your leadership team is split on a major strategic call two hours before the announcement.</t>
        </is>
      </c>
      <c r="F79" s="8" t="inlineStr">
        <is>
          <t>You enjoy discussing strategy openly with peers</t>
        </is>
      </c>
      <c r="G79" s="8" t="inlineStr">
        <is>
          <t>You feel confident making high-stakes decisions</t>
        </is>
      </c>
      <c r="H79" s="8" t="inlineStr">
        <is>
          <t>You'd need more time before reacting at all</t>
        </is>
      </c>
      <c r="I79" s="8" t="inlineStr">
        <is>
          <t>You think about how a decision might affect your people</t>
        </is>
      </c>
      <c r="J79" s="7" t="inlineStr">
        <is>
          <t>CM</t>
        </is>
      </c>
      <c r="K79" s="7" t="inlineStr">
        <is>
          <t>LD</t>
        </is>
      </c>
      <c r="L79" s="7" t="inlineStr"/>
      <c r="M79" s="7" t="inlineStr">
        <is>
          <t>ES</t>
        </is>
      </c>
      <c r="N79" s="7" t="n"/>
      <c r="O79" s="7" t="n"/>
      <c r="P79" s="7" t="n"/>
      <c r="Q79" s="7" t="n"/>
      <c r="R79" s="7">
        <f>IFERROR(INDEX(J79:M79,MATCH(P79,{"A","B","C","D"},0)),"")</f>
        <v/>
      </c>
      <c r="S79" s="7">
        <f>IFERROR(INDEX(J79:M79,MATCH(Q79,{"A","B","C","D"},0)),"")</f>
        <v/>
      </c>
      <c r="T79" s="7" t="n"/>
      <c r="U79" s="8" t="n"/>
    </row>
    <row r="80">
      <c r="A80" s="7" t="n">
        <v>8</v>
      </c>
      <c r="B80" s="7" t="n">
        <v>9</v>
      </c>
      <c r="C80" s="7" t="inlineStr">
        <is>
          <t>Creative Skills</t>
        </is>
      </c>
      <c r="D80" s="7" t="inlineStr">
        <is>
          <t>Open-ended (not auto-scored)</t>
        </is>
      </c>
      <c r="E80" s="8" t="inlineStr">
        <is>
          <t>If you could redesign the performance review process, what would you change first?</t>
        </is>
      </c>
      <c r="F80" s="8" t="n"/>
      <c r="G80" s="8" t="n"/>
      <c r="H80" s="8" t="n"/>
      <c r="I80" s="8" t="n"/>
      <c r="J80" s="7" t="n"/>
      <c r="K80" s="7" t="n"/>
      <c r="L80" s="7" t="n"/>
      <c r="M80" s="7" t="n"/>
      <c r="N80" s="7" t="n"/>
      <c r="O80" s="7" t="n"/>
      <c r="P80" s="7" t="n"/>
      <c r="Q80" s="7" t="n"/>
      <c r="R80" s="7" t="n"/>
      <c r="S80" s="7" t="n"/>
      <c r="T80" s="7" t="n"/>
      <c r="U80" s="8" t="n"/>
    </row>
    <row r="81">
      <c r="A81" s="7" t="n">
        <v>8</v>
      </c>
      <c r="B81" s="7" t="n">
        <v>10</v>
      </c>
      <c r="C81" s="7" t="inlineStr">
        <is>
          <t>Listening Skills</t>
        </is>
      </c>
      <c r="D81" s="7" t="inlineStr">
        <is>
          <t>Scored</t>
        </is>
      </c>
      <c r="E81" s="8" t="inlineStr">
        <is>
          <t>[Read once, then answer without re-reading] “During the strategy offsite, the team reviewed last year's results, debated three options, and then aligned on next year's priorities.”  ||  What happened last?</t>
        </is>
      </c>
      <c r="F81" s="8" t="inlineStr">
        <is>
          <t>aligned on next year's priorities</t>
        </is>
      </c>
      <c r="G81" s="8" t="inlineStr">
        <is>
          <t>debated three options</t>
        </is>
      </c>
      <c r="H81" s="8" t="inlineStr">
        <is>
          <t>reviewed last year's results</t>
        </is>
      </c>
      <c r="I81" s="8" t="inlineStr">
        <is>
          <t>announced layoffs</t>
        </is>
      </c>
      <c r="J81" s="7" t="n"/>
      <c r="K81" s="7" t="n"/>
      <c r="L81" s="7" t="n"/>
      <c r="M81" s="7" t="n"/>
      <c r="N81" s="7" t="inlineStr">
        <is>
          <t>A</t>
        </is>
      </c>
      <c r="O81" s="7" t="n"/>
      <c r="P81" s="7" t="n"/>
      <c r="Q81" s="7" t="n"/>
      <c r="R81" s="7" t="n"/>
      <c r="S81" s="7" t="n"/>
      <c r="T81" s="7">
        <f>IF(O81="","",IF(O81=N81,1,0))</f>
        <v/>
      </c>
      <c r="U81" s="8" t="n"/>
    </row>
    <row r="82">
      <c r="A82" s="5" t="n">
        <v>9</v>
      </c>
      <c r="B82" s="5" t="n">
        <v>1</v>
      </c>
      <c r="C82" s="5" t="inlineStr">
        <is>
          <t>Problem Solving</t>
        </is>
      </c>
      <c r="D82" s="5" t="inlineStr">
        <is>
          <t>Scored</t>
        </is>
      </c>
      <c r="E82" s="6" t="inlineStr">
        <is>
          <t>Three directors — Gopal, Kabir, Hana — are speaking at the town hall in sequence. Gopal is not first. Kabir is not first. Kabir is not in the middle. Who is first?</t>
        </is>
      </c>
      <c r="F82" s="6" t="inlineStr">
        <is>
          <t>Gopal</t>
        </is>
      </c>
      <c r="G82" s="6" t="inlineStr">
        <is>
          <t>Hana</t>
        </is>
      </c>
      <c r="H82" s="6" t="inlineStr">
        <is>
          <t>Cannot be determined</t>
        </is>
      </c>
      <c r="I82" s="6" t="inlineStr">
        <is>
          <t>Kabir</t>
        </is>
      </c>
      <c r="J82" s="5" t="n"/>
      <c r="K82" s="5" t="n"/>
      <c r="L82" s="5" t="n"/>
      <c r="M82" s="5" t="n"/>
      <c r="N82" s="5" t="inlineStr">
        <is>
          <t>B</t>
        </is>
      </c>
      <c r="O82" s="5" t="n"/>
      <c r="P82" s="5" t="n"/>
      <c r="Q82" s="5" t="n"/>
      <c r="R82" s="5" t="n"/>
      <c r="S82" s="5" t="n"/>
      <c r="T82" s="5">
        <f>IF(O82="","",IF(O82=N82,1,0))</f>
        <v/>
      </c>
      <c r="U82" s="6" t="n"/>
    </row>
    <row r="83">
      <c r="A83" s="5" t="n">
        <v>9</v>
      </c>
      <c r="B83" s="5" t="n">
        <v>2</v>
      </c>
      <c r="C83" s="5" t="inlineStr">
        <is>
          <t>Critical Thinking</t>
        </is>
      </c>
      <c r="D83" s="5" t="inlineStr">
        <is>
          <t>Scored</t>
        </is>
      </c>
      <c r="E83" s="6" t="inlineStr">
        <is>
          <t>A memo claims 'succession planning doesn't matter' because one company thrived after losing its CEO unexpectedly. What's the actual flaw in this reasoning?</t>
        </is>
      </c>
      <c r="F83" s="6" t="inlineStr">
        <is>
          <t>A single unusual case is used instead of looking at typical outcomes</t>
        </is>
      </c>
      <c r="G83" s="6" t="inlineStr">
        <is>
          <t>The story describes a fictional company</t>
        </is>
      </c>
      <c r="H83" s="6" t="inlineStr">
        <is>
          <t>No company has ever lost a CEO</t>
        </is>
      </c>
      <c r="I83" s="6" t="inlineStr">
        <is>
          <t>The company actually had a succession plan</t>
        </is>
      </c>
      <c r="J83" s="5" t="n"/>
      <c r="K83" s="5" t="n"/>
      <c r="L83" s="5" t="n"/>
      <c r="M83" s="5" t="n"/>
      <c r="N83" s="5" t="inlineStr">
        <is>
          <t>A</t>
        </is>
      </c>
      <c r="O83" s="5" t="n"/>
      <c r="P83" s="5" t="n"/>
      <c r="Q83" s="5" t="n"/>
      <c r="R83" s="5" t="n"/>
      <c r="S83" s="5" t="n"/>
      <c r="T83" s="5">
        <f>IF(O83="","",IF(O83=N83,1,0))</f>
        <v/>
      </c>
      <c r="U83" s="6" t="n"/>
    </row>
    <row r="84">
      <c r="A84" s="5" t="n">
        <v>9</v>
      </c>
      <c r="B84" s="5" t="n">
        <v>3</v>
      </c>
      <c r="C84" s="5" t="inlineStr">
        <is>
          <t>Decision Making</t>
        </is>
      </c>
      <c r="D84" s="5" t="inlineStr">
        <is>
          <t>Scored</t>
        </is>
      </c>
      <c r="E84" s="6" t="inlineStr">
        <is>
          <t>You only have time for ONE of these right now. Which gives the best value for the effort it takes?</t>
        </is>
      </c>
      <c r="F84" s="6" t="inlineStr">
        <is>
          <t>They are all equally good choices</t>
        </is>
      </c>
      <c r="G84" s="6" t="inlineStr">
        <is>
          <t>submit the board presentation (effort 2, value 5)</t>
        </is>
      </c>
      <c r="H84" s="6" t="inlineStr">
        <is>
          <t>finalize the budget proposal (effort 8, value 16)</t>
        </is>
      </c>
      <c r="I84" s="6" t="inlineStr">
        <is>
          <t>complete the compliance review (effort 3, value 9)</t>
        </is>
      </c>
      <c r="J84" s="5" t="n"/>
      <c r="K84" s="5" t="n"/>
      <c r="L84" s="5" t="n"/>
      <c r="M84" s="5" t="n"/>
      <c r="N84" s="5" t="inlineStr">
        <is>
          <t>D</t>
        </is>
      </c>
      <c r="O84" s="5" t="n"/>
      <c r="P84" s="5" t="n"/>
      <c r="Q84" s="5" t="n"/>
      <c r="R84" s="5" t="n"/>
      <c r="S84" s="5" t="n"/>
      <c r="T84" s="5">
        <f>IF(O84="","",IF(O84=N84,1,0))</f>
        <v/>
      </c>
      <c r="U84" s="6" t="n"/>
    </row>
    <row r="85">
      <c r="A85" s="5" t="n">
        <v>9</v>
      </c>
      <c r="B85" s="5" t="n">
        <v>4</v>
      </c>
      <c r="C85" s="5" t="inlineStr">
        <is>
          <t>Mental Math</t>
        </is>
      </c>
      <c r="D85" s="5" t="inlineStr">
        <is>
          <t>Scored</t>
        </is>
      </c>
      <c r="E85" s="6" t="inlineStr">
        <is>
          <t>A recipe mixes flour and sugar in a 2:3 ratio. If you use 8 units of flour, how much sugar do you need?</t>
        </is>
      </c>
      <c r="F85" s="6" t="inlineStr">
        <is>
          <t>8</t>
        </is>
      </c>
      <c r="G85" s="6" t="inlineStr">
        <is>
          <t>15</t>
        </is>
      </c>
      <c r="H85" s="6" t="inlineStr">
        <is>
          <t>12</t>
        </is>
      </c>
      <c r="I85" s="6" t="inlineStr">
        <is>
          <t>9</t>
        </is>
      </c>
      <c r="J85" s="5" t="n"/>
      <c r="K85" s="5" t="n"/>
      <c r="L85" s="5" t="n"/>
      <c r="M85" s="5" t="n"/>
      <c r="N85" s="5" t="inlineStr">
        <is>
          <t>C</t>
        </is>
      </c>
      <c r="O85" s="5" t="n"/>
      <c r="P85" s="5" t="n"/>
      <c r="Q85" s="5" t="n"/>
      <c r="R85" s="5" t="n"/>
      <c r="S85" s="5" t="n"/>
      <c r="T85" s="5">
        <f>IF(O85="","",IF(O85=N85,1,0))</f>
        <v/>
      </c>
      <c r="U85" s="6" t="n"/>
    </row>
    <row r="86">
      <c r="A86" s="5" t="n">
        <v>9</v>
      </c>
      <c r="B86" s="5" t="n">
        <v>5</v>
      </c>
      <c r="C86" s="5" t="inlineStr">
        <is>
          <t>Cognitive Academia</t>
        </is>
      </c>
      <c r="D86" s="5" t="inlineStr">
        <is>
          <t>Scored</t>
        </is>
      </c>
      <c r="E86" s="6" t="inlineStr">
        <is>
          <t>What comes next in this pattern: 3, 6, 12, 24, ?</t>
        </is>
      </c>
      <c r="F86" s="6" t="inlineStr">
        <is>
          <t>27</t>
        </is>
      </c>
      <c r="G86" s="6" t="inlineStr">
        <is>
          <t>36</t>
        </is>
      </c>
      <c r="H86" s="6" t="inlineStr">
        <is>
          <t>48</t>
        </is>
      </c>
      <c r="I86" s="6" t="inlineStr">
        <is>
          <t>50</t>
        </is>
      </c>
      <c r="J86" s="5" t="n"/>
      <c r="K86" s="5" t="n"/>
      <c r="L86" s="5" t="n"/>
      <c r="M86" s="5" t="n"/>
      <c r="N86" s="5" t="inlineStr">
        <is>
          <t>C</t>
        </is>
      </c>
      <c r="O86" s="5" t="n"/>
      <c r="P86" s="5" t="n"/>
      <c r="Q86" s="5" t="n"/>
      <c r="R86" s="5" t="n"/>
      <c r="S86" s="5" t="n"/>
      <c r="T86" s="5">
        <f>IF(O86="","",IF(O86=N86,1,0))</f>
        <v/>
      </c>
      <c r="U86" s="6" t="n"/>
    </row>
    <row r="87">
      <c r="A87" s="5" t="n">
        <v>9</v>
      </c>
      <c r="B87" s="5" t="n">
        <v>6</v>
      </c>
      <c r="C87" s="5" t="inlineStr">
        <is>
          <t>Leadership / Communication / Emotional &amp; Social</t>
        </is>
      </c>
      <c r="D87" s="5" t="inlineStr">
        <is>
          <t>Self-report (most/least)</t>
        </is>
      </c>
      <c r="E87" s="6" t="inlineStr">
        <is>
          <t>You discover a material error in a report the night before it goes to the board.</t>
        </is>
      </c>
      <c r="F87" s="6" t="inlineStr">
        <is>
          <t>You notice subtle changes in team morale</t>
        </is>
      </c>
      <c r="G87" s="6" t="inlineStr">
        <is>
          <t>None of these feel like you in this moment</t>
        </is>
      </c>
      <c r="H87" s="6" t="inlineStr">
        <is>
          <t>You like guiding your organization toward a shared vision</t>
        </is>
      </c>
      <c r="I87" s="6" t="inlineStr">
        <is>
          <t>You enjoy explaining your reasoning to the board or senior leadership</t>
        </is>
      </c>
      <c r="J87" s="5" t="inlineStr">
        <is>
          <t>ES</t>
        </is>
      </c>
      <c r="K87" s="5" t="inlineStr"/>
      <c r="L87" s="5" t="inlineStr">
        <is>
          <t>LD</t>
        </is>
      </c>
      <c r="M87" s="5" t="inlineStr">
        <is>
          <t>CM</t>
        </is>
      </c>
      <c r="N87" s="5" t="n"/>
      <c r="O87" s="5" t="n"/>
      <c r="P87" s="5" t="n"/>
      <c r="Q87" s="5" t="n"/>
      <c r="R87" s="5">
        <f>IFERROR(INDEX(J87:M87,MATCH(P87,{"A","B","C","D"},0)),"")</f>
        <v/>
      </c>
      <c r="S87" s="5">
        <f>IFERROR(INDEX(J87:M87,MATCH(Q87,{"A","B","C","D"},0)),"")</f>
        <v/>
      </c>
      <c r="T87" s="5" t="n"/>
      <c r="U87" s="6" t="n"/>
    </row>
    <row r="88">
      <c r="A88" s="5" t="n">
        <v>9</v>
      </c>
      <c r="B88" s="5" t="n">
        <v>7</v>
      </c>
      <c r="C88" s="5" t="inlineStr">
        <is>
          <t>Leadership / Communication / Emotional &amp; Social</t>
        </is>
      </c>
      <c r="D88" s="5" t="inlineStr">
        <is>
          <t>Self-report (most/least)</t>
        </is>
      </c>
      <c r="E88" s="6" t="inlineStr">
        <is>
          <t>A trusted colleague was just passed over for a role they were counting on, and it shows.</t>
        </is>
      </c>
      <c r="F88" s="6" t="inlineStr">
        <is>
          <t>You stay calm even during organizational crises</t>
        </is>
      </c>
      <c r="G88" s="6" t="inlineStr">
        <is>
          <t>You'd need more time before reacting at all</t>
        </is>
      </c>
      <c r="H88" s="6" t="inlineStr">
        <is>
          <t>You like defining the plan of action for your organization</t>
        </is>
      </c>
      <c r="I88" s="6" t="inlineStr">
        <is>
          <t>You like asking clarifying questions before committing to a direction</t>
        </is>
      </c>
      <c r="J88" s="5" t="inlineStr">
        <is>
          <t>ES</t>
        </is>
      </c>
      <c r="K88" s="5" t="inlineStr"/>
      <c r="L88" s="5" t="inlineStr">
        <is>
          <t>LD</t>
        </is>
      </c>
      <c r="M88" s="5" t="inlineStr">
        <is>
          <t>CM</t>
        </is>
      </c>
      <c r="N88" s="5" t="n"/>
      <c r="O88" s="5" t="n"/>
      <c r="P88" s="5" t="n"/>
      <c r="Q88" s="5" t="n"/>
      <c r="R88" s="5">
        <f>IFERROR(INDEX(J88:M88,MATCH(P88,{"A","B","C","D"},0)),"")</f>
        <v/>
      </c>
      <c r="S88" s="5">
        <f>IFERROR(INDEX(J88:M88,MATCH(Q88,{"A","B","C","D"},0)),"")</f>
        <v/>
      </c>
      <c r="T88" s="5" t="n"/>
      <c r="U88" s="6" t="n"/>
    </row>
    <row r="89">
      <c r="A89" s="5" t="n">
        <v>9</v>
      </c>
      <c r="B89" s="5" t="n">
        <v>8</v>
      </c>
      <c r="C89" s="5" t="inlineStr">
        <is>
          <t>Leadership / Communication / Emotional &amp; Social</t>
        </is>
      </c>
      <c r="D89" s="5" t="inlineStr">
        <is>
          <t>Self-report (most/least)</t>
        </is>
      </c>
      <c r="E89" s="6" t="inlineStr">
        <is>
          <t>Your strategy just received a tough, pointed challenge from a stakeholder mid-meeting.</t>
        </is>
      </c>
      <c r="F89" s="6" t="inlineStr">
        <is>
          <t>You'd rather wait and see what others do first</t>
        </is>
      </c>
      <c r="G89" s="6" t="inlineStr">
        <is>
          <t>You make sure your point comes across persuasively to leadership</t>
        </is>
      </c>
      <c r="H89" s="6" t="inlineStr">
        <is>
          <t>You can sense how a colleague feels without them saying it</t>
        </is>
      </c>
      <c r="I89" s="6" t="inlineStr">
        <is>
          <t>You enjoy being chosen to head a major initiative</t>
        </is>
      </c>
      <c r="J89" s="5" t="inlineStr"/>
      <c r="K89" s="5" t="inlineStr">
        <is>
          <t>CM</t>
        </is>
      </c>
      <c r="L89" s="5" t="inlineStr">
        <is>
          <t>ES</t>
        </is>
      </c>
      <c r="M89" s="5" t="inlineStr">
        <is>
          <t>LD</t>
        </is>
      </c>
      <c r="N89" s="5" t="n"/>
      <c r="O89" s="5" t="n"/>
      <c r="P89" s="5" t="n"/>
      <c r="Q89" s="5" t="n"/>
      <c r="R89" s="5">
        <f>IFERROR(INDEX(J89:M89,MATCH(P89,{"A","B","C","D"},0)),"")</f>
        <v/>
      </c>
      <c r="S89" s="5">
        <f>IFERROR(INDEX(J89:M89,MATCH(Q89,{"A","B","C","D"},0)),"")</f>
        <v/>
      </c>
      <c r="T89" s="5" t="n"/>
      <c r="U89" s="6" t="n"/>
    </row>
    <row r="90">
      <c r="A90" s="5" t="n">
        <v>9</v>
      </c>
      <c r="B90" s="5" t="n">
        <v>9</v>
      </c>
      <c r="C90" s="5" t="inlineStr">
        <is>
          <t>Creative Skills</t>
        </is>
      </c>
      <c r="D90" s="5" t="inlineStr">
        <is>
          <t>Open-ended (not auto-scored)</t>
        </is>
      </c>
      <c r="E90" s="6" t="inlineStr">
        <is>
          <t>Propose an idea to make internal town halls feel less like a broadcast and more like a conversation.</t>
        </is>
      </c>
      <c r="F90" s="6" t="n"/>
      <c r="G90" s="6" t="n"/>
      <c r="H90" s="6" t="n"/>
      <c r="I90" s="6" t="n"/>
      <c r="J90" s="5" t="n"/>
      <c r="K90" s="5" t="n"/>
      <c r="L90" s="5" t="n"/>
      <c r="M90" s="5" t="n"/>
      <c r="N90" s="5" t="n"/>
      <c r="O90" s="5" t="n"/>
      <c r="P90" s="5" t="n"/>
      <c r="Q90" s="5" t="n"/>
      <c r="R90" s="5" t="n"/>
      <c r="S90" s="5" t="n"/>
      <c r="T90" s="5" t="n"/>
      <c r="U90" s="6" t="n"/>
    </row>
    <row r="91">
      <c r="A91" s="5" t="n">
        <v>9</v>
      </c>
      <c r="B91" s="5" t="n">
        <v>10</v>
      </c>
      <c r="C91" s="5" t="inlineStr">
        <is>
          <t>Listening Skills</t>
        </is>
      </c>
      <c r="D91" s="5" t="inlineStr">
        <is>
          <t>Scored</t>
        </is>
      </c>
      <c r="E91" s="6" t="inlineStr">
        <is>
          <t>[Read once, then answer without re-reading] “Ahead of the investor call, the CFO finalised the earnings deck, rehearsed the Q&amp;A, and finally tested the conference line.”  ||  What happened first?</t>
        </is>
      </c>
      <c r="F91" s="6" t="inlineStr">
        <is>
          <t>filed for an IPO</t>
        </is>
      </c>
      <c r="G91" s="6" t="inlineStr">
        <is>
          <t>finalised the earnings deck</t>
        </is>
      </c>
      <c r="H91" s="6" t="inlineStr">
        <is>
          <t>tested the conference line</t>
        </is>
      </c>
      <c r="I91" s="6" t="inlineStr">
        <is>
          <t>rehearsed the Q&amp;A</t>
        </is>
      </c>
      <c r="J91" s="5" t="n"/>
      <c r="K91" s="5" t="n"/>
      <c r="L91" s="5" t="n"/>
      <c r="M91" s="5" t="n"/>
      <c r="N91" s="5" t="inlineStr">
        <is>
          <t>B</t>
        </is>
      </c>
      <c r="O91" s="5" t="n"/>
      <c r="P91" s="5" t="n"/>
      <c r="Q91" s="5" t="n"/>
      <c r="R91" s="5" t="n"/>
      <c r="S91" s="5" t="n"/>
      <c r="T91" s="5">
        <f>IF(O91="","",IF(O91=N91,1,0))</f>
        <v/>
      </c>
      <c r="U91" s="6" t="n"/>
    </row>
    <row r="92">
      <c r="A92" s="7" t="n">
        <v>10</v>
      </c>
      <c r="B92" s="7" t="n">
        <v>1</v>
      </c>
      <c r="C92" s="7" t="inlineStr">
        <is>
          <t>Problem Solving</t>
        </is>
      </c>
      <c r="D92" s="7" t="inlineStr">
        <is>
          <t>Scored</t>
        </is>
      </c>
      <c r="E92" s="8" t="inlineStr">
        <is>
          <t>Three directors — Zara, Chen, Ishaan — are speaking at the town hall in sequence. Chen is not first. Ishaan is not first. Ishaan is not in the middle. Who is last?</t>
        </is>
      </c>
      <c r="F92" s="8" t="inlineStr">
        <is>
          <t>Ishaan</t>
        </is>
      </c>
      <c r="G92" s="8" t="inlineStr">
        <is>
          <t>Cannot be determined</t>
        </is>
      </c>
      <c r="H92" s="8" t="inlineStr">
        <is>
          <t>Zara</t>
        </is>
      </c>
      <c r="I92" s="8" t="inlineStr">
        <is>
          <t>Chen</t>
        </is>
      </c>
      <c r="J92" s="7" t="n"/>
      <c r="K92" s="7" t="n"/>
      <c r="L92" s="7" t="n"/>
      <c r="M92" s="7" t="n"/>
      <c r="N92" s="7" t="inlineStr">
        <is>
          <t>A</t>
        </is>
      </c>
      <c r="O92" s="7" t="n"/>
      <c r="P92" s="7" t="n"/>
      <c r="Q92" s="7" t="n"/>
      <c r="R92" s="7" t="n"/>
      <c r="S92" s="7" t="n"/>
      <c r="T92" s="7">
        <f>IF(O92="","",IF(O92=N92,1,0))</f>
        <v/>
      </c>
      <c r="U92" s="8" t="n"/>
    </row>
    <row r="93">
      <c r="A93" s="7" t="n">
        <v>10</v>
      </c>
      <c r="B93" s="7" t="n">
        <v>2</v>
      </c>
      <c r="C93" s="7" t="inlineStr">
        <is>
          <t>Critical Thinking</t>
        </is>
      </c>
      <c r="D93" s="7" t="inlineStr">
        <is>
          <t>Scored</t>
        </is>
      </c>
      <c r="E93" s="8" t="inlineStr">
        <is>
          <t>A strategy document states: 'This approach is optimal because it is the optimal approach.' What's the actual flaw in this reasoning?</t>
        </is>
      </c>
      <c r="F93" s="8" t="inlineStr">
        <is>
          <t>No approach was described in the document</t>
        </is>
      </c>
      <c r="G93" s="8" t="inlineStr">
        <is>
          <t>It restates the claim rather than explaining why the approach is actually optimal</t>
        </is>
      </c>
      <c r="H93" s="8" t="inlineStr">
        <is>
          <t>The approach was rejected by the board</t>
        </is>
      </c>
      <c r="I93" s="8" t="inlineStr">
        <is>
          <t>Optimal and effective are unrelated ideas</t>
        </is>
      </c>
      <c r="J93" s="7" t="n"/>
      <c r="K93" s="7" t="n"/>
      <c r="L93" s="7" t="n"/>
      <c r="M93" s="7" t="n"/>
      <c r="N93" s="7" t="inlineStr">
        <is>
          <t>B</t>
        </is>
      </c>
      <c r="O93" s="7" t="n"/>
      <c r="P93" s="7" t="n"/>
      <c r="Q93" s="7" t="n"/>
      <c r="R93" s="7" t="n"/>
      <c r="S93" s="7" t="n"/>
      <c r="T93" s="7">
        <f>IF(O93="","",IF(O93=N93,1,0))</f>
        <v/>
      </c>
      <c r="U93" s="8" t="n"/>
    </row>
    <row r="94">
      <c r="A94" s="7" t="n">
        <v>10</v>
      </c>
      <c r="B94" s="7" t="n">
        <v>3</v>
      </c>
      <c r="C94" s="7" t="inlineStr">
        <is>
          <t>Decision Making</t>
        </is>
      </c>
      <c r="D94" s="7" t="inlineStr">
        <is>
          <t>Scored</t>
        </is>
      </c>
      <c r="E94" s="8" t="inlineStr">
        <is>
          <t>You have 23 minutes. finalize the budget proposal takes 13 minutes, complete the compliance review takes 10 minutes, and approve the vendor contract takes 17 minutes. You must skip exactly one of them to fit the other two into your 23 minutes. Which should you skip?</t>
        </is>
      </c>
      <c r="F94" s="8" t="inlineStr">
        <is>
          <t>It's impossible to fit any two</t>
        </is>
      </c>
      <c r="G94" s="8" t="inlineStr">
        <is>
          <t>complete the compliance review</t>
        </is>
      </c>
      <c r="H94" s="8" t="inlineStr">
        <is>
          <t>approve the vendor contract</t>
        </is>
      </c>
      <c r="I94" s="8" t="inlineStr">
        <is>
          <t>finalize the budget proposal</t>
        </is>
      </c>
      <c r="J94" s="7" t="n"/>
      <c r="K94" s="7" t="n"/>
      <c r="L94" s="7" t="n"/>
      <c r="M94" s="7" t="n"/>
      <c r="N94" s="7" t="inlineStr">
        <is>
          <t>C</t>
        </is>
      </c>
      <c r="O94" s="7" t="n"/>
      <c r="P94" s="7" t="n"/>
      <c r="Q94" s="7" t="n"/>
      <c r="R94" s="7" t="n"/>
      <c r="S94" s="7" t="n"/>
      <c r="T94" s="7">
        <f>IF(O94="","",IF(O94=N94,1,0))</f>
        <v/>
      </c>
      <c r="U94" s="8" t="n"/>
    </row>
    <row r="95">
      <c r="A95" s="7" t="n">
        <v>10</v>
      </c>
      <c r="B95" s="7" t="n">
        <v>4</v>
      </c>
      <c r="C95" s="7" t="inlineStr">
        <is>
          <t>Mental Math</t>
        </is>
      </c>
      <c r="D95" s="7" t="inlineStr">
        <is>
          <t>Scored</t>
        </is>
      </c>
      <c r="E95" s="8" t="inlineStr">
        <is>
          <t>I'm thinking of a number. If you triple it, then double it, then subtract 257, you get 331. What's my number?</t>
        </is>
      </c>
      <c r="F95" s="8" t="inlineStr">
        <is>
          <t>98</t>
        </is>
      </c>
      <c r="G95" s="8" t="inlineStr">
        <is>
          <t>97</t>
        </is>
      </c>
      <c r="H95" s="8" t="inlineStr">
        <is>
          <t>99</t>
        </is>
      </c>
      <c r="I95" s="8" t="inlineStr">
        <is>
          <t>100</t>
        </is>
      </c>
      <c r="J95" s="7" t="n"/>
      <c r="K95" s="7" t="n"/>
      <c r="L95" s="7" t="n"/>
      <c r="M95" s="7" t="n"/>
      <c r="N95" s="7" t="inlineStr">
        <is>
          <t>A</t>
        </is>
      </c>
      <c r="O95" s="7" t="n"/>
      <c r="P95" s="7" t="n"/>
      <c r="Q95" s="7" t="n"/>
      <c r="R95" s="7" t="n"/>
      <c r="S95" s="7" t="n"/>
      <c r="T95" s="7">
        <f>IF(O95="","",IF(O95=N95,1,0))</f>
        <v/>
      </c>
      <c r="U95" s="8" t="n"/>
    </row>
    <row r="96">
      <c r="A96" s="7" t="n">
        <v>10</v>
      </c>
      <c r="B96" s="7" t="n">
        <v>5</v>
      </c>
      <c r="C96" s="7" t="inlineStr">
        <is>
          <t>Cognitive Academia</t>
        </is>
      </c>
      <c r="D96" s="7" t="inlineStr">
        <is>
          <t>Scored</t>
        </is>
      </c>
      <c r="E96" s="8" t="inlineStr">
        <is>
          <t>What comes next in this pattern: 1, 2, 4, 8, ?</t>
        </is>
      </c>
      <c r="F96" s="8" t="inlineStr">
        <is>
          <t>18</t>
        </is>
      </c>
      <c r="G96" s="8" t="inlineStr">
        <is>
          <t>16</t>
        </is>
      </c>
      <c r="H96" s="8" t="inlineStr">
        <is>
          <t>11</t>
        </is>
      </c>
      <c r="I96" s="8" t="inlineStr">
        <is>
          <t>12</t>
        </is>
      </c>
      <c r="J96" s="7" t="n"/>
      <c r="K96" s="7" t="n"/>
      <c r="L96" s="7" t="n"/>
      <c r="M96" s="7" t="n"/>
      <c r="N96" s="7" t="inlineStr">
        <is>
          <t>B</t>
        </is>
      </c>
      <c r="O96" s="7" t="n"/>
      <c r="P96" s="7" t="n"/>
      <c r="Q96" s="7" t="n"/>
      <c r="R96" s="7" t="n"/>
      <c r="S96" s="7" t="n"/>
      <c r="T96" s="7">
        <f>IF(O96="","",IF(O96=N96,1,0))</f>
        <v/>
      </c>
      <c r="U96" s="8" t="n"/>
    </row>
    <row r="97">
      <c r="A97" s="7" t="n">
        <v>10</v>
      </c>
      <c r="B97" s="7" t="n">
        <v>6</v>
      </c>
      <c r="C97" s="7" t="inlineStr">
        <is>
          <t>Leadership / Communication / Emotional &amp; Social</t>
        </is>
      </c>
      <c r="D97" s="7" t="inlineStr">
        <is>
          <t>Self-report (most/least)</t>
        </is>
      </c>
      <c r="E97" s="8" t="inlineStr">
        <is>
          <t>You're the only executive in the room who thinks the current direction is a mistake.</t>
        </is>
      </c>
      <c r="F97" s="8" t="inlineStr">
        <is>
          <t>You feel confident making high-stakes decisions</t>
        </is>
      </c>
      <c r="G97" s="8" t="inlineStr">
        <is>
          <t>You think about how a decision might affect your people</t>
        </is>
      </c>
      <c r="H97" s="8" t="inlineStr">
        <is>
          <t>You'd need more time before reacting at all</t>
        </is>
      </c>
      <c r="I97" s="8" t="inlineStr">
        <is>
          <t>You enjoy discussing strategy openly with peers</t>
        </is>
      </c>
      <c r="J97" s="7" t="inlineStr">
        <is>
          <t>LD</t>
        </is>
      </c>
      <c r="K97" s="7" t="inlineStr">
        <is>
          <t>ES</t>
        </is>
      </c>
      <c r="L97" s="7" t="inlineStr"/>
      <c r="M97" s="7" t="inlineStr">
        <is>
          <t>CM</t>
        </is>
      </c>
      <c r="N97" s="7" t="n"/>
      <c r="O97" s="7" t="n"/>
      <c r="P97" s="7" t="n"/>
      <c r="Q97" s="7" t="n"/>
      <c r="R97" s="7">
        <f>IFERROR(INDEX(J97:M97,MATCH(P97,{"A","B","C","D"},0)),"")</f>
        <v/>
      </c>
      <c r="S97" s="7">
        <f>IFERROR(INDEX(J97:M97,MATCH(Q97,{"A","B","C","D"},0)),"")</f>
        <v/>
      </c>
      <c r="T97" s="7" t="n"/>
      <c r="U97" s="8" t="n"/>
    </row>
    <row r="98">
      <c r="A98" s="7" t="n">
        <v>10</v>
      </c>
      <c r="B98" s="7" t="n">
        <v>7</v>
      </c>
      <c r="C98" s="7" t="inlineStr">
        <is>
          <t>Leadership / Communication / Emotional &amp; Social</t>
        </is>
      </c>
      <c r="D98" s="7" t="inlineStr">
        <is>
          <t>Self-report (most/least)</t>
        </is>
      </c>
      <c r="E98" s="8" t="inlineStr">
        <is>
          <t>A member of your team wants to quietly adjust a figure to make quarterly results look better.</t>
        </is>
      </c>
      <c r="F98" s="8" t="inlineStr">
        <is>
          <t>You enjoy helping a colleague work through a difficult situation</t>
        </is>
      </c>
      <c r="G98" s="8" t="inlineStr">
        <is>
          <t>You'd rather wait and see what others do first</t>
        </is>
      </c>
      <c r="H98" s="8" t="inlineStr">
        <is>
          <t>You like structuring your thoughts before an important meeting</t>
        </is>
      </c>
      <c r="I98" s="8" t="inlineStr">
        <is>
          <t>You naturally end up being the one who decides</t>
        </is>
      </c>
      <c r="J98" s="7" t="inlineStr">
        <is>
          <t>ES</t>
        </is>
      </c>
      <c r="K98" s="7" t="inlineStr"/>
      <c r="L98" s="7" t="inlineStr">
        <is>
          <t>CM</t>
        </is>
      </c>
      <c r="M98" s="7" t="inlineStr">
        <is>
          <t>LD</t>
        </is>
      </c>
      <c r="N98" s="7" t="n"/>
      <c r="O98" s="7" t="n"/>
      <c r="P98" s="7" t="n"/>
      <c r="Q98" s="7" t="n"/>
      <c r="R98" s="7">
        <f>IFERROR(INDEX(J98:M98,MATCH(P98,{"A","B","C","D"},0)),"")</f>
        <v/>
      </c>
      <c r="S98" s="7">
        <f>IFERROR(INDEX(J98:M98,MATCH(Q98,{"A","B","C","D"},0)),"")</f>
        <v/>
      </c>
      <c r="T98" s="7" t="n"/>
      <c r="U98" s="8" t="n"/>
    </row>
    <row r="99">
      <c r="A99" s="7" t="n">
        <v>10</v>
      </c>
      <c r="B99" s="7" t="n">
        <v>8</v>
      </c>
      <c r="C99" s="7" t="inlineStr">
        <is>
          <t>Leadership / Communication / Emotional &amp; Social</t>
        </is>
      </c>
      <c r="D99" s="7" t="inlineStr">
        <is>
          <t>Self-report (most/least)</t>
        </is>
      </c>
      <c r="E99" s="8" t="inlineStr">
        <is>
          <t>You're asked to publicly defend a decision you privately disagree with.</t>
        </is>
      </c>
      <c r="F99" s="8" t="inlineStr">
        <is>
          <t>You'd step back and observe before choosing any of these</t>
        </is>
      </c>
      <c r="G99" s="8" t="inlineStr">
        <is>
          <t>You notice when a member of your team is under pressure</t>
        </is>
      </c>
      <c r="H99" s="8" t="inlineStr">
        <is>
          <t>You explain your reasoning clearly so stakeholders follow it</t>
        </is>
      </c>
      <c r="I99" s="8" t="inlineStr">
        <is>
          <t>You naturally take charge when an initiative lacks direction</t>
        </is>
      </c>
      <c r="J99" s="7" t="inlineStr"/>
      <c r="K99" s="7" t="inlineStr">
        <is>
          <t>ES</t>
        </is>
      </c>
      <c r="L99" s="7" t="inlineStr">
        <is>
          <t>CM</t>
        </is>
      </c>
      <c r="M99" s="7" t="inlineStr">
        <is>
          <t>LD</t>
        </is>
      </c>
      <c r="N99" s="7" t="n"/>
      <c r="O99" s="7" t="n"/>
      <c r="P99" s="7" t="n"/>
      <c r="Q99" s="7" t="n"/>
      <c r="R99" s="7">
        <f>IFERROR(INDEX(J99:M99,MATCH(P99,{"A","B","C","D"},0)),"")</f>
        <v/>
      </c>
      <c r="S99" s="7">
        <f>IFERROR(INDEX(J99:M99,MATCH(Q99,{"A","B","C","D"},0)),"")</f>
        <v/>
      </c>
      <c r="T99" s="7" t="n"/>
      <c r="U99" s="8" t="n"/>
    </row>
    <row r="100">
      <c r="A100" s="7" t="n">
        <v>10</v>
      </c>
      <c r="B100" s="7" t="n">
        <v>9</v>
      </c>
      <c r="C100" s="7" t="inlineStr">
        <is>
          <t>Creative Skills</t>
        </is>
      </c>
      <c r="D100" s="7" t="inlineStr">
        <is>
          <t>Open-ended (not auto-scored)</t>
        </is>
      </c>
      <c r="E100" s="8" t="inlineStr">
        <is>
          <t>Design a way to surface good ideas from junior employees that usually go unheard.</t>
        </is>
      </c>
      <c r="F100" s="8" t="n"/>
      <c r="G100" s="8" t="n"/>
      <c r="H100" s="8" t="n"/>
      <c r="I100" s="8" t="n"/>
      <c r="J100" s="7" t="n"/>
      <c r="K100" s="7" t="n"/>
      <c r="L100" s="7" t="n"/>
      <c r="M100" s="7" t="n"/>
      <c r="N100" s="7" t="n"/>
      <c r="O100" s="7" t="n"/>
      <c r="P100" s="7" t="n"/>
      <c r="Q100" s="7" t="n"/>
      <c r="R100" s="7" t="n"/>
      <c r="S100" s="7" t="n"/>
      <c r="T100" s="7" t="n"/>
      <c r="U100" s="8" t="n"/>
    </row>
    <row r="101">
      <c r="A101" s="7" t="n">
        <v>10</v>
      </c>
      <c r="B101" s="7" t="n">
        <v>10</v>
      </c>
      <c r="C101" s="7" t="inlineStr">
        <is>
          <t>Listening Skills</t>
        </is>
      </c>
      <c r="D101" s="7" t="inlineStr">
        <is>
          <t>Scored</t>
        </is>
      </c>
      <c r="E101" s="8" t="inlineStr">
        <is>
          <t>[Read once, then answer without re-reading] “Before the vendor negotiation, the procurement lead reviewed the current contract, benchmarked competitor pricing, and finally prepared a counter-offer.”  ||  What happened first?</t>
        </is>
      </c>
      <c r="F101" s="8" t="inlineStr">
        <is>
          <t>terminated the contract</t>
        </is>
      </c>
      <c r="G101" s="8" t="inlineStr">
        <is>
          <t>reviewed the current contract</t>
        </is>
      </c>
      <c r="H101" s="8" t="inlineStr">
        <is>
          <t>benchmarked competitor pricing</t>
        </is>
      </c>
      <c r="I101" s="8" t="inlineStr">
        <is>
          <t>prepared a counter-offer</t>
        </is>
      </c>
      <c r="J101" s="7" t="n"/>
      <c r="K101" s="7" t="n"/>
      <c r="L101" s="7" t="n"/>
      <c r="M101" s="7" t="n"/>
      <c r="N101" s="7" t="inlineStr">
        <is>
          <t>B</t>
        </is>
      </c>
      <c r="O101" s="7" t="n"/>
      <c r="P101" s="7" t="n"/>
      <c r="Q101" s="7" t="n"/>
      <c r="R101" s="7" t="n"/>
      <c r="S101" s="7" t="n"/>
      <c r="T101" s="7">
        <f>IF(O101="","",IF(O101=N101,1,0))</f>
        <v/>
      </c>
      <c r="U101" s="8" t="n"/>
    </row>
    <row r="104">
      <c r="A104" s="9" t="inlineStr">
        <is>
          <t>Scoring summary — fill answers above, then read results below. Creative (last column) is for manual review.</t>
        </is>
      </c>
    </row>
    <row r="105">
      <c r="A105" s="10" t="inlineStr">
        <is>
          <t>Set</t>
        </is>
      </c>
      <c r="B105" s="10" t="inlineStr">
        <is>
          <t>Problem Solving</t>
        </is>
      </c>
      <c r="C105" s="10" t="inlineStr">
        <is>
          <t>Critical Thinking</t>
        </is>
      </c>
      <c r="D105" s="10" t="inlineStr">
        <is>
          <t>Decision Making</t>
        </is>
      </c>
      <c r="E105" s="10" t="inlineStr">
        <is>
          <t>Mental Math</t>
        </is>
      </c>
      <c r="F105" s="10" t="inlineStr">
        <is>
          <t>Cognitive Academia</t>
        </is>
      </c>
      <c r="G105" s="10" t="inlineStr">
        <is>
          <t>Listening</t>
        </is>
      </c>
      <c r="H105" s="10" t="inlineStr">
        <is>
          <t>Leadership</t>
        </is>
      </c>
      <c r="I105" s="10" t="inlineStr">
        <is>
          <t>Communication</t>
        </is>
      </c>
      <c r="J105" s="10" t="inlineStr">
        <is>
          <t>Emotional &amp; Social</t>
        </is>
      </c>
      <c r="K105" s="10" t="inlineStr">
        <is>
          <t>Top strength</t>
        </is>
      </c>
    </row>
    <row r="106">
      <c r="A106" s="11" t="n">
        <v>1</v>
      </c>
      <c r="B106" s="12">
        <f>IF(O2="",0,IF(O2=N2,100,0))</f>
        <v/>
      </c>
      <c r="C106" s="12">
        <f>IF(O3="",0,IF(O3=N3,100,0))</f>
        <v/>
      </c>
      <c r="D106" s="12">
        <f>IF(O4="",0,IF(O4=N4,100,0))</f>
        <v/>
      </c>
      <c r="E106" s="12">
        <f>IF(O5="",0,IF(O5=N5,100,0))</f>
        <v/>
      </c>
      <c r="F106" s="12">
        <f>IF(O6="",0,IF(O6=N6,100,0))</f>
        <v/>
      </c>
      <c r="G106" s="12">
        <f>IF(O11="",0,IF(O11=N11,100,0))</f>
        <v/>
      </c>
      <c r="H106" s="12">
        <f>((((--(R7="LD"))-(--(S7="LD")))+((--(R8="LD"))-(--(S8="LD")))+((--(R9="LD"))-(--(S9="LD"))))+3)/6*100</f>
        <v/>
      </c>
      <c r="I106" s="12">
        <f>((((--(R7="CM"))-(--(S7="CM")))+((--(R8="CM"))-(--(S8="CM")))+((--(R9="CM"))-(--(S9="CM"))))+3)/6*100</f>
        <v/>
      </c>
      <c r="J106" s="12">
        <f>((((--(R7="ES"))-(--(S7="ES")))+((--(R8="ES"))-(--(S8="ES")))+((--(R9="ES"))-(--(S9="ES"))))+3)/6*100</f>
        <v/>
      </c>
      <c r="K106" s="12">
        <f>INDEX({"Problem Solving";"Critical Thinking";"Decision Making";"Mental Math";"Cognitive Academia";"Listening";"Leadership";"Communication";"Emotional &amp; Social"},MATCH(MAX(B106:J106),B106:J106,0))</f>
        <v/>
      </c>
    </row>
    <row r="107">
      <c r="A107" s="11" t="n">
        <v>2</v>
      </c>
      <c r="B107" s="12">
        <f>IF(O12="",0,IF(O12=N12,100,0))</f>
        <v/>
      </c>
      <c r="C107" s="12">
        <f>IF(O13="",0,IF(O13=N13,100,0))</f>
        <v/>
      </c>
      <c r="D107" s="12">
        <f>IF(O14="",0,IF(O14=N14,100,0))</f>
        <v/>
      </c>
      <c r="E107" s="12">
        <f>IF(O15="",0,IF(O15=N15,100,0))</f>
        <v/>
      </c>
      <c r="F107" s="12">
        <f>IF(O16="",0,IF(O16=N16,100,0))</f>
        <v/>
      </c>
      <c r="G107" s="12">
        <f>IF(O21="",0,IF(O21=N21,100,0))</f>
        <v/>
      </c>
      <c r="H107" s="12">
        <f>((((--(R17="LD"))-(--(S17="LD")))+((--(R18="LD"))-(--(S18="LD")))+((--(R19="LD"))-(--(S19="LD"))))+3)/6*100</f>
        <v/>
      </c>
      <c r="I107" s="12">
        <f>((((--(R17="CM"))-(--(S17="CM")))+((--(R18="CM"))-(--(S18="CM")))+((--(R19="CM"))-(--(S19="CM"))))+3)/6*100</f>
        <v/>
      </c>
      <c r="J107" s="12">
        <f>((((--(R17="ES"))-(--(S17="ES")))+((--(R18="ES"))-(--(S18="ES")))+((--(R19="ES"))-(--(S19="ES"))))+3)/6*100</f>
        <v/>
      </c>
      <c r="K107" s="12">
        <f>INDEX({"Problem Solving";"Critical Thinking";"Decision Making";"Mental Math";"Cognitive Academia";"Listening";"Leadership";"Communication";"Emotional &amp; Social"},MATCH(MAX(B107:J107),B107:J107,0))</f>
        <v/>
      </c>
    </row>
    <row r="108">
      <c r="A108" s="11" t="n">
        <v>3</v>
      </c>
      <c r="B108" s="12">
        <f>IF(O22="",0,IF(O22=N22,100,0))</f>
        <v/>
      </c>
      <c r="C108" s="12">
        <f>IF(O23="",0,IF(O23=N23,100,0))</f>
        <v/>
      </c>
      <c r="D108" s="12">
        <f>IF(O24="",0,IF(O24=N24,100,0))</f>
        <v/>
      </c>
      <c r="E108" s="12">
        <f>IF(O25="",0,IF(O25=N25,100,0))</f>
        <v/>
      </c>
      <c r="F108" s="12">
        <f>IF(O26="",0,IF(O26=N26,100,0))</f>
        <v/>
      </c>
      <c r="G108" s="12">
        <f>IF(O31="",0,IF(O31=N31,100,0))</f>
        <v/>
      </c>
      <c r="H108" s="12">
        <f>((((--(R27="LD"))-(--(S27="LD")))+((--(R28="LD"))-(--(S28="LD")))+((--(R29="LD"))-(--(S29="LD"))))+3)/6*100</f>
        <v/>
      </c>
      <c r="I108" s="12">
        <f>((((--(R27="CM"))-(--(S27="CM")))+((--(R28="CM"))-(--(S28="CM")))+((--(R29="CM"))-(--(S29="CM"))))+3)/6*100</f>
        <v/>
      </c>
      <c r="J108" s="12">
        <f>((((--(R27="ES"))-(--(S27="ES")))+((--(R28="ES"))-(--(S28="ES")))+((--(R29="ES"))-(--(S29="ES"))))+3)/6*100</f>
        <v/>
      </c>
      <c r="K108" s="12">
        <f>INDEX({"Problem Solving";"Critical Thinking";"Decision Making";"Mental Math";"Cognitive Academia";"Listening";"Leadership";"Communication";"Emotional &amp; Social"},MATCH(MAX(B108:J108),B108:J108,0))</f>
        <v/>
      </c>
    </row>
    <row r="109">
      <c r="A109" s="11" t="n">
        <v>4</v>
      </c>
      <c r="B109" s="12">
        <f>IF(O32="",0,IF(O32=N32,100,0))</f>
        <v/>
      </c>
      <c r="C109" s="12">
        <f>IF(O33="",0,IF(O33=N33,100,0))</f>
        <v/>
      </c>
      <c r="D109" s="12">
        <f>IF(O34="",0,IF(O34=N34,100,0))</f>
        <v/>
      </c>
      <c r="E109" s="12">
        <f>IF(O35="",0,IF(O35=N35,100,0))</f>
        <v/>
      </c>
      <c r="F109" s="12">
        <f>IF(O36="",0,IF(O36=N36,100,0))</f>
        <v/>
      </c>
      <c r="G109" s="12">
        <f>IF(O41="",0,IF(O41=N41,100,0))</f>
        <v/>
      </c>
      <c r="H109" s="12">
        <f>((((--(R37="LD"))-(--(S37="LD")))+((--(R38="LD"))-(--(S38="LD")))+((--(R39="LD"))-(--(S39="LD"))))+3)/6*100</f>
        <v/>
      </c>
      <c r="I109" s="12">
        <f>((((--(R37="CM"))-(--(S37="CM")))+((--(R38="CM"))-(--(S38="CM")))+((--(R39="CM"))-(--(S39="CM"))))+3)/6*100</f>
        <v/>
      </c>
      <c r="J109" s="12">
        <f>((((--(R37="ES"))-(--(S37="ES")))+((--(R38="ES"))-(--(S38="ES")))+((--(R39="ES"))-(--(S39="ES"))))+3)/6*100</f>
        <v/>
      </c>
      <c r="K109" s="12">
        <f>INDEX({"Problem Solving";"Critical Thinking";"Decision Making";"Mental Math";"Cognitive Academia";"Listening";"Leadership";"Communication";"Emotional &amp; Social"},MATCH(MAX(B109:J109),B109:J109,0))</f>
        <v/>
      </c>
    </row>
    <row r="110">
      <c r="A110" s="11" t="n">
        <v>5</v>
      </c>
      <c r="B110" s="12">
        <f>IF(O42="",0,IF(O42=N42,100,0))</f>
        <v/>
      </c>
      <c r="C110" s="12">
        <f>IF(O43="",0,IF(O43=N43,100,0))</f>
        <v/>
      </c>
      <c r="D110" s="12">
        <f>IF(O44="",0,IF(O44=N44,100,0))</f>
        <v/>
      </c>
      <c r="E110" s="12">
        <f>IF(O45="",0,IF(O45=N45,100,0))</f>
        <v/>
      </c>
      <c r="F110" s="12">
        <f>IF(O46="",0,IF(O46=N46,100,0))</f>
        <v/>
      </c>
      <c r="G110" s="12">
        <f>IF(O51="",0,IF(O51=N51,100,0))</f>
        <v/>
      </c>
      <c r="H110" s="12">
        <f>((((--(R47="LD"))-(--(S47="LD")))+((--(R48="LD"))-(--(S48="LD")))+((--(R49="LD"))-(--(S49="LD"))))+3)/6*100</f>
        <v/>
      </c>
      <c r="I110" s="12">
        <f>((((--(R47="CM"))-(--(S47="CM")))+((--(R48="CM"))-(--(S48="CM")))+((--(R49="CM"))-(--(S49="CM"))))+3)/6*100</f>
        <v/>
      </c>
      <c r="J110" s="12">
        <f>((((--(R47="ES"))-(--(S47="ES")))+((--(R48="ES"))-(--(S48="ES")))+((--(R49="ES"))-(--(S49="ES"))))+3)/6*100</f>
        <v/>
      </c>
      <c r="K110" s="12">
        <f>INDEX({"Problem Solving";"Critical Thinking";"Decision Making";"Mental Math";"Cognitive Academia";"Listening";"Leadership";"Communication";"Emotional &amp; Social"},MATCH(MAX(B110:J110),B110:J110,0))</f>
        <v/>
      </c>
    </row>
    <row r="111">
      <c r="A111" s="11" t="n">
        <v>6</v>
      </c>
      <c r="B111" s="12">
        <f>IF(O52="",0,IF(O52=N52,100,0))</f>
        <v/>
      </c>
      <c r="C111" s="12">
        <f>IF(O53="",0,IF(O53=N53,100,0))</f>
        <v/>
      </c>
      <c r="D111" s="12">
        <f>IF(O54="",0,IF(O54=N54,100,0))</f>
        <v/>
      </c>
      <c r="E111" s="12">
        <f>IF(O55="",0,IF(O55=N55,100,0))</f>
        <v/>
      </c>
      <c r="F111" s="12">
        <f>IF(O56="",0,IF(O56=N56,100,0))</f>
        <v/>
      </c>
      <c r="G111" s="12">
        <f>IF(O61="",0,IF(O61=N61,100,0))</f>
        <v/>
      </c>
      <c r="H111" s="12">
        <f>((((--(R57="LD"))-(--(S57="LD")))+((--(R58="LD"))-(--(S58="LD")))+((--(R59="LD"))-(--(S59="LD"))))+3)/6*100</f>
        <v/>
      </c>
      <c r="I111" s="12">
        <f>((((--(R57="CM"))-(--(S57="CM")))+((--(R58="CM"))-(--(S58="CM")))+((--(R59="CM"))-(--(S59="CM"))))+3)/6*100</f>
        <v/>
      </c>
      <c r="J111" s="12">
        <f>((((--(R57="ES"))-(--(S57="ES")))+((--(R58="ES"))-(--(S58="ES")))+((--(R59="ES"))-(--(S59="ES"))))+3)/6*100</f>
        <v/>
      </c>
      <c r="K111" s="12">
        <f>INDEX({"Problem Solving";"Critical Thinking";"Decision Making";"Mental Math";"Cognitive Academia";"Listening";"Leadership";"Communication";"Emotional &amp; Social"},MATCH(MAX(B111:J111),B111:J111,0))</f>
        <v/>
      </c>
    </row>
    <row r="112">
      <c r="A112" s="11" t="n">
        <v>7</v>
      </c>
      <c r="B112" s="12">
        <f>IF(O62="",0,IF(O62=N62,100,0))</f>
        <v/>
      </c>
      <c r="C112" s="12">
        <f>IF(O63="",0,IF(O63=N63,100,0))</f>
        <v/>
      </c>
      <c r="D112" s="12">
        <f>IF(O64="",0,IF(O64=N64,100,0))</f>
        <v/>
      </c>
      <c r="E112" s="12">
        <f>IF(O65="",0,IF(O65=N65,100,0))</f>
        <v/>
      </c>
      <c r="F112" s="12">
        <f>IF(O66="",0,IF(O66=N66,100,0))</f>
        <v/>
      </c>
      <c r="G112" s="12">
        <f>IF(O71="",0,IF(O71=N71,100,0))</f>
        <v/>
      </c>
      <c r="H112" s="12">
        <f>((((--(R67="LD"))-(--(S67="LD")))+((--(R68="LD"))-(--(S68="LD")))+((--(R69="LD"))-(--(S69="LD"))))+3)/6*100</f>
        <v/>
      </c>
      <c r="I112" s="12">
        <f>((((--(R67="CM"))-(--(S67="CM")))+((--(R68="CM"))-(--(S68="CM")))+((--(R69="CM"))-(--(S69="CM"))))+3)/6*100</f>
        <v/>
      </c>
      <c r="J112" s="12">
        <f>((((--(R67="ES"))-(--(S67="ES")))+((--(R68="ES"))-(--(S68="ES")))+((--(R69="ES"))-(--(S69="ES"))))+3)/6*100</f>
        <v/>
      </c>
      <c r="K112" s="12">
        <f>INDEX({"Problem Solving";"Critical Thinking";"Decision Making";"Mental Math";"Cognitive Academia";"Listening";"Leadership";"Communication";"Emotional &amp; Social"},MATCH(MAX(B112:J112),B112:J112,0))</f>
        <v/>
      </c>
    </row>
    <row r="113">
      <c r="A113" s="11" t="n">
        <v>8</v>
      </c>
      <c r="B113" s="12">
        <f>IF(O72="",0,IF(O72=N72,100,0))</f>
        <v/>
      </c>
      <c r="C113" s="12">
        <f>IF(O73="",0,IF(O73=N73,100,0))</f>
        <v/>
      </c>
      <c r="D113" s="12">
        <f>IF(O74="",0,IF(O74=N74,100,0))</f>
        <v/>
      </c>
      <c r="E113" s="12">
        <f>IF(O75="",0,IF(O75=N75,100,0))</f>
        <v/>
      </c>
      <c r="F113" s="12">
        <f>IF(O76="",0,IF(O76=N76,100,0))</f>
        <v/>
      </c>
      <c r="G113" s="12">
        <f>IF(O81="",0,IF(O81=N81,100,0))</f>
        <v/>
      </c>
      <c r="H113" s="12">
        <f>((((--(R77="LD"))-(--(S77="LD")))+((--(R78="LD"))-(--(S78="LD")))+((--(R79="LD"))-(--(S79="LD"))))+3)/6*100</f>
        <v/>
      </c>
      <c r="I113" s="12">
        <f>((((--(R77="CM"))-(--(S77="CM")))+((--(R78="CM"))-(--(S78="CM")))+((--(R79="CM"))-(--(S79="CM"))))+3)/6*100</f>
        <v/>
      </c>
      <c r="J113" s="12">
        <f>((((--(R77="ES"))-(--(S77="ES")))+((--(R78="ES"))-(--(S78="ES")))+((--(R79="ES"))-(--(S79="ES"))))+3)/6*100</f>
        <v/>
      </c>
      <c r="K113" s="12">
        <f>INDEX({"Problem Solving";"Critical Thinking";"Decision Making";"Mental Math";"Cognitive Academia";"Listening";"Leadership";"Communication";"Emotional &amp; Social"},MATCH(MAX(B113:J113),B113:J113,0))</f>
        <v/>
      </c>
    </row>
    <row r="114">
      <c r="A114" s="11" t="n">
        <v>9</v>
      </c>
      <c r="B114" s="12">
        <f>IF(O82="",0,IF(O82=N82,100,0))</f>
        <v/>
      </c>
      <c r="C114" s="12">
        <f>IF(O83="",0,IF(O83=N83,100,0))</f>
        <v/>
      </c>
      <c r="D114" s="12">
        <f>IF(O84="",0,IF(O84=N84,100,0))</f>
        <v/>
      </c>
      <c r="E114" s="12">
        <f>IF(O85="",0,IF(O85=N85,100,0))</f>
        <v/>
      </c>
      <c r="F114" s="12">
        <f>IF(O86="",0,IF(O86=N86,100,0))</f>
        <v/>
      </c>
      <c r="G114" s="12">
        <f>IF(O91="",0,IF(O91=N91,100,0))</f>
        <v/>
      </c>
      <c r="H114" s="12">
        <f>((((--(R87="LD"))-(--(S87="LD")))+((--(R88="LD"))-(--(S88="LD")))+((--(R89="LD"))-(--(S89="LD"))))+3)/6*100</f>
        <v/>
      </c>
      <c r="I114" s="12">
        <f>((((--(R87="CM"))-(--(S87="CM")))+((--(R88="CM"))-(--(S88="CM")))+((--(R89="CM"))-(--(S89="CM"))))+3)/6*100</f>
        <v/>
      </c>
      <c r="J114" s="12">
        <f>((((--(R87="ES"))-(--(S87="ES")))+((--(R88="ES"))-(--(S88="ES")))+((--(R89="ES"))-(--(S89="ES"))))+3)/6*100</f>
        <v/>
      </c>
      <c r="K114" s="12">
        <f>INDEX({"Problem Solving";"Critical Thinking";"Decision Making";"Mental Math";"Cognitive Academia";"Listening";"Leadership";"Communication";"Emotional &amp; Social"},MATCH(MAX(B114:J114),B114:J114,0))</f>
        <v/>
      </c>
    </row>
    <row r="115">
      <c r="A115" s="11" t="n">
        <v>10</v>
      </c>
      <c r="B115" s="12">
        <f>IF(O92="",0,IF(O92=N92,100,0))</f>
        <v/>
      </c>
      <c r="C115" s="12">
        <f>IF(O93="",0,IF(O93=N93,100,0))</f>
        <v/>
      </c>
      <c r="D115" s="12">
        <f>IF(O94="",0,IF(O94=N94,100,0))</f>
        <v/>
      </c>
      <c r="E115" s="12">
        <f>IF(O95="",0,IF(O95=N95,100,0))</f>
        <v/>
      </c>
      <c r="F115" s="12">
        <f>IF(O96="",0,IF(O96=N96,100,0))</f>
        <v/>
      </c>
      <c r="G115" s="12">
        <f>IF(O101="",0,IF(O101=N101,100,0))</f>
        <v/>
      </c>
      <c r="H115" s="12">
        <f>((((--(R97="LD"))-(--(S97="LD")))+((--(R98="LD"))-(--(S98="LD")))+((--(R99="LD"))-(--(S99="LD"))))+3)/6*100</f>
        <v/>
      </c>
      <c r="I115" s="12">
        <f>((((--(R97="CM"))-(--(S97="CM")))+((--(R98="CM"))-(--(S98="CM")))+((--(R99="CM"))-(--(S99="CM"))))+3)/6*100</f>
        <v/>
      </c>
      <c r="J115" s="12">
        <f>((((--(R97="ES"))-(--(S97="ES")))+((--(R98="ES"))-(--(S98="ES")))+((--(R99="ES"))-(--(S99="ES"))))+3)/6*100</f>
        <v/>
      </c>
      <c r="K115" s="12">
        <f>INDEX({"Problem Solving";"Critical Thinking";"Decision Making";"Mental Math";"Cognitive Academia";"Listening";"Leadership";"Communication";"Emotional &amp; Social"},MATCH(MAX(B115:J115),B115:J115,0))</f>
        <v/>
      </c>
    </row>
  </sheetData>
  <mergeCells count="1">
    <mergeCell ref="A104:K104"/>
  </mergeCells>
  <dataValidations count="1">
    <dataValidation sqref="O2 O3 O4 O5 O6 O11 O12 O13 O14 O15 O16 O21 O22 O23 O24 O25 O26 O31 O32 O33 O34 O35 O36 O41 O42 O43 O44 O45 O46 O51 O52 O53 O54 O55 O56 O61 O62 O63 O64 O65 O66 O71 O72 O73 O74 O75 O76 O81 O82 O83 O84 O85 O86 O91 O92 O93 O94 O95 O96 O101 P7 P8 P9 P17 P18 P19 P27 P28 P29 P37 P38 P39 P47 P48 P49 P57 P58 P59 P67 P68 P69 P77 P78 P79 P87 P88 P89 P97 P98 P99 Q7 Q8 Q9 Q17 Q18 Q19 Q27 Q28 Q29 Q37 Q38 Q39 Q47 Q48 Q49 Q57 Q58 Q59 Q67 Q68 Q69 Q77 Q78 Q79 Q87 Q88 Q89 Q97 Q98 Q99" showDropDown="0" showInputMessage="0" showErrorMessage="0" allowBlank="1" type="list">
      <formula1>"A,B,C,D"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2026-07-10T04:46:51Z</dcterms:created>
  <dcterms:modified xmlns:dcterms="http://purl.org/dc/terms/" xmlns:xsi="http://www.w3.org/2001/XMLSchema-instance" xsi:type="dcterms:W3CDTF">2026-07-10T04:46:51Z</dcterms:modified>
</cp:coreProperties>
</file>